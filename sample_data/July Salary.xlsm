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1.xml" ContentType="application/vnd.ms-excel.controlproperties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F3310B89-0DAA-6C43-5919-0D5897632BE8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89a8f6f157509e8/MV_Folders/Monthly_Payments/JULY-2026/"/>
    </mc:Choice>
  </mc:AlternateContent>
  <xr:revisionPtr revIDLastSave="305" documentId="8_{F099136F-387B-49AC-BAF1-C228BEA52D31}" xr6:coauthVersionLast="47" xr6:coauthVersionMax="47" xr10:uidLastSave="{7E034EB5-9DBF-42E3-B464-216649075514}"/>
  <bookViews>
    <workbookView xWindow="-108" yWindow="-108" windowWidth="23256" windowHeight="12576" firstSheet="8" activeTab="11" xr2:uid="{00000000-000D-0000-FFFF-FFFF00000000}"/>
  </bookViews>
  <sheets>
    <sheet name="MonthlyAttendance" sheetId="76" state="hidden" r:id="rId1"/>
    <sheet name="Detail1" sheetId="83" state="hidden" r:id="rId2"/>
    <sheet name="Detail2" sheetId="84" state="hidden" r:id="rId3"/>
    <sheet name="Month_Attendance" sheetId="79" state="hidden" r:id="rId4"/>
    <sheet name="Summary" sheetId="45" state="hidden" r:id="rId5"/>
    <sheet name="Fixed_Payment_Bank_Sheet" sheetId="82" state="hidden" r:id="rId6"/>
    <sheet name="Fixed_Payment" sheetId="46" state="hidden" r:id="rId7"/>
    <sheet name="Helpers_Bank_Sheet" sheetId="68" state="hidden" r:id="rId8"/>
    <sheet name="Helpers" sheetId="37" r:id="rId9"/>
    <sheet name="Company Workers" sheetId="49" r:id="rId10"/>
    <sheet name="Workers_Bank_Sheet" sheetId="65" state="hidden" r:id="rId11"/>
    <sheet name="Staff" sheetId="41" r:id="rId12"/>
    <sheet name="Op_Bank_Sheet" sheetId="64" state="hidden" r:id="rId13"/>
    <sheet name="Staff_Bank_Sheet" sheetId="67" state="hidden" r:id="rId14"/>
    <sheet name="Op" sheetId="66" state="hidden" r:id="rId15"/>
    <sheet name="I_B_Bank_Sheet" sheetId="80" state="hidden" r:id="rId16"/>
    <sheet name="I&amp;B" sheetId="40" state="hidden" r:id="rId17"/>
    <sheet name="Bank Details" sheetId="77" state="hidden" r:id="rId18"/>
    <sheet name="7001_Attendance" sheetId="50" state="hidden" r:id="rId19"/>
  </sheets>
  <externalReferences>
    <externalReference r:id="rId20"/>
  </externalReferences>
  <definedNames>
    <definedName name="_xleta.CODE" hidden="1" xlm="1">#NAME?</definedName>
    <definedName name="_xleta.DAYS" hidden="1" xlm="1">#NAME?</definedName>
    <definedName name="_xleta.FIXED" hidden="1" xlm="1">#NAME?</definedName>
    <definedName name="_xleta.GETPIVOTDATA" hidden="1" xlm="1">#NAME?</definedName>
    <definedName name="_xleta.ISNA" hidden="1" xlm="1">#NAME?</definedName>
    <definedName name="_xleta.VLOOKUP" hidden="1" xlm="1">#NAME?</definedName>
    <definedName name="Company_Earned_Salary" localSheetId="5">Workers[[#Totals],[NET]]</definedName>
    <definedName name="Company_Earned_Salary" localSheetId="7">Workers[[#Totals],[NET]]</definedName>
    <definedName name="Company_Earned_Salary" localSheetId="15">Workers[[#Totals],[NET]]</definedName>
    <definedName name="Company_Earned_Salary" localSheetId="13">Workers[[#Totals],[NET]]</definedName>
    <definedName name="Company_Earned_Salary">Workers[[#Totals],[NET]]</definedName>
    <definedName name="Company_Earning_Salary" localSheetId="5">Workers[[#Totals],[Earned TOTAL WAGGES]]</definedName>
    <definedName name="Company_Earning_Salary" localSheetId="7">Workers[[#Totals],[Earned TOTAL WAGGES]]</definedName>
    <definedName name="Company_Earning_Salary" localSheetId="15">Workers[[#Totals],[Earned TOTAL WAGGES]]</definedName>
    <definedName name="Company_Earning_Salary" localSheetId="13">Workers[[#Totals],[Earned TOTAL WAGGES]]</definedName>
    <definedName name="Company_Earning_Salary">Workers[[#Totals],[Earned TOTAL WAGGES]]</definedName>
    <definedName name="Company_Expense">'Company Workers'!$AB$17</definedName>
    <definedName name="Company_Fixed" localSheetId="5">Workers[[#Totals],[GROSS]]</definedName>
    <definedName name="Company_Fixed" localSheetId="7">Workers[[#Totals],[GROSS]]</definedName>
    <definedName name="Company_Fixed" localSheetId="15">Workers[[#Totals],[GROSS]]</definedName>
    <definedName name="Company_Fixed" localSheetId="13">Workers[[#Totals],[GROSS]]</definedName>
    <definedName name="Company_Fixed">Workers[[#Totals],[GROSS]]</definedName>
    <definedName name="Company_HeadCount">'Company Workers'!$A$16</definedName>
    <definedName name="Company_Workers_Deductions" localSheetId="5">Workers[[#Totals],[Total Deduction]]</definedName>
    <definedName name="Company_Workers_Deductions" localSheetId="7">Workers[[#Totals],[Total Deduction]]</definedName>
    <definedName name="Company_Workers_Deductions" localSheetId="15">Workers[[#Totals],[Total Deduction]]</definedName>
    <definedName name="Company_Workers_Deductions" localSheetId="13">Workers[[#Totals],[Total Deduction]]</definedName>
    <definedName name="Company_Workers_Deductions">Workers[[#Totals],[Total Deduction]]</definedName>
    <definedName name="Emp_PF_Deductions" localSheetId="5">Workers[[#Totals],[PF]]</definedName>
    <definedName name="Emp_PF_Deductions" localSheetId="7">Workers[[#Totals],[PF]]</definedName>
    <definedName name="Emp_PF_Deductions" localSheetId="15">Workers[[#Totals],[PF]]</definedName>
    <definedName name="Emp_PF_Deductions" localSheetId="13">Workers[[#Totals],[PF]]</definedName>
    <definedName name="Emp_PF_Deductions">Workers[[#Totals],[PF]]</definedName>
    <definedName name="ESI_Emp_Deductions" localSheetId="5">Workers[[#Totals],[ESI]]</definedName>
    <definedName name="ESI_Emp_Deductions" localSheetId="7">Workers[[#Totals],[ESI]]</definedName>
    <definedName name="ESI_Emp_Deductions" localSheetId="15">Workers[[#Totals],[ESI]]</definedName>
    <definedName name="ESI_Emp_Deductions" localSheetId="13">Workers[[#Totals],[ESI]]</definedName>
    <definedName name="ESI_Emp_Deductions">Workers[[#Totals],[ESI]]</definedName>
    <definedName name="ESI_Employer_Contribution" localSheetId="5">Workers[[#Totals],[ESI Employer Contribution]]</definedName>
    <definedName name="ESI_Employer_Contribution" localSheetId="7">Workers[[#Totals],[ESI Employer Contribution]]</definedName>
    <definedName name="ESI_Employer_Contribution" localSheetId="15">Workers[[#Totals],[ESI Employer Contribution]]</definedName>
    <definedName name="ESI_Employer_Contribution" localSheetId="13">Workers[[#Totals],[ESI Employer Contribution]]</definedName>
    <definedName name="ESI_Employer_Contribution">Workers[[#Totals],[ESI Employer Contribution]]</definedName>
    <definedName name="ExternalData_1" localSheetId="0" hidden="1">MonthlyAttendance!$A$1:$AA$1024</definedName>
    <definedName name="Fixed_Deductions" localSheetId="5">Fixed_Payment[[#Totals],[Deductions]]</definedName>
    <definedName name="Fixed_Deductions" localSheetId="7">Fixed_Payment[[#Totals],[Deductions]]</definedName>
    <definedName name="Fixed_Deductions" localSheetId="15">Fixed_Payment[[#Totals],[Deductions]]</definedName>
    <definedName name="Fixed_Deductions" localSheetId="13">Fixed_Payment[[#Totals],[Deductions]]</definedName>
    <definedName name="Fixed_Deductions">Fixed_Payment[[#Totals],[Deductions]]</definedName>
    <definedName name="Fixed_Other_Payments_Fixed" localSheetId="5">#REF!</definedName>
    <definedName name="Fixed_Other_Payments_Fixed" localSheetId="7">#REF!</definedName>
    <definedName name="Fixed_Other_Payments_Fixed" localSheetId="15">#REF!</definedName>
    <definedName name="Fixed_Other_Payments_Fixed" localSheetId="13">#REF!</definedName>
    <definedName name="Fixed_Other_Payments_Fixed">#REF!</definedName>
    <definedName name="Fixed_Payment_Amount">Fixed_Payment!$D$13</definedName>
    <definedName name="Helpers_Earned_Salary">Helpers!$O$16</definedName>
    <definedName name="Helpers_Expense">Helpers!$O$16</definedName>
    <definedName name="Helpers_Fixed_Salary">Helpers!$M$16</definedName>
    <definedName name="Helpers_Headcount">Helpers!$A$16</definedName>
    <definedName name="HolidayList3">#REF!</definedName>
    <definedName name="I_B_Deductions" localSheetId="5">I_B[[#Totals],[Deductions]]</definedName>
    <definedName name="I_B_Deductions" localSheetId="7">I_B[[#Totals],[Deductions]]</definedName>
    <definedName name="I_B_Deductions" localSheetId="15">I_B[[#Totals],[Deductions]]</definedName>
    <definedName name="I_B_Deductions" localSheetId="13">I_B[[#Totals],[Deductions]]</definedName>
    <definedName name="I_B_Deductions">I_B[[#Totals],[Deductions]]</definedName>
    <definedName name="I_B_Expense">'I&amp;B'!$F$6</definedName>
    <definedName name="I_B_Headcount">'I&amp;B'!$A$6</definedName>
    <definedName name="Op_Deductions">#REF!</definedName>
    <definedName name="Op_Expense">#REF!</definedName>
    <definedName name="Op_Fixed_Salary">#REF!</definedName>
    <definedName name="Op_Headcount">#REF!</definedName>
    <definedName name="PF_Employer_Contribution" localSheetId="5">Workers[[#Totals],[PF Employer Contribution]]</definedName>
    <definedName name="PF_Employer_Contribution" localSheetId="7">Workers[[#Totals],[PF Employer Contribution]]</definedName>
    <definedName name="PF_Employer_Contribution" localSheetId="15">Workers[[#Totals],[PF Employer Contribution]]</definedName>
    <definedName name="PF_Employer_Contribution" localSheetId="13">Workers[[#Totals],[PF Employer Contribution]]</definedName>
    <definedName name="PF_Employer_Contribution">Workers[[#Totals],[PF Employer Contribution]]</definedName>
    <definedName name="Remitters_Account">#REF!</definedName>
    <definedName name="Remitters_Name">#REF!</definedName>
    <definedName name="Sample_Tailor_Earned_Salary">Staff!$Q$9</definedName>
    <definedName name="Sample_Tailor_Fixed_Salary">Staff!$M$9</definedName>
    <definedName name="Staff_Deductions">Staff[[#Totals],[Cash Deductions]]</definedName>
    <definedName name="Staff_Earned_Salary">Staff[[#Totals],[EARN SALARY (After Deductions)]]</definedName>
    <definedName name="Staff_Expense">Staff!#REF!</definedName>
    <definedName name="Staff_Fixed_Salary">Staff[[#Totals],[FIXED SALARY]]</definedName>
    <definedName name="Staff_Headcount">Staff[[#Totals],[S.NO]]</definedName>
    <definedName name="Staff_Others_Count" localSheetId="5">#REF!</definedName>
    <definedName name="Staff_Others_Count" localSheetId="7">#REF!</definedName>
    <definedName name="Staff_Others_Count" localSheetId="15">#REF!</definedName>
    <definedName name="Staff_Others_Count" localSheetId="13">#REF!</definedName>
    <definedName name="Staff_Others_Count">#REF!</definedName>
    <definedName name="TotalWorkingDays">#REF!</definedName>
    <definedName name="Working_Days">'Company Workers'!$G$2</definedName>
  </definedNames>
  <calcPr calcId="191028"/>
  <pivotCaches>
    <pivotCache cacheId="7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5" i="66" l="1"/>
  <c r="H35" i="66"/>
  <c r="G35" i="66"/>
  <c r="F35" i="66"/>
  <c r="E35" i="66"/>
  <c r="C35" i="66"/>
  <c r="B35" i="66"/>
  <c r="O34" i="66"/>
  <c r="N34" i="66"/>
  <c r="M34" i="66"/>
  <c r="L34" i="66"/>
  <c r="K34" i="66"/>
  <c r="J34" i="66"/>
  <c r="H34" i="66"/>
  <c r="O33" i="66"/>
  <c r="N33" i="66"/>
  <c r="M33" i="66"/>
  <c r="L33" i="66"/>
  <c r="K33" i="66"/>
  <c r="J33" i="66"/>
  <c r="H33" i="66"/>
  <c r="O32" i="66"/>
  <c r="N32" i="66"/>
  <c r="M32" i="66"/>
  <c r="L32" i="66"/>
  <c r="K32" i="66"/>
  <c r="J32" i="66"/>
  <c r="H32" i="66"/>
  <c r="O31" i="66"/>
  <c r="N31" i="66"/>
  <c r="M31" i="66"/>
  <c r="L31" i="66"/>
  <c r="K31" i="66"/>
  <c r="J31" i="66"/>
  <c r="H31" i="66"/>
  <c r="O30" i="66"/>
  <c r="N30" i="66"/>
  <c r="M30" i="66"/>
  <c r="L30" i="66"/>
  <c r="K30" i="66"/>
  <c r="J30" i="66"/>
  <c r="H30" i="66"/>
  <c r="O29" i="66"/>
  <c r="N29" i="66"/>
  <c r="M29" i="66"/>
  <c r="L29" i="66"/>
  <c r="K29" i="66"/>
  <c r="J29" i="66"/>
  <c r="H29" i="66"/>
  <c r="O28" i="66"/>
  <c r="N28" i="66"/>
  <c r="M28" i="66"/>
  <c r="L28" i="66"/>
  <c r="K28" i="66"/>
  <c r="J28" i="66"/>
  <c r="H28" i="66"/>
  <c r="O27" i="66"/>
  <c r="N27" i="66"/>
  <c r="M27" i="66"/>
  <c r="L27" i="66"/>
  <c r="K27" i="66"/>
  <c r="J27" i="66"/>
  <c r="H27" i="66"/>
  <c r="O26" i="66"/>
  <c r="N26" i="66"/>
  <c r="M26" i="66"/>
  <c r="L26" i="66"/>
  <c r="K26" i="66"/>
  <c r="J26" i="66"/>
  <c r="H26" i="66"/>
  <c r="O25" i="66"/>
  <c r="N25" i="66"/>
  <c r="M25" i="66"/>
  <c r="L25" i="66"/>
  <c r="K25" i="66"/>
  <c r="J25" i="66"/>
  <c r="H25" i="66"/>
  <c r="O24" i="66"/>
  <c r="N24" i="66"/>
  <c r="M24" i="66"/>
  <c r="L24" i="66"/>
  <c r="K24" i="66"/>
  <c r="J24" i="66"/>
  <c r="H24" i="66"/>
  <c r="O23" i="66"/>
  <c r="N23" i="66"/>
  <c r="M23" i="66"/>
  <c r="L23" i="66"/>
  <c r="K23" i="66"/>
  <c r="J23" i="66"/>
  <c r="H23" i="66"/>
  <c r="O22" i="66"/>
  <c r="N22" i="66"/>
  <c r="M22" i="66"/>
  <c r="L22" i="66"/>
  <c r="K22" i="66"/>
  <c r="J22" i="66"/>
  <c r="H22" i="66"/>
  <c r="O21" i="66"/>
  <c r="N21" i="66"/>
  <c r="M21" i="66"/>
  <c r="L21" i="66"/>
  <c r="K21" i="66"/>
  <c r="J21" i="66"/>
  <c r="H21" i="66"/>
  <c r="O20" i="66"/>
  <c r="N20" i="66"/>
  <c r="M20" i="66"/>
  <c r="L20" i="66"/>
  <c r="K20" i="66"/>
  <c r="J20" i="66"/>
  <c r="H20" i="66"/>
  <c r="O19" i="66"/>
  <c r="N19" i="66"/>
  <c r="M19" i="66"/>
  <c r="L19" i="66"/>
  <c r="K19" i="66"/>
  <c r="J19" i="66"/>
  <c r="H19" i="66"/>
  <c r="O18" i="66"/>
  <c r="N18" i="66"/>
  <c r="M18" i="66"/>
  <c r="L18" i="66"/>
  <c r="K18" i="66"/>
  <c r="J18" i="66"/>
  <c r="H18" i="66"/>
  <c r="O17" i="66"/>
  <c r="N17" i="66"/>
  <c r="M17" i="66"/>
  <c r="L17" i="66"/>
  <c r="K17" i="66"/>
  <c r="J17" i="66"/>
  <c r="H17" i="66"/>
  <c r="O16" i="66"/>
  <c r="N16" i="66"/>
  <c r="M16" i="66"/>
  <c r="L16" i="66"/>
  <c r="K16" i="66"/>
  <c r="J16" i="66"/>
  <c r="H16" i="66"/>
  <c r="O15" i="66"/>
  <c r="N15" i="66"/>
  <c r="M15" i="66"/>
  <c r="L15" i="66"/>
  <c r="K15" i="66"/>
  <c r="J15" i="66"/>
  <c r="H15" i="66"/>
  <c r="O14" i="66"/>
  <c r="N14" i="66"/>
  <c r="M14" i="66"/>
  <c r="L14" i="66"/>
  <c r="K14" i="66"/>
  <c r="J14" i="66"/>
  <c r="H14" i="66"/>
  <c r="O13" i="66"/>
  <c r="N13" i="66"/>
  <c r="M13" i="66"/>
  <c r="L13" i="66"/>
  <c r="K13" i="66"/>
  <c r="J13" i="66"/>
  <c r="H13" i="66"/>
  <c r="O12" i="66"/>
  <c r="N12" i="66"/>
  <c r="M12" i="66"/>
  <c r="L12" i="66"/>
  <c r="K12" i="66"/>
  <c r="J12" i="66"/>
  <c r="H12" i="66"/>
  <c r="O11" i="66"/>
  <c r="N11" i="66"/>
  <c r="M11" i="66"/>
  <c r="L11" i="66"/>
  <c r="K11" i="66"/>
  <c r="J11" i="66"/>
  <c r="H11" i="66"/>
  <c r="O10" i="66"/>
  <c r="N10" i="66"/>
  <c r="M10" i="66"/>
  <c r="L10" i="66"/>
  <c r="K10" i="66"/>
  <c r="J10" i="66"/>
  <c r="H10" i="66"/>
  <c r="O9" i="66"/>
  <c r="N9" i="66"/>
  <c r="M9" i="66"/>
  <c r="L9" i="66"/>
  <c r="K9" i="66"/>
  <c r="J9" i="66"/>
  <c r="H9" i="66"/>
  <c r="O8" i="66"/>
  <c r="N8" i="66"/>
  <c r="M8" i="66"/>
  <c r="L8" i="66"/>
  <c r="K8" i="66"/>
  <c r="J8" i="66"/>
  <c r="H8" i="66"/>
  <c r="G8" i="66"/>
  <c r="O12" i="45" s="1"/>
  <c r="O7" i="66"/>
  <c r="N7" i="66"/>
  <c r="M7" i="66"/>
  <c r="L7" i="66"/>
  <c r="K7" i="66"/>
  <c r="J7" i="66"/>
  <c r="H7" i="66"/>
  <c r="O6" i="66"/>
  <c r="N6" i="66"/>
  <c r="M6" i="66"/>
  <c r="L6" i="66"/>
  <c r="K6" i="66"/>
  <c r="J6" i="66"/>
  <c r="H6" i="66"/>
  <c r="O5" i="66"/>
  <c r="N5" i="66"/>
  <c r="M5" i="66"/>
  <c r="L5" i="66"/>
  <c r="K5" i="66"/>
  <c r="J5" i="66"/>
  <c r="H5" i="66"/>
  <c r="O4" i="66"/>
  <c r="N4" i="66"/>
  <c r="M4" i="66"/>
  <c r="L4" i="66"/>
  <c r="K4" i="66"/>
  <c r="J4" i="66"/>
  <c r="H4" i="66"/>
  <c r="O3" i="66"/>
  <c r="N3" i="66"/>
  <c r="M3" i="66"/>
  <c r="L3" i="66"/>
  <c r="K3" i="66"/>
  <c r="J3" i="66"/>
  <c r="H3" i="66"/>
  <c r="M11" i="45"/>
  <c r="F3" i="40"/>
  <c r="X16" i="49"/>
  <c r="B90" i="77"/>
  <c r="I8" i="37"/>
  <c r="I9" i="37"/>
  <c r="I10" i="37"/>
  <c r="I11" i="37"/>
  <c r="I12" i="37"/>
  <c r="I13" i="37"/>
  <c r="I14" i="37"/>
  <c r="I15" i="37"/>
  <c r="H10" i="37"/>
  <c r="H11" i="37"/>
  <c r="H12" i="37"/>
  <c r="H13" i="37"/>
  <c r="H14" i="37"/>
  <c r="H15" i="37"/>
  <c r="G10" i="37"/>
  <c r="G11" i="37"/>
  <c r="G12" i="37"/>
  <c r="G13" i="37"/>
  <c r="G14" i="37"/>
  <c r="G15" i="37"/>
  <c r="F13" i="37"/>
  <c r="K13" i="37" s="1"/>
  <c r="O13" i="37" s="1"/>
  <c r="S13" i="37" s="1"/>
  <c r="F12" i="37"/>
  <c r="K12" i="37" s="1"/>
  <c r="F14" i="37"/>
  <c r="K14" i="37" s="1"/>
  <c r="F15" i="37"/>
  <c r="K15" i="37" s="1"/>
  <c r="L15" i="37"/>
  <c r="L4" i="37"/>
  <c r="L5" i="37"/>
  <c r="L6" i="37"/>
  <c r="L7" i="37"/>
  <c r="L8" i="37"/>
  <c r="L9" i="37"/>
  <c r="L10" i="37"/>
  <c r="L11" i="37"/>
  <c r="L12" i="37"/>
  <c r="L13" i="37"/>
  <c r="L14" i="37"/>
  <c r="M13" i="37"/>
  <c r="H7" i="49"/>
  <c r="A5" i="40"/>
  <c r="F5" i="40"/>
  <c r="J5" i="40" s="1"/>
  <c r="D6" i="40"/>
  <c r="E6" i="40"/>
  <c r="P15" i="37"/>
  <c r="P14" i="37"/>
  <c r="P3" i="37"/>
  <c r="E15" i="37"/>
  <c r="E14" i="37"/>
  <c r="E13" i="37"/>
  <c r="A12" i="46"/>
  <c r="F12" i="46"/>
  <c r="G12" i="46"/>
  <c r="H12" i="46" s="1"/>
  <c r="I12" i="46"/>
  <c r="J12" i="46"/>
  <c r="K12" i="46"/>
  <c r="L12" i="46"/>
  <c r="M12" i="46"/>
  <c r="E13" i="46"/>
  <c r="A11" i="46"/>
  <c r="F11" i="46"/>
  <c r="G11" i="46"/>
  <c r="M11" i="46" s="1"/>
  <c r="J11" i="46"/>
  <c r="F4" i="46"/>
  <c r="F5" i="46"/>
  <c r="F6" i="46"/>
  <c r="F7" i="46"/>
  <c r="F8" i="46"/>
  <c r="J8" i="46" s="1"/>
  <c r="F10" i="46"/>
  <c r="J10" i="46" s="1"/>
  <c r="F3" i="46"/>
  <c r="D9" i="46"/>
  <c r="A10" i="46"/>
  <c r="G10" i="46"/>
  <c r="A7" i="46"/>
  <c r="J7" i="46"/>
  <c r="G7" i="46"/>
  <c r="H7" i="46" s="1"/>
  <c r="A8" i="46"/>
  <c r="G8" i="46"/>
  <c r="H8" i="46" s="1"/>
  <c r="A9" i="46"/>
  <c r="G9" i="46"/>
  <c r="K9" i="46" s="1"/>
  <c r="A6" i="46"/>
  <c r="J6" i="46"/>
  <c r="G6" i="46"/>
  <c r="I6" i="46" s="1"/>
  <c r="G4" i="49"/>
  <c r="AD16" i="49"/>
  <c r="B41" i="77"/>
  <c r="G3" i="40"/>
  <c r="G4" i="40"/>
  <c r="A4" i="40"/>
  <c r="AC16" i="49"/>
  <c r="A5" i="49"/>
  <c r="P11" i="37"/>
  <c r="R11" i="37" s="1"/>
  <c r="P12" i="37"/>
  <c r="R12" i="37" s="1"/>
  <c r="E11" i="37"/>
  <c r="E12" i="37"/>
  <c r="G5" i="46"/>
  <c r="K5" i="46" s="1"/>
  <c r="G3" i="46"/>
  <c r="K3" i="46" s="1"/>
  <c r="G4" i="46"/>
  <c r="K4" i="46" s="1"/>
  <c r="I6" i="49"/>
  <c r="F7" i="37"/>
  <c r="K7" i="37" s="1"/>
  <c r="G9" i="37"/>
  <c r="F9" i="41"/>
  <c r="K7" i="49"/>
  <c r="H8" i="37"/>
  <c r="F3" i="37"/>
  <c r="I5" i="37"/>
  <c r="G3" i="37"/>
  <c r="I7" i="37"/>
  <c r="H8" i="49"/>
  <c r="I4" i="49"/>
  <c r="I5" i="49"/>
  <c r="I9" i="41"/>
  <c r="H5" i="37"/>
  <c r="I6" i="41"/>
  <c r="G6" i="37"/>
  <c r="F6" i="37"/>
  <c r="K6" i="37" s="1"/>
  <c r="K8" i="49"/>
  <c r="I9" i="49"/>
  <c r="H9" i="49"/>
  <c r="G5" i="37"/>
  <c r="H6" i="37"/>
  <c r="G7" i="37"/>
  <c r="N10" i="49"/>
  <c r="N11" i="49"/>
  <c r="I4" i="41"/>
  <c r="I4" i="37"/>
  <c r="I7" i="49"/>
  <c r="F10" i="37"/>
  <c r="K10" i="37" s="1"/>
  <c r="N5" i="49"/>
  <c r="H3" i="37"/>
  <c r="I3" i="41"/>
  <c r="N12" i="49"/>
  <c r="F4" i="37"/>
  <c r="K4" i="37" s="1"/>
  <c r="N6" i="49"/>
  <c r="I5" i="41"/>
  <c r="H4" i="37"/>
  <c r="N7" i="49"/>
  <c r="F8" i="37"/>
  <c r="K8" i="37" s="1"/>
  <c r="G8" i="37"/>
  <c r="F11" i="37"/>
  <c r="K11" i="37" s="1"/>
  <c r="F5" i="37"/>
  <c r="K5" i="37" s="1"/>
  <c r="F9" i="37"/>
  <c r="K9" i="37" s="1"/>
  <c r="H7" i="37"/>
  <c r="I6" i="37"/>
  <c r="I12" i="49"/>
  <c r="N8" i="49"/>
  <c r="H10" i="49"/>
  <c r="I7" i="41"/>
  <c r="J7" i="49"/>
  <c r="I8" i="49"/>
  <c r="I10" i="49"/>
  <c r="I11" i="49"/>
  <c r="H9" i="41"/>
  <c r="G4" i="37"/>
  <c r="K9" i="49"/>
  <c r="J9" i="49"/>
  <c r="H9" i="37"/>
  <c r="F3" i="41"/>
  <c r="N4" i="49"/>
  <c r="K10" i="49"/>
  <c r="J8" i="49"/>
  <c r="H8" i="41"/>
  <c r="N9" i="49"/>
  <c r="T15" i="37" l="1"/>
  <c r="R15" i="37"/>
  <c r="T14" i="37"/>
  <c r="R14" i="37"/>
  <c r="T12" i="37"/>
  <c r="Q12" i="37"/>
  <c r="O14" i="37"/>
  <c r="S14" i="37" s="1"/>
  <c r="O15" i="37"/>
  <c r="S15" i="37" s="1"/>
  <c r="I5" i="40"/>
  <c r="K5" i="40"/>
  <c r="H5" i="40"/>
  <c r="L5" i="40"/>
  <c r="V15" i="37"/>
  <c r="U15" i="37"/>
  <c r="Q15" i="37"/>
  <c r="V14" i="37"/>
  <c r="U14" i="37"/>
  <c r="Q14" i="37"/>
  <c r="H11" i="46"/>
  <c r="L11" i="46"/>
  <c r="I10" i="46"/>
  <c r="M10" i="46"/>
  <c r="D13" i="46"/>
  <c r="F9" i="46"/>
  <c r="K11" i="46"/>
  <c r="I11" i="46"/>
  <c r="K7" i="46"/>
  <c r="M7" i="46"/>
  <c r="L7" i="46"/>
  <c r="L10" i="46"/>
  <c r="K10" i="46"/>
  <c r="H10" i="46"/>
  <c r="H9" i="46"/>
  <c r="L8" i="46"/>
  <c r="I7" i="46"/>
  <c r="M8" i="46"/>
  <c r="I9" i="46"/>
  <c r="M9" i="46"/>
  <c r="L9" i="46"/>
  <c r="K8" i="46"/>
  <c r="I8" i="46"/>
  <c r="K6" i="46"/>
  <c r="M6" i="46"/>
  <c r="L6" i="46"/>
  <c r="H6" i="46"/>
  <c r="M8" i="49"/>
  <c r="M7" i="49"/>
  <c r="L9" i="41"/>
  <c r="M9" i="49"/>
  <c r="U11" i="37"/>
  <c r="V11" i="37"/>
  <c r="Q11" i="37"/>
  <c r="T11" i="37"/>
  <c r="U12" i="37"/>
  <c r="V12" i="37"/>
  <c r="F4" i="40"/>
  <c r="K3" i="40"/>
  <c r="I4" i="40"/>
  <c r="H4" i="40"/>
  <c r="L4" i="40"/>
  <c r="K4" i="40"/>
  <c r="I3" i="40"/>
  <c r="L3" i="40"/>
  <c r="H3" i="40"/>
  <c r="O11" i="37"/>
  <c r="O12" i="37"/>
  <c r="N5" i="45" l="1"/>
  <c r="N6" i="45"/>
  <c r="N7" i="45"/>
  <c r="N8" i="45"/>
  <c r="N9" i="45"/>
  <c r="N10" i="45"/>
  <c r="N11" i="45"/>
  <c r="J3" i="40"/>
  <c r="F6" i="40"/>
  <c r="M10" i="45" s="1"/>
  <c r="F13" i="46"/>
  <c r="J9" i="46"/>
  <c r="J4" i="40"/>
  <c r="S12" i="37"/>
  <c r="S11" i="37"/>
  <c r="R4" i="41" l="1"/>
  <c r="R5" i="41"/>
  <c r="R6" i="41"/>
  <c r="V6" i="41" s="1"/>
  <c r="R7" i="41"/>
  <c r="R8" i="41"/>
  <c r="X8" i="41" s="1"/>
  <c r="R9" i="41"/>
  <c r="R3" i="41"/>
  <c r="P10" i="37"/>
  <c r="P9" i="37"/>
  <c r="R9" i="37" s="1"/>
  <c r="P8" i="37"/>
  <c r="R8" i="37" s="1"/>
  <c r="P7" i="37"/>
  <c r="R7" i="37" s="1"/>
  <c r="P6" i="37"/>
  <c r="R6" i="37" s="1"/>
  <c r="P5" i="37"/>
  <c r="R5" i="37" s="1"/>
  <c r="P4" i="37"/>
  <c r="R4" i="37" s="1"/>
  <c r="B77" i="77"/>
  <c r="O10" i="41"/>
  <c r="H15" i="49"/>
  <c r="M15" i="49" s="1"/>
  <c r="H14" i="49"/>
  <c r="M14" i="49" s="1"/>
  <c r="H13" i="49"/>
  <c r="M13" i="49" s="1"/>
  <c r="A3" i="40"/>
  <c r="E4" i="37"/>
  <c r="E5" i="37"/>
  <c r="E6" i="37"/>
  <c r="E7" i="37"/>
  <c r="E8" i="37"/>
  <c r="E9" i="37"/>
  <c r="E10" i="37"/>
  <c r="O10" i="37" s="1"/>
  <c r="E3" i="37"/>
  <c r="AH5" i="49"/>
  <c r="AH6" i="49"/>
  <c r="AH7" i="49"/>
  <c r="AH8" i="49"/>
  <c r="AH9" i="49"/>
  <c r="AH10" i="49"/>
  <c r="AH11" i="49"/>
  <c r="AH12" i="49"/>
  <c r="AH13" i="49"/>
  <c r="AH14" i="49"/>
  <c r="AH15" i="49"/>
  <c r="AH4" i="49"/>
  <c r="G5" i="49"/>
  <c r="G6" i="49"/>
  <c r="G7" i="49"/>
  <c r="G8" i="49"/>
  <c r="G9" i="49"/>
  <c r="G10" i="49"/>
  <c r="G11" i="49"/>
  <c r="G12" i="49"/>
  <c r="G13" i="49"/>
  <c r="G14" i="49"/>
  <c r="G15" i="49"/>
  <c r="G50" i="45"/>
  <c r="G49" i="45"/>
  <c r="G48" i="45"/>
  <c r="A4" i="41"/>
  <c r="A5" i="41" s="1"/>
  <c r="A6" i="41" s="1"/>
  <c r="A7" i="41" s="1"/>
  <c r="A8" i="41" s="1"/>
  <c r="A9" i="41" s="1"/>
  <c r="E4" i="41"/>
  <c r="E5" i="41"/>
  <c r="E6" i="41"/>
  <c r="E7" i="41"/>
  <c r="E8" i="41"/>
  <c r="E9" i="41"/>
  <c r="M9" i="41"/>
  <c r="E3" i="41"/>
  <c r="F53" i="45"/>
  <c r="F8" i="41"/>
  <c r="H6" i="41"/>
  <c r="H4" i="49"/>
  <c r="F6" i="41"/>
  <c r="H5" i="41"/>
  <c r="L3" i="37"/>
  <c r="J6" i="49"/>
  <c r="J10" i="49"/>
  <c r="K12" i="49"/>
  <c r="F4" i="41"/>
  <c r="F7" i="41"/>
  <c r="K5" i="49"/>
  <c r="J5" i="49"/>
  <c r="J4" i="49"/>
  <c r="G6" i="41"/>
  <c r="K6" i="49"/>
  <c r="J11" i="49"/>
  <c r="G8" i="41"/>
  <c r="K11" i="49"/>
  <c r="F5" i="41"/>
  <c r="H4" i="41"/>
  <c r="H3" i="41"/>
  <c r="G3" i="41"/>
  <c r="H7" i="41"/>
  <c r="J12" i="49"/>
  <c r="H5" i="49"/>
  <c r="G7" i="41"/>
  <c r="H6" i="49"/>
  <c r="H12" i="49"/>
  <c r="I8" i="41"/>
  <c r="I3" i="37"/>
  <c r="G5" i="41"/>
  <c r="G4" i="41"/>
  <c r="K4" i="49"/>
  <c r="H11" i="49"/>
  <c r="V8" i="41" l="1"/>
  <c r="W8" i="41"/>
  <c r="S9" i="41"/>
  <c r="T9" i="41"/>
  <c r="V15" i="49"/>
  <c r="Q10" i="37"/>
  <c r="R10" i="37"/>
  <c r="AJ5" i="49"/>
  <c r="AI5" i="49"/>
  <c r="AL5" i="49"/>
  <c r="AN5" i="49"/>
  <c r="AM5" i="49"/>
  <c r="AJ6" i="49"/>
  <c r="AI6" i="49"/>
  <c r="AL6" i="49"/>
  <c r="AM6" i="49"/>
  <c r="AN6" i="49"/>
  <c r="AN7" i="49"/>
  <c r="AL7" i="49"/>
  <c r="AI7" i="49"/>
  <c r="AM7" i="49"/>
  <c r="AJ7" i="49"/>
  <c r="AI8" i="49"/>
  <c r="AL8" i="49"/>
  <c r="AM8" i="49"/>
  <c r="AJ8" i="49"/>
  <c r="AN8" i="49"/>
  <c r="AI9" i="49"/>
  <c r="AL9" i="49"/>
  <c r="AM9" i="49"/>
  <c r="AJ9" i="49"/>
  <c r="AN9" i="49"/>
  <c r="AI10" i="49"/>
  <c r="AL10" i="49"/>
  <c r="AJ10" i="49"/>
  <c r="AN10" i="49"/>
  <c r="AM10" i="49"/>
  <c r="AI11" i="49"/>
  <c r="AL11" i="49"/>
  <c r="AJ11" i="49"/>
  <c r="AM11" i="49"/>
  <c r="AN11" i="49"/>
  <c r="AI12" i="49"/>
  <c r="AL12" i="49"/>
  <c r="AJ12" i="49"/>
  <c r="AM12" i="49"/>
  <c r="AN12" i="49"/>
  <c r="AI4" i="49"/>
  <c r="AM4" i="49"/>
  <c r="AL4" i="49"/>
  <c r="AN4" i="49"/>
  <c r="AJ4" i="49"/>
  <c r="L6" i="41"/>
  <c r="L7" i="41"/>
  <c r="L3" i="41"/>
  <c r="N3" i="41" s="1"/>
  <c r="L5" i="41"/>
  <c r="L4" i="41"/>
  <c r="L8" i="41"/>
  <c r="M11" i="49"/>
  <c r="M10" i="49"/>
  <c r="M6" i="49"/>
  <c r="M5" i="49"/>
  <c r="M12" i="49"/>
  <c r="AI15" i="49"/>
  <c r="AN15" i="49"/>
  <c r="AL15" i="49"/>
  <c r="AJ15" i="49"/>
  <c r="AM15" i="49"/>
  <c r="AI14" i="49"/>
  <c r="AM14" i="49"/>
  <c r="AN14" i="49"/>
  <c r="AJ14" i="49"/>
  <c r="AL14" i="49"/>
  <c r="AI13" i="49"/>
  <c r="AL13" i="49"/>
  <c r="AM13" i="49"/>
  <c r="AN13" i="49"/>
  <c r="AJ13" i="49"/>
  <c r="V13" i="49"/>
  <c r="V14" i="49"/>
  <c r="S8" i="41"/>
  <c r="T8" i="41"/>
  <c r="G53" i="45"/>
  <c r="V9" i="41"/>
  <c r="W9" i="41"/>
  <c r="X9" i="41"/>
  <c r="M10" i="41"/>
  <c r="A10" i="41"/>
  <c r="X5" i="41"/>
  <c r="O9" i="37"/>
  <c r="O5" i="37"/>
  <c r="O4" i="37"/>
  <c r="O7" i="37"/>
  <c r="O8" i="37"/>
  <c r="K3" i="37"/>
  <c r="H4" i="46"/>
  <c r="L4" i="46"/>
  <c r="M4" i="46"/>
  <c r="I4" i="46"/>
  <c r="H5" i="46"/>
  <c r="I5" i="46"/>
  <c r="M5" i="46"/>
  <c r="L5" i="46"/>
  <c r="M3" i="46"/>
  <c r="L3" i="46"/>
  <c r="I3" i="46"/>
  <c r="H3" i="46"/>
  <c r="T4" i="41"/>
  <c r="X4" i="41"/>
  <c r="S4" i="41"/>
  <c r="W4" i="41"/>
  <c r="V4" i="41"/>
  <c r="S5" i="41"/>
  <c r="W5" i="41"/>
  <c r="V5" i="41"/>
  <c r="T5" i="41"/>
  <c r="T6" i="41"/>
  <c r="X6" i="41"/>
  <c r="S6" i="41"/>
  <c r="W6" i="41"/>
  <c r="S7" i="41"/>
  <c r="T7" i="41"/>
  <c r="V7" i="41"/>
  <c r="W7" i="41"/>
  <c r="X7" i="41"/>
  <c r="X3" i="41"/>
  <c r="W3" i="41"/>
  <c r="V3" i="41"/>
  <c r="T3" i="41"/>
  <c r="S3" i="41"/>
  <c r="V10" i="37"/>
  <c r="U10" i="37"/>
  <c r="T10" i="37"/>
  <c r="T9" i="37"/>
  <c r="Q9" i="37"/>
  <c r="U9" i="37"/>
  <c r="V9" i="37"/>
  <c r="V8" i="37"/>
  <c r="T8" i="37"/>
  <c r="U8" i="37"/>
  <c r="Q8" i="37"/>
  <c r="V7" i="37"/>
  <c r="T7" i="37"/>
  <c r="Q7" i="37"/>
  <c r="U7" i="37"/>
  <c r="T6" i="37"/>
  <c r="V6" i="37"/>
  <c r="Q6" i="37"/>
  <c r="U6" i="37"/>
  <c r="V5" i="37"/>
  <c r="T5" i="37"/>
  <c r="U5" i="37"/>
  <c r="Q5" i="37"/>
  <c r="V4" i="37"/>
  <c r="Q4" i="37"/>
  <c r="T4" i="37"/>
  <c r="U4" i="37"/>
  <c r="R3" i="37"/>
  <c r="T3" i="37"/>
  <c r="U3" i="37"/>
  <c r="V3" i="37"/>
  <c r="Q3" i="37"/>
  <c r="M4" i="49"/>
  <c r="J15" i="49"/>
  <c r="J14" i="49"/>
  <c r="J13" i="49"/>
  <c r="E42" i="45"/>
  <c r="O3" i="37" l="1"/>
  <c r="O6" i="37"/>
  <c r="X10" i="41"/>
  <c r="Q3" i="41"/>
  <c r="U3" i="41" s="1"/>
  <c r="N9" i="41"/>
  <c r="Q9" i="41" s="1"/>
  <c r="N6" i="41"/>
  <c r="Q6" i="41" s="1"/>
  <c r="U6" i="41" s="1"/>
  <c r="N7" i="41"/>
  <c r="Q7" i="41" s="1"/>
  <c r="U7" i="41" s="1"/>
  <c r="N4" i="41"/>
  <c r="N5" i="41"/>
  <c r="Q5" i="41" s="1"/>
  <c r="U5" i="41" s="1"/>
  <c r="N8" i="41"/>
  <c r="Q8" i="41" s="1"/>
  <c r="U8" i="41" s="1"/>
  <c r="S9" i="37"/>
  <c r="S16" i="37" l="1"/>
  <c r="P10" i="41"/>
  <c r="U9" i="41"/>
  <c r="M6" i="45"/>
  <c r="Q4" i="41"/>
  <c r="U4" i="41" s="1"/>
  <c r="N10" i="41"/>
  <c r="Q10" i="41" l="1"/>
  <c r="M5" i="45" s="1"/>
  <c r="M16" i="37"/>
  <c r="J11" i="45" a="1"/>
  <c r="F9" i="45" a="1"/>
  <c r="E8" i="45"/>
  <c r="S10" i="37" l="1"/>
  <c r="S7" i="37"/>
  <c r="J4" i="46"/>
  <c r="J5" i="46"/>
  <c r="J3" i="46" l="1"/>
  <c r="M9" i="45"/>
  <c r="S8" i="37"/>
  <c r="H11" i="45"/>
  <c r="F6" i="45" l="1"/>
  <c r="F7" i="45"/>
  <c r="Q15" i="49"/>
  <c r="Q14" i="49"/>
  <c r="Q13" i="49"/>
  <c r="Q12" i="49"/>
  <c r="Q11" i="49"/>
  <c r="T11" i="49" s="1"/>
  <c r="Q10" i="49"/>
  <c r="Q9" i="49"/>
  <c r="Q8" i="49"/>
  <c r="Q7" i="49"/>
  <c r="Q6" i="49"/>
  <c r="Q5" i="49"/>
  <c r="Q4" i="49"/>
  <c r="T4" i="49" s="1"/>
  <c r="A5" i="46"/>
  <c r="A4" i="46"/>
  <c r="A3" i="46"/>
  <c r="A4" i="37"/>
  <c r="A6" i="40"/>
  <c r="D10" i="45" s="1"/>
  <c r="A13" i="46" l="1"/>
  <c r="D11" i="45"/>
  <c r="S6" i="37"/>
  <c r="S5" i="37"/>
  <c r="S4" i="37"/>
  <c r="S3" i="37"/>
  <c r="J5" i="45"/>
  <c r="J10" i="45" a="1"/>
  <c r="H10" i="45"/>
  <c r="F5" i="45"/>
  <c r="T15" i="49"/>
  <c r="U15" i="49"/>
  <c r="W15" i="49"/>
  <c r="U14" i="49"/>
  <c r="T14" i="49"/>
  <c r="W14" i="49"/>
  <c r="T13" i="49"/>
  <c r="U13" i="49"/>
  <c r="W13" i="49"/>
  <c r="T12" i="49"/>
  <c r="U12" i="49"/>
  <c r="W12" i="49"/>
  <c r="V12" i="49"/>
  <c r="V11" i="49"/>
  <c r="W11" i="49"/>
  <c r="U10" i="49"/>
  <c r="T10" i="49"/>
  <c r="W10" i="49"/>
  <c r="V10" i="49"/>
  <c r="T9" i="49"/>
  <c r="U9" i="49"/>
  <c r="W9" i="49"/>
  <c r="V9" i="49"/>
  <c r="U8" i="49"/>
  <c r="T8" i="49"/>
  <c r="V8" i="49"/>
  <c r="W8" i="49"/>
  <c r="T7" i="49"/>
  <c r="U7" i="49"/>
  <c r="W7" i="49"/>
  <c r="V7" i="49"/>
  <c r="U6" i="49"/>
  <c r="T6" i="49"/>
  <c r="W6" i="49"/>
  <c r="V6" i="49"/>
  <c r="U5" i="49"/>
  <c r="T5" i="49"/>
  <c r="W5" i="49"/>
  <c r="V5" i="49"/>
  <c r="U4" i="49"/>
  <c r="V4" i="49"/>
  <c r="W4" i="49"/>
  <c r="A6" i="49"/>
  <c r="A7" i="49" s="1"/>
  <c r="U11" i="49"/>
  <c r="A5" i="37"/>
  <c r="A6" i="37" s="1"/>
  <c r="A7" i="37" s="1"/>
  <c r="A8" i="37" s="1"/>
  <c r="A9" i="37" s="1"/>
  <c r="A10" i="37" s="1"/>
  <c r="A11" i="37" s="1"/>
  <c r="A12" i="37" s="1"/>
  <c r="I7" i="45"/>
  <c r="X4" i="49" l="1"/>
  <c r="T16" i="49"/>
  <c r="L10" i="45"/>
  <c r="O16" i="37"/>
  <c r="K10" i="45"/>
  <c r="H6" i="45"/>
  <c r="X15" i="49"/>
  <c r="Y15" i="49"/>
  <c r="X14" i="49"/>
  <c r="Y14" i="49"/>
  <c r="X13" i="49"/>
  <c r="Y13" i="49"/>
  <c r="X12" i="49"/>
  <c r="Y12" i="49"/>
  <c r="Y10" i="49"/>
  <c r="X10" i="49"/>
  <c r="X9" i="49"/>
  <c r="Y9" i="49"/>
  <c r="X8" i="49"/>
  <c r="Y8" i="49"/>
  <c r="X7" i="49"/>
  <c r="Y7" i="49"/>
  <c r="X6" i="49"/>
  <c r="Y6" i="49"/>
  <c r="Y5" i="49"/>
  <c r="X5" i="49"/>
  <c r="Y4" i="49"/>
  <c r="X11" i="49"/>
  <c r="Y11" i="49"/>
  <c r="Y16" i="49" l="1"/>
  <c r="L6" i="45"/>
  <c r="H5" i="45"/>
  <c r="F8" i="45" a="1"/>
  <c r="I8" i="45" s="1"/>
  <c r="AB15" i="49"/>
  <c r="Z15" i="49"/>
  <c r="Z14" i="49"/>
  <c r="AB14" i="49"/>
  <c r="AB13" i="49"/>
  <c r="Z13" i="49"/>
  <c r="AB4" i="49"/>
  <c r="Z4" i="49"/>
  <c r="Z11" i="49"/>
  <c r="AB11" i="49"/>
  <c r="Z6" i="49"/>
  <c r="AB6" i="49"/>
  <c r="AB7" i="49"/>
  <c r="Z7" i="49"/>
  <c r="Z9" i="49"/>
  <c r="AB9" i="49"/>
  <c r="AB12" i="49"/>
  <c r="Z12" i="49"/>
  <c r="Z5" i="49"/>
  <c r="AB5" i="49"/>
  <c r="AB10" i="49"/>
  <c r="Z10" i="49"/>
  <c r="Z8" i="49"/>
  <c r="AB8" i="49"/>
  <c r="K6" i="45"/>
  <c r="A16" i="37"/>
  <c r="AA15" i="49"/>
  <c r="AE15" i="49" s="1"/>
  <c r="AF15" i="49" s="1"/>
  <c r="AK15" i="49" s="1"/>
  <c r="AA14" i="49"/>
  <c r="AE14" i="49" s="1"/>
  <c r="AF14" i="49" s="1"/>
  <c r="AK14" i="49" s="1"/>
  <c r="AA13" i="49"/>
  <c r="AE13" i="49" s="1"/>
  <c r="AF13" i="49" s="1"/>
  <c r="AK13" i="49" s="1"/>
  <c r="AA12" i="49"/>
  <c r="AE12" i="49" s="1"/>
  <c r="AA10" i="49"/>
  <c r="AE10" i="49" s="1"/>
  <c r="AA9" i="49"/>
  <c r="AE9" i="49" s="1"/>
  <c r="AA8" i="49"/>
  <c r="AE8" i="49" s="1"/>
  <c r="AA7" i="49"/>
  <c r="AE7" i="49" s="1"/>
  <c r="AF7" i="49" s="1"/>
  <c r="AA6" i="49"/>
  <c r="AE6" i="49" s="1"/>
  <c r="AA5" i="49"/>
  <c r="AE5" i="49" s="1"/>
  <c r="AA4" i="49"/>
  <c r="AE4" i="49" s="1"/>
  <c r="AA11" i="49"/>
  <c r="AE11" i="49" s="1"/>
  <c r="I5" i="45"/>
  <c r="D5" i="45"/>
  <c r="H7" i="45"/>
  <c r="L7" i="45" s="1"/>
  <c r="M7" i="45"/>
  <c r="H8" i="45" l="1"/>
  <c r="K8" i="45" s="1"/>
  <c r="AB16" i="49"/>
  <c r="AA18" i="49" s="1"/>
  <c r="Z16" i="49"/>
  <c r="AA16" i="49"/>
  <c r="AF4" i="49"/>
  <c r="AK4" i="49" s="1"/>
  <c r="D7" i="45"/>
  <c r="AF10" i="49"/>
  <c r="AK10" i="49" s="1"/>
  <c r="AF6" i="49"/>
  <c r="AK6" i="49" s="1"/>
  <c r="AK7" i="49"/>
  <c r="AF8" i="49"/>
  <c r="AK8" i="49" s="1"/>
  <c r="AF5" i="49"/>
  <c r="AK5" i="49" s="1"/>
  <c r="AF9" i="49"/>
  <c r="AK9" i="49" s="1"/>
  <c r="AF11" i="49"/>
  <c r="AK11" i="49" s="1"/>
  <c r="K7" i="45"/>
  <c r="K5" i="45"/>
  <c r="L5" i="45"/>
  <c r="F10" i="45"/>
  <c r="A8" i="49"/>
  <c r="G5" i="45"/>
  <c r="G7" i="45" l="1"/>
  <c r="AF12" i="49"/>
  <c r="AE16" i="49"/>
  <c r="G10" i="45"/>
  <c r="A9" i="49"/>
  <c r="A10" i="49" s="1"/>
  <c r="A11" i="49" s="1"/>
  <c r="A12" i="49" s="1"/>
  <c r="A13" i="49" s="1"/>
  <c r="A14" i="49" s="1"/>
  <c r="A15" i="49" s="1"/>
  <c r="AF16" i="49" l="1"/>
  <c r="AK12" i="49"/>
  <c r="J8" i="45" a="1"/>
  <c r="M8" i="45" l="1"/>
  <c r="M13" i="45" s="1"/>
  <c r="AB18" i="49"/>
  <c r="AK16" i="49"/>
  <c r="F11" i="45"/>
  <c r="N13" i="45" l="1"/>
  <c r="I11" i="45"/>
  <c r="I13" i="45" s="1"/>
  <c r="D8" i="45" l="1"/>
  <c r="D13" i="45" s="1"/>
  <c r="G11" i="45"/>
  <c r="G8" i="45" l="1"/>
  <c r="K11" i="45"/>
  <c r="L11" i="45" s="1"/>
  <c r="H9" i="45" l="1"/>
  <c r="F13" i="45"/>
  <c r="F14" i="45" s="1"/>
  <c r="K9" i="45" l="1"/>
  <c r="L9" i="45"/>
  <c r="H13" i="45"/>
  <c r="L8" i="45" s="1"/>
  <c r="L13" i="45" l="1"/>
  <c r="L14" i="45" s="1"/>
  <c r="P13" i="37"/>
  <c r="U13" i="37" s="1"/>
  <c r="T13" i="37" l="1"/>
  <c r="V13" i="37"/>
  <c r="R13" i="37"/>
  <c r="Q13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tc={12F74C7B-5C14-4C69-8093-0D2CC7C6E13C}</author>
    <author>tc={E9DCF294-D4EE-40EC-BF8B-E85AFD4B7BB4}</author>
    <author>tc={8889DE83-996F-45FC-B6F9-2FC2958A7703}</author>
  </authors>
  <commentList>
    <comment ref="K3" authorId="0" shapeId="0" xr:uid="{12F74C7B-5C14-4C69-8093-0D2CC7C6E13C}">
      <text>
        <t>[Threaded comment]
Your version of Excel allows you to read this threaded comment; however, any edits to it will get removed if the file is opened in a newer version of Excel. Learn more: https://go.microsoft.com/fwlink/?linkid=870924
Comment:
    19.07.2026 CMP PAID &amp; 2.08.2026 CMP PAID</t>
      </text>
    </comment>
    <comment ref="K6" authorId="1" shapeId="0" xr:uid="{E9DCF294-D4EE-40EC-BF8B-E85AFD4B7BB4}">
      <text>
        <t>[Threaded comment]
Your version of Excel allows you to read this threaded comment; however, any edits to it will get removed if the file is opened in a newer version of Excel. Learn more: https://go.microsoft.com/fwlink/?linkid=870924
Comment:
    19.O6.2026 CMP PAID &amp; 26.07.26 (BOILER CMP UP PAID</t>
      </text>
    </comment>
    <comment ref="K8" authorId="2" shapeId="0" xr:uid="{8889DE83-996F-45FC-B6F9-2FC2958A7703}">
      <text>
        <t>[Threaded comment]
Your version of Excel allows you to read this threaded comment; however, any edits to it will get removed if the file is opened in a newer version of Excel. Learn more: https://go.microsoft.com/fwlink/?linkid=870924
Comment:
    19.06.206 CMP PAID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06223A-61C2-4487-8C94-C1B32581A762}" keepAlive="1" name="Query - DailyAttendance" description="Connection to the 'DailyAttendance' query in the workbook." type="5" refreshedVersion="8" background="1" saveData="1">
    <dbPr connection="Provider=Microsoft.Mashup.OleDb.1;Data Source=$Workbook$;Location=DailyAttendance;Extended Properties=&quot;&quot;" command="SELECT * FROM [DailyAttendance]"/>
  </connection>
  <connection id="2" xr16:uid="{0FB6C704-9A13-43E6-B8E0-17E3C5278981}" keepAlive="1" name="Query - HolidayList" description="Connection to the 'HolidayList' query in the workbook." type="5" refreshedVersion="0" background="1" saveData="1">
    <dbPr connection="Provider=Microsoft.Mashup.OleDb.1;Data Source=$Workbook$;Location=HolidayList;Extended Properties=&quot;&quot;" command="SELECT * FROM [HolidayList]"/>
  </connection>
  <connection id="3" xr16:uid="{2430B5F3-639F-4217-8E54-2E9600D72A5C}" keepAlive="1" name="Query - MonthlyAttendance1" description="Connection to the 'MonthlyAttendance' query in the workbook." type="5" refreshedVersion="8" background="1" saveData="1">
    <dbPr connection="Provider=Microsoft.Mashup.OleDb.1;Data Source=$Workbook$;Location=MonthlyAttendance;Extended Properties=&quot;&quot;" command="SELECT * FROM [MonthlyAttendance]"/>
  </connection>
  <connection id="4" xr16:uid="{990425A2-0730-4EE4-AA7B-208EEC3939D2}" keepAlive="1" name="Query - OT_MASTER" description="Connection to the 'OT_MASTER' query in the workbook." type="5" refreshedVersion="0" background="1" saveData="1">
    <dbPr connection="Provider=Microsoft.Mashup.OleDb.1;Data Source=$Workbook$;Location=OT_MASTER;Extended Properties=&quot;&quot;" command="SELECT * FROM [OT_MASTER]"/>
  </connection>
  <connection id="5" xr16:uid="{98E2F350-2323-4FAE-B067-2A19A8D6270B}" keepAlive="1" name="Query - TotalWorkingDays" description="Connection to the 'TotalWorkingDays' query in the workbook." type="5" refreshedVersion="0" background="1">
    <dbPr connection="Provider=Microsoft.Mashup.OleDb.1;Data Source=$Workbook$;Location=TotalWorkingDays;Extended Properties=&quot;&quot;" command="SELECT * FROM [TotalWorkingDay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<sst xmlns="http://schemas.openxmlformats.org/spreadsheetml/2006/main" count="12525" uniqueCount="1631">
  <si>
    <t>Total Working Days</t>
  </si>
  <si>
    <t>Balance Working Days</t>
  </si>
  <si>
    <t xml:space="preserve">S.NO </t>
  </si>
  <si>
    <t>DESCRIPTION</t>
  </si>
  <si>
    <t>Total HeadCount</t>
  </si>
  <si>
    <t>Comment</t>
  </si>
  <si>
    <t>Fixed Salary</t>
  </si>
  <si>
    <t>Average Salary</t>
  </si>
  <si>
    <t>Earned Salary - TillDate</t>
  </si>
  <si>
    <t>Projection for Balance Days</t>
  </si>
  <si>
    <t>Projection Total</t>
  </si>
  <si>
    <t>Actuals</t>
  </si>
  <si>
    <t>STAFFS</t>
  </si>
  <si>
    <t>Sample Tailor</t>
  </si>
  <si>
    <t>HELPERS</t>
  </si>
  <si>
    <t>COM WORKERS</t>
  </si>
  <si>
    <t>Ironing Bartrack</t>
  </si>
  <si>
    <t>OPERATORS</t>
  </si>
  <si>
    <t> </t>
  </si>
  <si>
    <t>Lakhs</t>
  </si>
  <si>
    <t>BankDetails</t>
  </si>
  <si>
    <t>S.NO</t>
  </si>
  <si>
    <t>NAME</t>
  </si>
  <si>
    <t>Piece Rate Payment</t>
  </si>
  <si>
    <t>Monthly Deductions</t>
  </si>
  <si>
    <t>Deductions</t>
  </si>
  <si>
    <t>EARN SALARY</t>
  </si>
  <si>
    <t>Account Name</t>
  </si>
  <si>
    <t>BANK NAME</t>
  </si>
  <si>
    <t>ACCOUNT NO</t>
  </si>
  <si>
    <t>IFSC CODE</t>
  </si>
  <si>
    <t>Branch</t>
  </si>
  <si>
    <t>ANANDAN</t>
  </si>
  <si>
    <t>ARUN KUMAR</t>
  </si>
  <si>
    <t>BASKAR</t>
  </si>
  <si>
    <t>CHAITHRA</t>
  </si>
  <si>
    <t>CHANDRAN</t>
  </si>
  <si>
    <t>DHANAVEL</t>
  </si>
  <si>
    <t>ENJALA</t>
  </si>
  <si>
    <t>LOKESH</t>
  </si>
  <si>
    <t>MARIMUTHU</t>
  </si>
  <si>
    <t>NAGESH</t>
  </si>
  <si>
    <t>NAGESH.T</t>
  </si>
  <si>
    <t>NARASIMMAN</t>
  </si>
  <si>
    <t>NISHADEVI</t>
  </si>
  <si>
    <t>PREETAM</t>
  </si>
  <si>
    <t>SRIMATHI</t>
  </si>
  <si>
    <t>SUGUNA.B</t>
  </si>
  <si>
    <t>SUJATHA.G</t>
  </si>
  <si>
    <t>SUJATHA.S</t>
  </si>
  <si>
    <t>SWAPNA</t>
  </si>
  <si>
    <t>VASANTHA</t>
  </si>
  <si>
    <t>VENKATARAJ</t>
  </si>
  <si>
    <t>VENNILA</t>
  </si>
  <si>
    <t>Who</t>
  </si>
  <si>
    <t>I_B</t>
  </si>
  <si>
    <t>GOVINDARAJ</t>
  </si>
  <si>
    <t>FIXED Payment</t>
  </si>
  <si>
    <t>Total Payment</t>
  </si>
  <si>
    <t>Rent</t>
  </si>
  <si>
    <t>NAGARAJ</t>
  </si>
  <si>
    <t>Defender</t>
  </si>
  <si>
    <t>DEFENDER</t>
  </si>
  <si>
    <t xml:space="preserve">Magik </t>
  </si>
  <si>
    <t>EMP NO</t>
  </si>
  <si>
    <t>DEPT</t>
  </si>
  <si>
    <t>TOTAL DAYS</t>
  </si>
  <si>
    <t>FIXED SALARY</t>
  </si>
  <si>
    <t>CUTTING</t>
  </si>
  <si>
    <t>NITHYA SRI</t>
  </si>
  <si>
    <t>CHECKER</t>
  </si>
  <si>
    <t>YELLAPPA</t>
  </si>
  <si>
    <t>FINISHING</t>
  </si>
  <si>
    <t>YELLAPPAN</t>
  </si>
  <si>
    <t>YASODHA</t>
  </si>
  <si>
    <t>YESHVANTH</t>
  </si>
  <si>
    <t>INDIAN BANK</t>
  </si>
  <si>
    <t>IDIB000S023</t>
  </si>
  <si>
    <t>SHOOLAGIRI</t>
  </si>
  <si>
    <t>KARUR VYSYA BANK</t>
  </si>
  <si>
    <t>KVBL0001607</t>
  </si>
  <si>
    <t>RAJESHWARI</t>
  </si>
  <si>
    <t>PALLAVAN GRAMA BANK</t>
  </si>
  <si>
    <t>IDIB0PLB001</t>
  </si>
  <si>
    <t>ICICI BANK</t>
  </si>
  <si>
    <t>ICIC0000686</t>
  </si>
  <si>
    <t>KANCHIKACHARLA</t>
  </si>
  <si>
    <t>Earned Salary</t>
  </si>
  <si>
    <t>Bank Details</t>
  </si>
  <si>
    <t>Designation</t>
  </si>
  <si>
    <t>TAX</t>
  </si>
  <si>
    <t>KRISHNAIAH</t>
  </si>
  <si>
    <t>Cutting Manager</t>
  </si>
  <si>
    <t>KRISNA MOORTHY</t>
  </si>
  <si>
    <t>Techincal Manager</t>
  </si>
  <si>
    <t>MANICKAM</t>
  </si>
  <si>
    <t>Stores Manager</t>
  </si>
  <si>
    <t>PARAMESHVARAN</t>
  </si>
  <si>
    <t>Maintenance</t>
  </si>
  <si>
    <t>PRAVEEN KUMAR</t>
  </si>
  <si>
    <t>SENTHIL KUMAR</t>
  </si>
  <si>
    <t>SENDIL KUMAR M</t>
  </si>
  <si>
    <t>SIVARANJANI</t>
  </si>
  <si>
    <t>Stores &amp; Accounts</t>
  </si>
  <si>
    <t>SIVARNJINI T</t>
  </si>
  <si>
    <t>SRILEKHA</t>
  </si>
  <si>
    <t>HR</t>
  </si>
  <si>
    <t>VIJAYKUMAR</t>
  </si>
  <si>
    <t>P</t>
  </si>
  <si>
    <t>CATHOLIC SYRIAN BANK</t>
  </si>
  <si>
    <t>CSBK0000358</t>
  </si>
  <si>
    <t>HOSUR</t>
  </si>
  <si>
    <t>STATE BANK OF INDIA</t>
  </si>
  <si>
    <t>SBIN0008114</t>
  </si>
  <si>
    <t>KAMANDODDI</t>
  </si>
  <si>
    <t>BERIGAI</t>
  </si>
  <si>
    <t>CANARA BANK</t>
  </si>
  <si>
    <t>CNRB0001065</t>
  </si>
  <si>
    <t>BEGUR</t>
  </si>
  <si>
    <t>SBIN0005200</t>
  </si>
  <si>
    <t>PORUR</t>
  </si>
  <si>
    <t>CNRB0003082</t>
  </si>
  <si>
    <t>CHENNAI</t>
  </si>
  <si>
    <t>Operators Bank</t>
  </si>
  <si>
    <t>TAMIL NADU GRAMA BANK</t>
  </si>
  <si>
    <t>KOTAK MAHINDRA BANK</t>
  </si>
  <si>
    <t>KKBK0008057</t>
  </si>
  <si>
    <t>BANGALORE</t>
  </si>
  <si>
    <t>KVBL0001279</t>
  </si>
  <si>
    <t>SOMANUR</t>
  </si>
  <si>
    <t>CNRB0016470</t>
  </si>
  <si>
    <t>TAMILNADU GRAMA BANK</t>
  </si>
  <si>
    <t>IDIB000K202</t>
  </si>
  <si>
    <t>KURUBARAPALLI</t>
  </si>
  <si>
    <t>VEPANAPALLI</t>
  </si>
  <si>
    <t>LAVANYA</t>
  </si>
  <si>
    <t>IDIB000N174</t>
  </si>
  <si>
    <t>NACHIKKUPPAM</t>
  </si>
  <si>
    <t>MEENAKSHI</t>
  </si>
  <si>
    <t>MOUNIKA</t>
  </si>
  <si>
    <t>MUTHURAMAN</t>
  </si>
  <si>
    <t>KKBK0008659</t>
  </si>
  <si>
    <t>KRISHNAGIRI</t>
  </si>
  <si>
    <t>IDIB000B017</t>
  </si>
  <si>
    <t>CHINNAR</t>
  </si>
  <si>
    <t>CNRB0004385</t>
  </si>
  <si>
    <t>PAPANNA</t>
  </si>
  <si>
    <t>BANK OF BARODA</t>
  </si>
  <si>
    <t>BARB0VEPANA</t>
  </si>
  <si>
    <t>SASIKALA</t>
  </si>
  <si>
    <t>SBIN0064704</t>
  </si>
  <si>
    <t>SUGANYA</t>
  </si>
  <si>
    <t>SAVITHA</t>
  </si>
  <si>
    <t>THIMMARAJ</t>
  </si>
  <si>
    <t>IDIB000K143</t>
  </si>
  <si>
    <t>MURUGAN</t>
  </si>
  <si>
    <t>KVBL0001832</t>
  </si>
  <si>
    <t>Ironing &amp; Bartrack Bank</t>
  </si>
  <si>
    <t>THIMMARAYA SWAMY</t>
  </si>
  <si>
    <t>NACHIKUPPAM</t>
  </si>
  <si>
    <t>Helpers Bank</t>
  </si>
  <si>
    <t>Company Workers</t>
  </si>
  <si>
    <t>RUPA</t>
  </si>
  <si>
    <t>MUTHUVEDI</t>
  </si>
  <si>
    <t>NETHRAVATHI</t>
  </si>
  <si>
    <t>VINOTHA</t>
  </si>
  <si>
    <t>BALAMMA</t>
  </si>
  <si>
    <t>MALARKODI</t>
  </si>
  <si>
    <t>SIVA KUMAR</t>
  </si>
  <si>
    <t>ANUSHA</t>
  </si>
  <si>
    <t>S.SUJATHA</t>
  </si>
  <si>
    <t>N.AMBIKA</t>
  </si>
  <si>
    <t>N.NISHADEVI</t>
  </si>
  <si>
    <t>M.SUGUNA</t>
  </si>
  <si>
    <t>EARNING SALARY</t>
  </si>
  <si>
    <t>DEDUCTIONS</t>
  </si>
  <si>
    <t>EMP.NO</t>
  </si>
  <si>
    <t>Dept</t>
  </si>
  <si>
    <t>PF NO</t>
  </si>
  <si>
    <t>ESI NO</t>
  </si>
  <si>
    <t>Total Days</t>
  </si>
  <si>
    <t>Total Paid Days</t>
  </si>
  <si>
    <t>BASIC</t>
  </si>
  <si>
    <t>DA</t>
  </si>
  <si>
    <t>BASIC + DA</t>
  </si>
  <si>
    <t>HRA</t>
  </si>
  <si>
    <t>Others</t>
  </si>
  <si>
    <t>GROSS</t>
  </si>
  <si>
    <t>PF</t>
  </si>
  <si>
    <t>ESI</t>
  </si>
  <si>
    <t>Total Deduction</t>
  </si>
  <si>
    <t>NET</t>
  </si>
  <si>
    <t>SIGN</t>
  </si>
  <si>
    <t>101694513963</t>
  </si>
  <si>
    <t>101473048309</t>
  </si>
  <si>
    <t>101694514429</t>
  </si>
  <si>
    <t>101356498090</t>
  </si>
  <si>
    <t>101694514570</t>
  </si>
  <si>
    <t>Checker</t>
  </si>
  <si>
    <t>101425529294</t>
  </si>
  <si>
    <t>101381839236</t>
  </si>
  <si>
    <t>Line Checker</t>
  </si>
  <si>
    <t>101694514562</t>
  </si>
  <si>
    <t>Kaja Button</t>
  </si>
  <si>
    <t>100808025557</t>
  </si>
  <si>
    <t>PRODUCTION</t>
  </si>
  <si>
    <t>100780232193</t>
  </si>
  <si>
    <t>101712825785</t>
  </si>
  <si>
    <t>Total</t>
  </si>
  <si>
    <t>Employee Code</t>
  </si>
  <si>
    <t>Present Days</t>
  </si>
  <si>
    <t>EmpName</t>
  </si>
  <si>
    <t>EmpCode</t>
  </si>
  <si>
    <t xml:space="preserve">  </t>
  </si>
  <si>
    <t>Date</t>
  </si>
  <si>
    <t>Row Labels</t>
  </si>
  <si>
    <t>VALLI</t>
  </si>
  <si>
    <t>SAVITHIRI</t>
  </si>
  <si>
    <t>M Siva Kumar</t>
  </si>
  <si>
    <t>Yaswanth</t>
  </si>
  <si>
    <t>ROOPA .M</t>
  </si>
  <si>
    <t>Employee</t>
  </si>
  <si>
    <t>Work_Hours</t>
  </si>
  <si>
    <t>Earned Days</t>
  </si>
  <si>
    <t>Adjust Days</t>
  </si>
  <si>
    <t>Attendance</t>
  </si>
  <si>
    <t>~</t>
  </si>
  <si>
    <t>BENEFICIARY'S NAME</t>
  </si>
  <si>
    <t>BENFICIARY'S BRANCH NAME</t>
  </si>
  <si>
    <t>BENFICIARY'S BANK NAME</t>
  </si>
  <si>
    <t>AMOUNT OF TRANSFER</t>
  </si>
  <si>
    <t>6473272520</t>
  </si>
  <si>
    <t>10134337472</t>
  </si>
  <si>
    <t>5048808137</t>
  </si>
  <si>
    <t>1279166000003491</t>
  </si>
  <si>
    <t>10003276824</t>
  </si>
  <si>
    <t>110130901158</t>
  </si>
  <si>
    <t>965022245</t>
  </si>
  <si>
    <t>869918319</t>
  </si>
  <si>
    <t>110130884527</t>
  </si>
  <si>
    <t>10144948548</t>
  </si>
  <si>
    <t>10234584520</t>
  </si>
  <si>
    <t>876139796</t>
  </si>
  <si>
    <t>6337832445</t>
  </si>
  <si>
    <t>6722475029</t>
  </si>
  <si>
    <t>2348408524</t>
  </si>
  <si>
    <t>10146712699</t>
  </si>
  <si>
    <t>6640947551</t>
  </si>
  <si>
    <t>4385131001820</t>
  </si>
  <si>
    <t>2348408005</t>
  </si>
  <si>
    <t>7461187142</t>
  </si>
  <si>
    <t>10109116849</t>
  </si>
  <si>
    <t>6510901999</t>
  </si>
  <si>
    <t>6017044888</t>
  </si>
  <si>
    <t>6079177859</t>
  </si>
  <si>
    <t>10096577130</t>
  </si>
  <si>
    <t>6502100569</t>
  </si>
  <si>
    <t>875724574</t>
  </si>
  <si>
    <t>10044273359</t>
  </si>
  <si>
    <t>853640213</t>
  </si>
  <si>
    <t>10109936918</t>
  </si>
  <si>
    <t>6033522120</t>
  </si>
  <si>
    <t>10053605228</t>
  </si>
  <si>
    <t>7118556691</t>
  </si>
  <si>
    <t>7157812561</t>
  </si>
  <si>
    <t>6107106130</t>
  </si>
  <si>
    <t>110156874725</t>
  </si>
  <si>
    <t>6797283511</t>
  </si>
  <si>
    <t>1832155000029198</t>
  </si>
  <si>
    <t>110124224387</t>
  </si>
  <si>
    <t>30272324668</t>
  </si>
  <si>
    <t>38000415877</t>
  </si>
  <si>
    <t>35803697383190001</t>
  </si>
  <si>
    <t>110180113582</t>
  </si>
  <si>
    <t>6347676516</t>
  </si>
  <si>
    <t>35541658396</t>
  </si>
  <si>
    <t>546119299</t>
  </si>
  <si>
    <t>10000292226</t>
  </si>
  <si>
    <t>10242377513</t>
  </si>
  <si>
    <t>7410270460</t>
  </si>
  <si>
    <t>10026087525</t>
  </si>
  <si>
    <t>997316191</t>
  </si>
  <si>
    <t>1607155000109941</t>
  </si>
  <si>
    <t>10005327143</t>
  </si>
  <si>
    <t>6628874973</t>
  </si>
  <si>
    <t>6492257361</t>
  </si>
  <si>
    <t>068601003613</t>
  </si>
  <si>
    <t>6150643344</t>
  </si>
  <si>
    <t>6712261235</t>
  </si>
  <si>
    <t>816802566</t>
  </si>
  <si>
    <t>10102150763</t>
  </si>
  <si>
    <t>6302147018</t>
  </si>
  <si>
    <t>839884521</t>
  </si>
  <si>
    <t>6659926450</t>
  </si>
  <si>
    <t>10103523384</t>
  </si>
  <si>
    <t>44195381245</t>
  </si>
  <si>
    <t>7326055111</t>
  </si>
  <si>
    <t>6023659259</t>
  </si>
  <si>
    <t>95216781</t>
  </si>
  <si>
    <t>10029989257</t>
  </si>
  <si>
    <t>RANGANATHAN</t>
  </si>
  <si>
    <t xml:space="preserve">Projection without </t>
  </si>
  <si>
    <t>IS_Bank</t>
  </si>
  <si>
    <t>Fixed Expenses</t>
  </si>
  <si>
    <t>PF Employer Contribution</t>
  </si>
  <si>
    <t>ESI Employer Contribution</t>
  </si>
  <si>
    <t>Working Days</t>
  </si>
  <si>
    <t>MEENA</t>
  </si>
  <si>
    <t>KAVITHA</t>
  </si>
  <si>
    <t>JAIHIND KUBENDIRAN</t>
  </si>
  <si>
    <t>,11288100008002</t>
  </si>
  <si>
    <t>CHANDRA KALA</t>
  </si>
  <si>
    <t>CENTRAL BANKOF INDIA</t>
  </si>
  <si>
    <t>CBINO282071</t>
  </si>
  <si>
    <t>H</t>
  </si>
  <si>
    <t>TRANSFER TYPE</t>
  </si>
  <si>
    <t>REMITTER'S ACCOUNT</t>
  </si>
  <si>
    <t>REMITTER'S NAME</t>
  </si>
  <si>
    <t>NEFT</t>
  </si>
  <si>
    <t>MV INDUSTRIAL CORPORATION</t>
  </si>
  <si>
    <t>AMOUNT</t>
  </si>
  <si>
    <t>FEBRUARY MONTH PENDING LIST</t>
  </si>
  <si>
    <t>NAMES</t>
  </si>
  <si>
    <t>GEETHA.B</t>
  </si>
  <si>
    <t>DHANA LAKSHMI</t>
  </si>
  <si>
    <t>IRONER</t>
  </si>
  <si>
    <t>PRODUCTION DEP</t>
  </si>
  <si>
    <t>OPERATOR</t>
  </si>
  <si>
    <t>EXCESS AMOUNT CREDIT OPERATOS</t>
  </si>
  <si>
    <t>SIGNATURE</t>
  </si>
  <si>
    <t>AMBIKA N</t>
  </si>
  <si>
    <t>GEETHA C</t>
  </si>
  <si>
    <t>GEETHA M</t>
  </si>
  <si>
    <t>MANJULA C M</t>
  </si>
  <si>
    <t>NAGESH T</t>
  </si>
  <si>
    <t>SHILPA S</t>
  </si>
  <si>
    <t>SHILPA V</t>
  </si>
  <si>
    <t>SRINIVASAN C</t>
  </si>
  <si>
    <t>SUGUNA B</t>
  </si>
  <si>
    <t>SUGUNA M</t>
  </si>
  <si>
    <t>SUJATHA G</t>
  </si>
  <si>
    <t>SUJATHA R</t>
  </si>
  <si>
    <t>SUJATHA S</t>
  </si>
  <si>
    <t>VEDIYAPPAN M</t>
  </si>
  <si>
    <t>N SIVARANJANI</t>
  </si>
  <si>
    <t>MANJULA V M</t>
  </si>
  <si>
    <t>K VALLI</t>
  </si>
  <si>
    <t>A SAVITHIRI</t>
  </si>
  <si>
    <t>Net / Earned Salary</t>
  </si>
  <si>
    <t>Emp Name</t>
  </si>
  <si>
    <t>ACCOUNT NAME</t>
  </si>
  <si>
    <t>EMP NAME</t>
  </si>
  <si>
    <t>SIVARANJANI N</t>
  </si>
  <si>
    <t>MANJUNATH</t>
  </si>
  <si>
    <t>6209343347</t>
  </si>
  <si>
    <t>PRABAKARAN</t>
  </si>
  <si>
    <t>6452745763</t>
  </si>
  <si>
    <t>IDIB000T122</t>
  </si>
  <si>
    <t>TARAMANGALAM</t>
  </si>
  <si>
    <t>personal leave</t>
  </si>
  <si>
    <t>ot</t>
  </si>
  <si>
    <t>leave date</t>
  </si>
  <si>
    <t>Holiday</t>
  </si>
  <si>
    <t>CompOff</t>
  </si>
  <si>
    <t>Grand Total</t>
  </si>
  <si>
    <t>Column Labels</t>
  </si>
  <si>
    <t>A</t>
  </si>
  <si>
    <t>Full OT</t>
  </si>
  <si>
    <t>Working_Days</t>
  </si>
  <si>
    <t>Employee Name</t>
  </si>
  <si>
    <t>Department</t>
  </si>
  <si>
    <t>Shift</t>
  </si>
  <si>
    <t>In</t>
  </si>
  <si>
    <t>Out</t>
  </si>
  <si>
    <t>In-OT</t>
  </si>
  <si>
    <t>In-OT-Hours</t>
  </si>
  <si>
    <t>Out-OT</t>
  </si>
  <si>
    <t>Out-OT-Hours</t>
  </si>
  <si>
    <t>Total-OT-Hours</t>
  </si>
  <si>
    <t>Attendance Date</t>
  </si>
  <si>
    <t>Present</t>
  </si>
  <si>
    <t>Working</t>
  </si>
  <si>
    <t>GS</t>
  </si>
  <si>
    <t>NA</t>
  </si>
  <si>
    <t>09:00:00</t>
  </si>
  <si>
    <t>-17:30:00</t>
  </si>
  <si>
    <t>\\\</t>
  </si>
  <si>
    <t>None</t>
  </si>
  <si>
    <t>Paid Holiday</t>
  </si>
  <si>
    <t>Work Days</t>
  </si>
  <si>
    <t>Comp Off</t>
  </si>
  <si>
    <t>Total Present</t>
  </si>
  <si>
    <t>Working Day</t>
  </si>
  <si>
    <t>Paid_Holidays</t>
  </si>
  <si>
    <t>Compoff</t>
  </si>
  <si>
    <t>Personal Leave</t>
  </si>
  <si>
    <t>Comp_Off</t>
  </si>
  <si>
    <t xml:space="preserve"> Personal Leave</t>
  </si>
  <si>
    <t>Earned  BASIC + DA</t>
  </si>
  <si>
    <t>Earned HRA</t>
  </si>
  <si>
    <t>Earned Others</t>
  </si>
  <si>
    <t>Earned TOTAL WAGGES</t>
  </si>
  <si>
    <t>PF and ESI</t>
  </si>
  <si>
    <t>Cash Deductions</t>
  </si>
  <si>
    <t>EARN SALARY (After Deductions)</t>
  </si>
  <si>
    <t>Adjusted in EL Days</t>
  </si>
  <si>
    <t>GANAPATHY RAJA GOPAL</t>
  </si>
  <si>
    <t>,10257432626</t>
  </si>
  <si>
    <t>DEVARAJ SORIYAPPAN</t>
  </si>
  <si>
    <t>BANK OF MAHARASTRA</t>
  </si>
  <si>
    <t>MAHB0001654</t>
  </si>
  <si>
    <t>,60370038659</t>
  </si>
  <si>
    <t>CHANDAPUR</t>
  </si>
  <si>
    <t>MV STAFFS</t>
  </si>
  <si>
    <t>Staff</t>
  </si>
  <si>
    <t>5 - MANICKAM</t>
  </si>
  <si>
    <t>00:03:27</t>
  </si>
  <si>
    <t>01:00:00</t>
  </si>
  <si>
    <t>00:00:00</t>
  </si>
  <si>
    <t>-00:03:06</t>
  </si>
  <si>
    <t>KRISHAMOORTHY P</t>
  </si>
  <si>
    <t>6 - KRISHAMOORTHY P</t>
  </si>
  <si>
    <t>00:05:24</t>
  </si>
  <si>
    <t>14 - PARAMESHVARAN</t>
  </si>
  <si>
    <t>00:04:12</t>
  </si>
  <si>
    <t>00:02:37</t>
  </si>
  <si>
    <t>VIJAY KUMAR (SAMPLE)</t>
  </si>
  <si>
    <t>29 - VIJAY KUMAR (SAMPLE)</t>
  </si>
  <si>
    <t>-00:02:57</t>
  </si>
  <si>
    <t>-00:03:26</t>
  </si>
  <si>
    <t>32 - SRILEKHA</t>
  </si>
  <si>
    <t>-00:02:24</t>
  </si>
  <si>
    <t>00:07:19</t>
  </si>
  <si>
    <t>-00:03:20</t>
  </si>
  <si>
    <t>00:04:24</t>
  </si>
  <si>
    <t>-00:01:42</t>
  </si>
  <si>
    <t>34 - KRISHNAIAH</t>
  </si>
  <si>
    <t>00:04:33</t>
  </si>
  <si>
    <t>00:05:38</t>
  </si>
  <si>
    <t>35 - SIVARANJANI</t>
  </si>
  <si>
    <t>00:03:20</t>
  </si>
  <si>
    <t>FINISHING DEPARTMENT</t>
  </si>
  <si>
    <t>Company</t>
  </si>
  <si>
    <t>1001 - SUGANYA</t>
  </si>
  <si>
    <t>00:02:51</t>
  </si>
  <si>
    <t>CUTTING DEPARTMENT</t>
  </si>
  <si>
    <t>1002 - VALLI</t>
  </si>
  <si>
    <t>00:02:24</t>
  </si>
  <si>
    <t>1004 - ROOPA .M</t>
  </si>
  <si>
    <t>-00:02:09</t>
  </si>
  <si>
    <t>-00:02:17</t>
  </si>
  <si>
    <t>-00:01:54</t>
  </si>
  <si>
    <t>00:06:42</t>
  </si>
  <si>
    <t>1013 - RAJESHWARI</t>
  </si>
  <si>
    <t>-00:00:49</t>
  </si>
  <si>
    <t>1014 - NETHRAVATHI</t>
  </si>
  <si>
    <t>-00:02:06</t>
  </si>
  <si>
    <t>PRODUCTION DEPARTMENT</t>
  </si>
  <si>
    <t>-00:01:57</t>
  </si>
  <si>
    <t>Helper</t>
  </si>
  <si>
    <t>1021 - SIVARANJANI</t>
  </si>
  <si>
    <t>HOUSE KEEPING</t>
  </si>
  <si>
    <t>1025 - NITHYA SRI</t>
  </si>
  <si>
    <t>00:56:08</t>
  </si>
  <si>
    <t>00:06:30</t>
  </si>
  <si>
    <t>1030 - MALARKODI</t>
  </si>
  <si>
    <t>1031 - SAVITHIRI</t>
  </si>
  <si>
    <t>-00:02:00</t>
  </si>
  <si>
    <t>-00:01:30</t>
  </si>
  <si>
    <t>-00:03:15</t>
  </si>
  <si>
    <t>00:56:25</t>
  </si>
  <si>
    <t>SUJATHA .S</t>
  </si>
  <si>
    <t>1035 - SUJATHA .S</t>
  </si>
  <si>
    <t>1092 - SAVITHA</t>
  </si>
  <si>
    <t>1094 - M Siva Kumar</t>
  </si>
  <si>
    <t>5002 - YELLAPPAN</t>
  </si>
  <si>
    <t>5006 - ANUSHA</t>
  </si>
  <si>
    <t>ROOPA</t>
  </si>
  <si>
    <t>5055 - ROOPA</t>
  </si>
  <si>
    <t>5080 - Yaswanth</t>
  </si>
  <si>
    <t>MANJULA V.M</t>
  </si>
  <si>
    <t>5082 - MANJULA V.M</t>
  </si>
  <si>
    <t>5086 - KAVITHA</t>
  </si>
  <si>
    <t>00:01:29</t>
  </si>
  <si>
    <t>#Present</t>
  </si>
  <si>
    <t>Fixed_Payment_Bank</t>
  </si>
  <si>
    <t>Leave Days</t>
  </si>
  <si>
    <t>#Calculated Amount</t>
  </si>
  <si>
    <t>salary deductions</t>
  </si>
  <si>
    <t>00:02:13</t>
  </si>
  <si>
    <t>00:05:22</t>
  </si>
  <si>
    <t>00:06:22</t>
  </si>
  <si>
    <t>-00:02:14</t>
  </si>
  <si>
    <t>-00:01:08</t>
  </si>
  <si>
    <t>-00:01:12</t>
  </si>
  <si>
    <t>00:02:19</t>
  </si>
  <si>
    <t>-00:02:51</t>
  </si>
  <si>
    <t>00:09:31</t>
  </si>
  <si>
    <t>00:06:41</t>
  </si>
  <si>
    <t>00:05:51</t>
  </si>
  <si>
    <t>00:07:21</t>
  </si>
  <si>
    <t>00:04:42</t>
  </si>
  <si>
    <t>00:02:30</t>
  </si>
  <si>
    <t>00:03:41</t>
  </si>
  <si>
    <t>00:00:37</t>
  </si>
  <si>
    <t>00:03:15</t>
  </si>
  <si>
    <t>-00:03:08</t>
  </si>
  <si>
    <t>-00:01:49</t>
  </si>
  <si>
    <t>00:07:25</t>
  </si>
  <si>
    <t>00:56:30</t>
  </si>
  <si>
    <t>-00:03:48</t>
  </si>
  <si>
    <t>-00:04:19</t>
  </si>
  <si>
    <t>00:06:26</t>
  </si>
  <si>
    <t>00:09:28</t>
  </si>
  <si>
    <t>00:07:45</t>
  </si>
  <si>
    <t>-00:00:32</t>
  </si>
  <si>
    <t>-00:02:55</t>
  </si>
  <si>
    <t>-00:02:58</t>
  </si>
  <si>
    <t>-00:00:39</t>
  </si>
  <si>
    <t>00:02:17</t>
  </si>
  <si>
    <t>00:03:44</t>
  </si>
  <si>
    <t>00:01:58</t>
  </si>
  <si>
    <t>00:03:17</t>
  </si>
  <si>
    <t>00:01:10</t>
  </si>
  <si>
    <t>00:56:55</t>
  </si>
  <si>
    <t>-00:02:41</t>
  </si>
  <si>
    <t>-00:03:12</t>
  </si>
  <si>
    <t>PAVAN KUMAR</t>
  </si>
  <si>
    <t>5089 - PAVAN KUMAR</t>
  </si>
  <si>
    <t>SHIVANI</t>
  </si>
  <si>
    <t>10144616806</t>
  </si>
  <si>
    <t>7154578893</t>
  </si>
  <si>
    <t>5088 - MUTHUVEDI</t>
  </si>
  <si>
    <t>SUGNAYA</t>
  </si>
  <si>
    <t>8768908341</t>
  </si>
  <si>
    <t>KKBK0008658</t>
  </si>
  <si>
    <t>Professiona tax</t>
  </si>
  <si>
    <t>00000000000....</t>
  </si>
  <si>
    <t>Adjusted in Comp Days</t>
  </si>
  <si>
    <t>Payment Addition</t>
  </si>
  <si>
    <t>MURALI</t>
  </si>
  <si>
    <t xml:space="preserve">  INDIAN BANK                                                                 </t>
  </si>
  <si>
    <t>,6283624319</t>
  </si>
  <si>
    <t>IDIB000B062</t>
  </si>
  <si>
    <t>NIKITHA</t>
  </si>
  <si>
    <t>PARVATI</t>
  </si>
  <si>
    <t>-00:00:26</t>
  </si>
  <si>
    <t>-00:00:43</t>
  </si>
  <si>
    <t>00:02:32</t>
  </si>
  <si>
    <t>00:04:23</t>
  </si>
  <si>
    <t>00:02:09</t>
  </si>
  <si>
    <t>00:02:56</t>
  </si>
  <si>
    <t>00:07:05</t>
  </si>
  <si>
    <t>00:06:55</t>
  </si>
  <si>
    <t>-00:00:52</t>
  </si>
  <si>
    <t>00:03:52</t>
  </si>
  <si>
    <t>00:57:21</t>
  </si>
  <si>
    <t>00:03:49</t>
  </si>
  <si>
    <t>00:03:48</t>
  </si>
  <si>
    <t>-00:01:51</t>
  </si>
  <si>
    <t>-00:02:28</t>
  </si>
  <si>
    <t>00:07:07</t>
  </si>
  <si>
    <t>00:03:39</t>
  </si>
  <si>
    <t>-00:02:49</t>
  </si>
  <si>
    <t>00:07:11</t>
  </si>
  <si>
    <t>00:04:03</t>
  </si>
  <si>
    <t>00:02:55</t>
  </si>
  <si>
    <t>00:02:38</t>
  </si>
  <si>
    <t>00:03:18</t>
  </si>
  <si>
    <t>00:05:56</t>
  </si>
  <si>
    <t>00:08:41</t>
  </si>
  <si>
    <t>01:00:34</t>
  </si>
  <si>
    <t>-00:00:29</t>
  </si>
  <si>
    <t>00:09:21</t>
  </si>
  <si>
    <t>00:07:12</t>
  </si>
  <si>
    <t>00:08:49</t>
  </si>
  <si>
    <t>-00:03:51</t>
  </si>
  <si>
    <t>00:08:18</t>
  </si>
  <si>
    <t>00:09:32</t>
  </si>
  <si>
    <t>-00:02:40</t>
  </si>
  <si>
    <t>-00:00:56</t>
  </si>
  <si>
    <t>00:02:57</t>
  </si>
  <si>
    <t>00:02:23</t>
  </si>
  <si>
    <t>00:56:05</t>
  </si>
  <si>
    <t>00:10:39</t>
  </si>
  <si>
    <t>00:08:45</t>
  </si>
  <si>
    <t>-00:02:22</t>
  </si>
  <si>
    <t>00:55:54</t>
  </si>
  <si>
    <t>-00:03:07</t>
  </si>
  <si>
    <t>00:04:29</t>
  </si>
  <si>
    <t>00:55:51</t>
  </si>
  <si>
    <t>00:00:38</t>
  </si>
  <si>
    <t>00:04:10</t>
  </si>
  <si>
    <t>00:55:57</t>
  </si>
  <si>
    <t>-00:02:29</t>
  </si>
  <si>
    <t>00:06:11</t>
  </si>
  <si>
    <t>00:06:08</t>
  </si>
  <si>
    <t>00:06:36</t>
  </si>
  <si>
    <t>-00:07:15</t>
  </si>
  <si>
    <t>00:56:35</t>
  </si>
  <si>
    <t>00:08:36</t>
  </si>
  <si>
    <t>5087 - BASKAR</t>
  </si>
  <si>
    <t>-00:02:50</t>
  </si>
  <si>
    <t>00:01:13</t>
  </si>
  <si>
    <t>00:02:26</t>
  </si>
  <si>
    <t>00:55:44</t>
  </si>
  <si>
    <t>-00:01:28</t>
  </si>
  <si>
    <t>-00:02:39</t>
  </si>
  <si>
    <t>00:10:42</t>
  </si>
  <si>
    <t>00:05:03</t>
  </si>
  <si>
    <t>00:09:00</t>
  </si>
  <si>
    <t>5091 - PAPANNA</t>
  </si>
  <si>
    <t>-00:01:45</t>
  </si>
  <si>
    <t>00:38:02</t>
  </si>
  <si>
    <t>-00:01:15</t>
  </si>
  <si>
    <t>00:01:56</t>
  </si>
  <si>
    <t>-00:01:31</t>
  </si>
  <si>
    <t>00:09:53</t>
  </si>
  <si>
    <t>-00:02:31</t>
  </si>
  <si>
    <t>-00:00:31</t>
  </si>
  <si>
    <t>00:04:01</t>
  </si>
  <si>
    <t>00:05:35</t>
  </si>
  <si>
    <t>-00:03:59</t>
  </si>
  <si>
    <t>00:03:34</t>
  </si>
  <si>
    <t>00:00:58</t>
  </si>
  <si>
    <t>-00:04:07</t>
  </si>
  <si>
    <t>00:03:26</t>
  </si>
  <si>
    <t>00:00:05</t>
  </si>
  <si>
    <t>00:02:47</t>
  </si>
  <si>
    <t>00:01:57</t>
  </si>
  <si>
    <t>00:03:07</t>
  </si>
  <si>
    <t>00:04:00</t>
  </si>
  <si>
    <t>00:01:17</t>
  </si>
  <si>
    <t>00:09:17</t>
  </si>
  <si>
    <t>00:00:24</t>
  </si>
  <si>
    <t>00:08:52</t>
  </si>
  <si>
    <t>00:06:03</t>
  </si>
  <si>
    <t>-00:00:48</t>
  </si>
  <si>
    <t>00:14:16</t>
  </si>
  <si>
    <t>00:09:59</t>
  </si>
  <si>
    <t>00:10:28</t>
  </si>
  <si>
    <t>00:10:45</t>
  </si>
  <si>
    <t>00:01:37</t>
  </si>
  <si>
    <t>00:08:09</t>
  </si>
  <si>
    <t>00:04:43</t>
  </si>
  <si>
    <t>00:08:50</t>
  </si>
  <si>
    <t>-00:00:08</t>
  </si>
  <si>
    <t>00:08:33</t>
  </si>
  <si>
    <t>00:00:39</t>
  </si>
  <si>
    <t>00:04:17</t>
  </si>
  <si>
    <t>-00:04:02</t>
  </si>
  <si>
    <t>00:03:22</t>
  </si>
  <si>
    <t>00:06:56</t>
  </si>
  <si>
    <t>-00:05:39</t>
  </si>
  <si>
    <t>00:04:56</t>
  </si>
  <si>
    <t>-00:04:36</t>
  </si>
  <si>
    <t>-00:00:02</t>
  </si>
  <si>
    <t>00:02:53</t>
  </si>
  <si>
    <t>00:06:04</t>
  </si>
  <si>
    <t>00:05:50</t>
  </si>
  <si>
    <t>00:12:56</t>
  </si>
  <si>
    <t>00:05:42</t>
  </si>
  <si>
    <t>00:04:07</t>
  </si>
  <si>
    <t>00:04:26</t>
  </si>
  <si>
    <t>00:05:58</t>
  </si>
  <si>
    <t>00:05:37</t>
  </si>
  <si>
    <t>00:04:35</t>
  </si>
  <si>
    <t>00:04:16</t>
  </si>
  <si>
    <t>-00:01:58</t>
  </si>
  <si>
    <t>01:00:23</t>
  </si>
  <si>
    <t>-00:00:28</t>
  </si>
  <si>
    <t>00:03:01</t>
  </si>
  <si>
    <t>00:10:49</t>
  </si>
  <si>
    <t>-00:01:24</t>
  </si>
  <si>
    <t>00:09:15</t>
  </si>
  <si>
    <t>-00:03:55</t>
  </si>
  <si>
    <t>-00:02:53</t>
  </si>
  <si>
    <t>00:05:07</t>
  </si>
  <si>
    <t>-00:03:04</t>
  </si>
  <si>
    <t>-00:00:58</t>
  </si>
  <si>
    <t>00:04:25</t>
  </si>
  <si>
    <t>00:02:39</t>
  </si>
  <si>
    <t>00:06:40</t>
  </si>
  <si>
    <t>00:03:13</t>
  </si>
  <si>
    <t>00:05:01</t>
  </si>
  <si>
    <t>00:01:44</t>
  </si>
  <si>
    <t>00:05:14</t>
  </si>
  <si>
    <t>00:02:28</t>
  </si>
  <si>
    <t>00:00:34</t>
  </si>
  <si>
    <t>00:03:24</t>
  </si>
  <si>
    <t>-00:04:41</t>
  </si>
  <si>
    <t>00:01:09</t>
  </si>
  <si>
    <t>00:04:06</t>
  </si>
  <si>
    <t>00:03:04</t>
  </si>
  <si>
    <t>00:01:48</t>
  </si>
  <si>
    <t>00:03:10</t>
  </si>
  <si>
    <t>00:02:11</t>
  </si>
  <si>
    <t>-00:02:37</t>
  </si>
  <si>
    <t>-00:01:38</t>
  </si>
  <si>
    <t>-00:01:27</t>
  </si>
  <si>
    <t>00:03:14</t>
  </si>
  <si>
    <t>-00:02:48</t>
  </si>
  <si>
    <t>-00:01:03</t>
  </si>
  <si>
    <t>00:02:43</t>
  </si>
  <si>
    <t>-00:02:18</t>
  </si>
  <si>
    <t>00:02:00</t>
  </si>
  <si>
    <t>00:01:15</t>
  </si>
  <si>
    <t>-00:00:27</t>
  </si>
  <si>
    <t>-00:06:52</t>
  </si>
  <si>
    <t>00:02:18</t>
  </si>
  <si>
    <t>-00:02:21</t>
  </si>
  <si>
    <t>00:09:01</t>
  </si>
  <si>
    <t>-00:01:25</t>
  </si>
  <si>
    <t>-00:00:06</t>
  </si>
  <si>
    <t>00:05:39</t>
  </si>
  <si>
    <t>00:05:57</t>
  </si>
  <si>
    <t>00:02:52</t>
  </si>
  <si>
    <t>00:01:05</t>
  </si>
  <si>
    <t>00:04:36</t>
  </si>
  <si>
    <t>00:07:50</t>
  </si>
  <si>
    <t>-00:01:46</t>
  </si>
  <si>
    <t>00:05:02</t>
  </si>
  <si>
    <t>-00:04:54</t>
  </si>
  <si>
    <t>00:08:04</t>
  </si>
  <si>
    <t>-00:03:02</t>
  </si>
  <si>
    <t>-00:03:16</t>
  </si>
  <si>
    <t>-00:00:40</t>
  </si>
  <si>
    <t>-00:00:53</t>
  </si>
  <si>
    <t>00:05:34</t>
  </si>
  <si>
    <t>00:56:18</t>
  </si>
  <si>
    <t>00:00:12</t>
  </si>
  <si>
    <t>-00:05:41</t>
  </si>
  <si>
    <t>00:54:47</t>
  </si>
  <si>
    <t>-00:03:46</t>
  </si>
  <si>
    <t>00:55:17</t>
  </si>
  <si>
    <t>-00:04:09</t>
  </si>
  <si>
    <t>00:07:13</t>
  </si>
  <si>
    <t>00:59:46</t>
  </si>
  <si>
    <t>-00:03:09</t>
  </si>
  <si>
    <t>00:14:05</t>
  </si>
  <si>
    <t>-00:00:54</t>
  </si>
  <si>
    <t>00:08:56</t>
  </si>
  <si>
    <t>00:58:17</t>
  </si>
  <si>
    <t>00:19:34</t>
  </si>
  <si>
    <t>00:12:12</t>
  </si>
  <si>
    <t>00:01:22</t>
  </si>
  <si>
    <t>-00:00:45</t>
  </si>
  <si>
    <t>00:12:45</t>
  </si>
  <si>
    <t>-00:08:16</t>
  </si>
  <si>
    <t>-00:01:21</t>
  </si>
  <si>
    <t>00:07:31</t>
  </si>
  <si>
    <t>00:03:35</t>
  </si>
  <si>
    <t>-00:01:34</t>
  </si>
  <si>
    <t>-00:01:13</t>
  </si>
  <si>
    <t>00:10:51</t>
  </si>
  <si>
    <t>00:08:37</t>
  </si>
  <si>
    <t>00:06:33</t>
  </si>
  <si>
    <t>00:01:25</t>
  </si>
  <si>
    <t>00:03:03</t>
  </si>
  <si>
    <t>00:01:50</t>
  </si>
  <si>
    <t>01:00:11</t>
  </si>
  <si>
    <t>01:01:13</t>
  </si>
  <si>
    <t>MADAMMA</t>
  </si>
  <si>
    <t>5060 - MADAMMA</t>
  </si>
  <si>
    <t>-01:30:00</t>
  </si>
  <si>
    <t>00:35:03</t>
  </si>
  <si>
    <t>00:34:30</t>
  </si>
  <si>
    <t>00:10:47</t>
  </si>
  <si>
    <t>00:34:22</t>
  </si>
  <si>
    <t>00:15:45</t>
  </si>
  <si>
    <t>00:54:46</t>
  </si>
  <si>
    <t>00:56:22</t>
  </si>
  <si>
    <t>00:01:46</t>
  </si>
  <si>
    <t>-00:04:33</t>
  </si>
  <si>
    <t>00:08:23</t>
  </si>
  <si>
    <t>00:02:33</t>
  </si>
  <si>
    <t>00:07:38</t>
  </si>
  <si>
    <t>00:06:59</t>
  </si>
  <si>
    <t>00:55:47</t>
  </si>
  <si>
    <t>00:02:01</t>
  </si>
  <si>
    <t>-00:02:04</t>
  </si>
  <si>
    <t>-00:02:11</t>
  </si>
  <si>
    <t>-00:01:19</t>
  </si>
  <si>
    <t>00:00:45</t>
  </si>
  <si>
    <t>00:11:02</t>
  </si>
  <si>
    <t>00:59:39</t>
  </si>
  <si>
    <t>00:00:54</t>
  </si>
  <si>
    <t>-04:30:00</t>
  </si>
  <si>
    <t>PT &amp; PROPERTY</t>
  </si>
  <si>
    <t>GOVERNMENT</t>
  </si>
  <si>
    <t>6462168862</t>
  </si>
  <si>
    <t>Column2</t>
  </si>
  <si>
    <t>Column3</t>
  </si>
  <si>
    <t>BANK</t>
  </si>
  <si>
    <t>KRISHNAVENI</t>
  </si>
  <si>
    <t>MANJULA</t>
  </si>
  <si>
    <t>PUNITHA</t>
  </si>
  <si>
    <t>ROJA</t>
  </si>
  <si>
    <t>10004644652</t>
  </si>
  <si>
    <t>7131141760</t>
  </si>
  <si>
    <t>10135782604</t>
  </si>
  <si>
    <t>Hold salary</t>
  </si>
  <si>
    <t>Column4</t>
  </si>
  <si>
    <t>HOLD</t>
  </si>
  <si>
    <t>Internet AirFiber</t>
  </si>
  <si>
    <t>Internet Tick Fiber</t>
  </si>
  <si>
    <t>Diesel @ 3500 perweek</t>
  </si>
  <si>
    <t>Consumales + Running Exp</t>
  </si>
  <si>
    <t>SELF</t>
  </si>
  <si>
    <t>Electricty</t>
  </si>
  <si>
    <t>pressure vessel</t>
  </si>
  <si>
    <t>ON HOLD</t>
  </si>
  <si>
    <t xml:space="preserve">                                                                                               </t>
  </si>
  <si>
    <t>BHUSAN</t>
  </si>
  <si>
    <t>SUBRAMANI</t>
  </si>
  <si>
    <t>SIVA</t>
  </si>
  <si>
    <t>SOUNDARYA</t>
  </si>
  <si>
    <t>RUKMANI</t>
  </si>
  <si>
    <t>MANJULA M</t>
  </si>
  <si>
    <t>VALLI B</t>
  </si>
  <si>
    <t>ARAVIND</t>
  </si>
  <si>
    <t>11280100006617</t>
  </si>
  <si>
    <t>STATE BANK INDIA</t>
  </si>
  <si>
    <t>40975557941</t>
  </si>
  <si>
    <t>SIDDARAJ M</t>
  </si>
  <si>
    <t>101419947945</t>
  </si>
  <si>
    <t>5, 12, 24, 26</t>
  </si>
  <si>
    <t>00:08:21</t>
  </si>
  <si>
    <t>00:04:04</t>
  </si>
  <si>
    <t>00:15:23</t>
  </si>
  <si>
    <t>-03:51:12</t>
  </si>
  <si>
    <t>-00:13:17</t>
  </si>
  <si>
    <t>00:13:11</t>
  </si>
  <si>
    <t>00:15:01</t>
  </si>
  <si>
    <t>00:09:18</t>
  </si>
  <si>
    <t>01:00:55</t>
  </si>
  <si>
    <t>01:03:27</t>
  </si>
  <si>
    <t>00:03:02</t>
  </si>
  <si>
    <t>00:58:33</t>
  </si>
  <si>
    <t>-01:20:08</t>
  </si>
  <si>
    <t>01:01:09</t>
  </si>
  <si>
    <t>00:30:38</t>
  </si>
  <si>
    <t>00:05:52</t>
  </si>
  <si>
    <t>00:48:08</t>
  </si>
  <si>
    <t>-02:28:56</t>
  </si>
  <si>
    <t>-00:05:33</t>
  </si>
  <si>
    <t>-00:58:22</t>
  </si>
  <si>
    <t>00:00:48</t>
  </si>
  <si>
    <t>-00:03:41</t>
  </si>
  <si>
    <t>00:03:56</t>
  </si>
  <si>
    <t>00:59:19</t>
  </si>
  <si>
    <t>01:00:09</t>
  </si>
  <si>
    <t>01:01:41</t>
  </si>
  <si>
    <t>00:10:43</t>
  </si>
  <si>
    <t>-00:33:47</t>
  </si>
  <si>
    <t>00:58:34</t>
  </si>
  <si>
    <t>-00:45:56</t>
  </si>
  <si>
    <t>00:59:40</t>
  </si>
  <si>
    <t>-00:04:21</t>
  </si>
  <si>
    <t>00:12:24</t>
  </si>
  <si>
    <t>2, 3, 10, 11, 12, 13, 14, 15, 16, 17, 18, 19, 20, 21, 22, 23, 24, 25, 26, 27, 28, 29, 30, 31</t>
  </si>
  <si>
    <t>00:01:34</t>
  </si>
  <si>
    <t>00:46:46</t>
  </si>
  <si>
    <t>-04:50:58</t>
  </si>
  <si>
    <t>01:30:30</t>
  </si>
  <si>
    <t>00:05:29</t>
  </si>
  <si>
    <t>02:01:42</t>
  </si>
  <si>
    <t>00:02:08</t>
  </si>
  <si>
    <t>02:13:50</t>
  </si>
  <si>
    <t>-00:00:36</t>
  </si>
  <si>
    <t>-00:25:56</t>
  </si>
  <si>
    <t>00:00:15</t>
  </si>
  <si>
    <t>01:23:20</t>
  </si>
  <si>
    <t>-00:03:35</t>
  </si>
  <si>
    <t>02:01:54</t>
  </si>
  <si>
    <t>02:33:27</t>
  </si>
  <si>
    <t>01:03:07</t>
  </si>
  <si>
    <t>00:11:28</t>
  </si>
  <si>
    <t>01:05:25</t>
  </si>
  <si>
    <t>02:34:31</t>
  </si>
  <si>
    <t>02:45:09</t>
  </si>
  <si>
    <t>00:01:52</t>
  </si>
  <si>
    <t>02:17:18</t>
  </si>
  <si>
    <t>-01:10:24</t>
  </si>
  <si>
    <t>00:37:40</t>
  </si>
  <si>
    <t>01:48:04</t>
  </si>
  <si>
    <t>02:37:37</t>
  </si>
  <si>
    <t>02:16:10</t>
  </si>
  <si>
    <t>02:50:39</t>
  </si>
  <si>
    <t>02:31:58</t>
  </si>
  <si>
    <t>01:40:08</t>
  </si>
  <si>
    <t>-00:53:15</t>
  </si>
  <si>
    <t>02:40:47</t>
  </si>
  <si>
    <t>02:00:39</t>
  </si>
  <si>
    <t>02:12:32</t>
  </si>
  <si>
    <t>02:37:13</t>
  </si>
  <si>
    <t>00:01:35</t>
  </si>
  <si>
    <t>-01:09:45</t>
  </si>
  <si>
    <t>00:39:14</t>
  </si>
  <si>
    <t>02:16:35</t>
  </si>
  <si>
    <t>00:10:00</t>
  </si>
  <si>
    <t>02:00:54</t>
  </si>
  <si>
    <t>00:07:02</t>
  </si>
  <si>
    <t>02:49:31</t>
  </si>
  <si>
    <t>01:41:08</t>
  </si>
  <si>
    <t>00:06:21</t>
  </si>
  <si>
    <t>01:35:58</t>
  </si>
  <si>
    <t>5, 12, 26</t>
  </si>
  <si>
    <t>-00:02:02</t>
  </si>
  <si>
    <t>-00:07:53</t>
  </si>
  <si>
    <t>00:03:47</t>
  </si>
  <si>
    <t>-04:33:23</t>
  </si>
  <si>
    <t>00:08:07</t>
  </si>
  <si>
    <t>-00:10:16</t>
  </si>
  <si>
    <t>00:04:48</t>
  </si>
  <si>
    <t>00:01:30</t>
  </si>
  <si>
    <t>00:00:08</t>
  </si>
  <si>
    <t>00:06:24</t>
  </si>
  <si>
    <t>-00:02:08</t>
  </si>
  <si>
    <t>-00:19:35</t>
  </si>
  <si>
    <t>00:05:27</t>
  </si>
  <si>
    <t>00:05:08</t>
  </si>
  <si>
    <t>-00:04:05</t>
  </si>
  <si>
    <t>00:12:43</t>
  </si>
  <si>
    <t>00:05:10</t>
  </si>
  <si>
    <t>-00:16:19</t>
  </si>
  <si>
    <t>-01:02:31</t>
  </si>
  <si>
    <t>00:00:23</t>
  </si>
  <si>
    <t>00:01:39</t>
  </si>
  <si>
    <t>-00:08:22</t>
  </si>
  <si>
    <t>-01:38:32</t>
  </si>
  <si>
    <t>00:07:22</t>
  </si>
  <si>
    <t>00:00:44</t>
  </si>
  <si>
    <t>02:44:49</t>
  </si>
  <si>
    <t>00:04:09</t>
  </si>
  <si>
    <t>00:07:46</t>
  </si>
  <si>
    <t>-02:00:45</t>
  </si>
  <si>
    <t>5, 12, 13, 14, 19, 20, 26, 28, 29</t>
  </si>
  <si>
    <t>-00:16:13</t>
  </si>
  <si>
    <t>00:03:11</t>
  </si>
  <si>
    <t>-05:06:21</t>
  </si>
  <si>
    <t>00:17:50</t>
  </si>
  <si>
    <t>00:18:02</t>
  </si>
  <si>
    <t>-00:00:24</t>
  </si>
  <si>
    <t>00:07:39</t>
  </si>
  <si>
    <t>00:11:10</t>
  </si>
  <si>
    <t>00:05:00</t>
  </si>
  <si>
    <t>00:08:22</t>
  </si>
  <si>
    <t>00:08:25</t>
  </si>
  <si>
    <t>00:07:18</t>
  </si>
  <si>
    <t>00:04:28</t>
  </si>
  <si>
    <t>00:09:52</t>
  </si>
  <si>
    <t>-00:01:39</t>
  </si>
  <si>
    <t>00:19:47</t>
  </si>
  <si>
    <t>-00:00:19</t>
  </si>
  <si>
    <t>00:08:54</t>
  </si>
  <si>
    <t>00:08:27</t>
  </si>
  <si>
    <t>00:15:34</t>
  </si>
  <si>
    <t>-00:00:17</t>
  </si>
  <si>
    <t>00:18:01</t>
  </si>
  <si>
    <t>00:04:49</t>
  </si>
  <si>
    <t>-01:02:34</t>
  </si>
  <si>
    <t>00:14:28</t>
  </si>
  <si>
    <t>00:13:24</t>
  </si>
  <si>
    <t>00:08:28</t>
  </si>
  <si>
    <t>-03:56:30</t>
  </si>
  <si>
    <t>-00:10:30</t>
  </si>
  <si>
    <t>00:04:30</t>
  </si>
  <si>
    <t>00:06:31</t>
  </si>
  <si>
    <t>00:15:56</t>
  </si>
  <si>
    <t>00:58:39</t>
  </si>
  <si>
    <t>-00:10:41</t>
  </si>
  <si>
    <t>00:05:20</t>
  </si>
  <si>
    <t>00:09:33</t>
  </si>
  <si>
    <t>-00:16:32</t>
  </si>
  <si>
    <t>-01:26:22</t>
  </si>
  <si>
    <t>-00:00:04</t>
  </si>
  <si>
    <t>00:07:08</t>
  </si>
  <si>
    <t>00:15:47</t>
  </si>
  <si>
    <t>-08:37:18</t>
  </si>
  <si>
    <t>-08:29:18</t>
  </si>
  <si>
    <t>00:12:00</t>
  </si>
  <si>
    <t>00:01:40</t>
  </si>
  <si>
    <t>00:10:36</t>
  </si>
  <si>
    <t>00:00:59</t>
  </si>
  <si>
    <t>00:04:34</t>
  </si>
  <si>
    <t>-00:09:14</t>
  </si>
  <si>
    <t>00:01:38</t>
  </si>
  <si>
    <t>00:08:11</t>
  </si>
  <si>
    <t>00:03:55</t>
  </si>
  <si>
    <t>-00:06:02</t>
  </si>
  <si>
    <t>-00:01:09</t>
  </si>
  <si>
    <t>00:57:39</t>
  </si>
  <si>
    <t>01:00:31</t>
  </si>
  <si>
    <t>01:01:49</t>
  </si>
  <si>
    <t>01:02:54</t>
  </si>
  <si>
    <t>00:03:29</t>
  </si>
  <si>
    <t>01:00:53</t>
  </si>
  <si>
    <t>00:14:11</t>
  </si>
  <si>
    <t>01:01:20</t>
  </si>
  <si>
    <t>00:50:44</t>
  </si>
  <si>
    <t>00:58:32</t>
  </si>
  <si>
    <t>00:04:45</t>
  </si>
  <si>
    <t>00:57:11</t>
  </si>
  <si>
    <t>-00:16:20</t>
  </si>
  <si>
    <t>-00:25:43</t>
  </si>
  <si>
    <t>-00:53:20</t>
  </si>
  <si>
    <t>-00:10:20</t>
  </si>
  <si>
    <t>01:02:10</t>
  </si>
  <si>
    <t>00:03:00</t>
  </si>
  <si>
    <t>01:05:58</t>
  </si>
  <si>
    <t>01:02:51</t>
  </si>
  <si>
    <t>00:05:16</t>
  </si>
  <si>
    <t>01:04:22</t>
  </si>
  <si>
    <t>00:05:43</t>
  </si>
  <si>
    <t>00:57:26</t>
  </si>
  <si>
    <t>00:02:50</t>
  </si>
  <si>
    <t>00:58:49</t>
  </si>
  <si>
    <t>00:01:20</t>
  </si>
  <si>
    <t>00:59:15</t>
  </si>
  <si>
    <t>5, 12, 19, 26</t>
  </si>
  <si>
    <t>00:06:37</t>
  </si>
  <si>
    <t>00:05:21</t>
  </si>
  <si>
    <t>00:09:12</t>
  </si>
  <si>
    <t>00:55:50</t>
  </si>
  <si>
    <t>00:02:20</t>
  </si>
  <si>
    <t>00:56:06</t>
  </si>
  <si>
    <t>00:13:06</t>
  </si>
  <si>
    <t>00:56:19</t>
  </si>
  <si>
    <t>00:10:05</t>
  </si>
  <si>
    <t>00:56:27</t>
  </si>
  <si>
    <t>00:56:29</t>
  </si>
  <si>
    <t>00:09:55</t>
  </si>
  <si>
    <t>00:56:04</t>
  </si>
  <si>
    <t>00:06:47</t>
  </si>
  <si>
    <t>00:57:12</t>
  </si>
  <si>
    <t>00:09:38</t>
  </si>
  <si>
    <t>00:55:25</t>
  </si>
  <si>
    <t>00:56:10</t>
  </si>
  <si>
    <t>00:55:11</t>
  </si>
  <si>
    <t>00:54:44</t>
  </si>
  <si>
    <t>00:54:30</t>
  </si>
  <si>
    <t>00:54:12</t>
  </si>
  <si>
    <t>5, 12, 14, 19, 21, 26</t>
  </si>
  <si>
    <t>00:02:03</t>
  </si>
  <si>
    <t>00:01:43</t>
  </si>
  <si>
    <t>-00:06:14</t>
  </si>
  <si>
    <t>00:02:07</t>
  </si>
  <si>
    <t>01:00:52</t>
  </si>
  <si>
    <t>01:01:48</t>
  </si>
  <si>
    <t>01:00:35</t>
  </si>
  <si>
    <t>-00:19:19</t>
  </si>
  <si>
    <t>01:00:39</t>
  </si>
  <si>
    <t>01:01:06</t>
  </si>
  <si>
    <t>01:02:12</t>
  </si>
  <si>
    <t>00:56:42</t>
  </si>
  <si>
    <t>01:02:08</t>
  </si>
  <si>
    <t>00:59:32</t>
  </si>
  <si>
    <t>-00:53:49</t>
  </si>
  <si>
    <t>01:02:50</t>
  </si>
  <si>
    <t>01:01:02</t>
  </si>
  <si>
    <t>00:04:51</t>
  </si>
  <si>
    <t>01:00:32</t>
  </si>
  <si>
    <t>00:03:33</t>
  </si>
  <si>
    <t>01:01:55</t>
  </si>
  <si>
    <t>00:56:01</t>
  </si>
  <si>
    <t>00:57:28</t>
  </si>
  <si>
    <t>-01:04:07</t>
  </si>
  <si>
    <t>-01:31:18</t>
  </si>
  <si>
    <t>01:00:19</t>
  </si>
  <si>
    <t>00:01:59</t>
  </si>
  <si>
    <t>00:59:21</t>
  </si>
  <si>
    <t>00:58:55</t>
  </si>
  <si>
    <t>00:00:20</t>
  </si>
  <si>
    <t>-00:01:40</t>
  </si>
  <si>
    <t>00:09:06</t>
  </si>
  <si>
    <t>-00:03:47</t>
  </si>
  <si>
    <t>-00:01:37</t>
  </si>
  <si>
    <t>00:56:00</t>
  </si>
  <si>
    <t>00:56:24</t>
  </si>
  <si>
    <t>00:56:11</t>
  </si>
  <si>
    <t>00:56:09</t>
  </si>
  <si>
    <t>00:13:01</t>
  </si>
  <si>
    <t>00:56:21</t>
  </si>
  <si>
    <t>00:56:37</t>
  </si>
  <si>
    <t>00:56:32</t>
  </si>
  <si>
    <t>00:04:19</t>
  </si>
  <si>
    <t>00:04:39</t>
  </si>
  <si>
    <t>00:06:38</t>
  </si>
  <si>
    <t>00:06:14</t>
  </si>
  <si>
    <t>00:09:05</t>
  </si>
  <si>
    <t>00:57:15</t>
  </si>
  <si>
    <t>00:09:35</t>
  </si>
  <si>
    <t>00:56:44</t>
  </si>
  <si>
    <t>00:55:32</t>
  </si>
  <si>
    <t>00:57:18</t>
  </si>
  <si>
    <t>00:11:05</t>
  </si>
  <si>
    <t>00:08:43</t>
  </si>
  <si>
    <t>00:06:45</t>
  </si>
  <si>
    <t>00:55:38</t>
  </si>
  <si>
    <t>00:55:06</t>
  </si>
  <si>
    <t>5, 11, 12, 19, 24, 26</t>
  </si>
  <si>
    <t>-00:07:19</t>
  </si>
  <si>
    <t>-04:49:21</t>
  </si>
  <si>
    <t>-00:04:46</t>
  </si>
  <si>
    <t>-00:06:27</t>
  </si>
  <si>
    <t>-00:07:26</t>
  </si>
  <si>
    <t>00:01:04</t>
  </si>
  <si>
    <t>-00:11:32</t>
  </si>
  <si>
    <t>-00:16:25</t>
  </si>
  <si>
    <t>-00:02:12</t>
  </si>
  <si>
    <t>-00:08:08</t>
  </si>
  <si>
    <t>-00:10:10</t>
  </si>
  <si>
    <t>00:02:29</t>
  </si>
  <si>
    <t>-00:01:23</t>
  </si>
  <si>
    <t>-00:04:42</t>
  </si>
  <si>
    <t>00:01:55</t>
  </si>
  <si>
    <t>-00:07:40</t>
  </si>
  <si>
    <t>00:02:21</t>
  </si>
  <si>
    <t>-01:00:13</t>
  </si>
  <si>
    <t>-00:12:40</t>
  </si>
  <si>
    <t>00:02:42</t>
  </si>
  <si>
    <t>-00:00:12</t>
  </si>
  <si>
    <t>-00:12:12</t>
  </si>
  <si>
    <t>00:03:05</t>
  </si>
  <si>
    <t>-00:08:37</t>
  </si>
  <si>
    <t>5, 12, 16, 19, 26</t>
  </si>
  <si>
    <t>00:05:47</t>
  </si>
  <si>
    <t>00:01:21</t>
  </si>
  <si>
    <t>00:08:58</t>
  </si>
  <si>
    <t>-00:03:58</t>
  </si>
  <si>
    <t>00:56:40</t>
  </si>
  <si>
    <t>00:56:39</t>
  </si>
  <si>
    <t>00:00:27</t>
  </si>
  <si>
    <t>00:57:42</t>
  </si>
  <si>
    <t>00:13:10</t>
  </si>
  <si>
    <t>00:56:45</t>
  </si>
  <si>
    <t>00:06:16</t>
  </si>
  <si>
    <t>00:56:52</t>
  </si>
  <si>
    <t>00:10:02</t>
  </si>
  <si>
    <t>00:56:38</t>
  </si>
  <si>
    <t>00:05:55</t>
  </si>
  <si>
    <t>-00:02:20</t>
  </si>
  <si>
    <t>-03:37:00</t>
  </si>
  <si>
    <t>00:09:25</t>
  </si>
  <si>
    <t>00:57:01</t>
  </si>
  <si>
    <t>00:57:09</t>
  </si>
  <si>
    <t>00:10:56</t>
  </si>
  <si>
    <t>00:57:34</t>
  </si>
  <si>
    <t>-01:08:46</t>
  </si>
  <si>
    <t>-01:27:11</t>
  </si>
  <si>
    <t>00:55:16</t>
  </si>
  <si>
    <t>00:55:18</t>
  </si>
  <si>
    <t>5, 7, 8, 9, 10, 12, 13, 14, 15, 16, 17, 18, 19, 20, 21, 22, 23, 24, 25, 26, 27, 28, 29, 30, 31</t>
  </si>
  <si>
    <t>-00:03:21</t>
  </si>
  <si>
    <t>-00:40:13</t>
  </si>
  <si>
    <t>-00:05:46</t>
  </si>
  <si>
    <t>01:00:50</t>
  </si>
  <si>
    <t>-00:05:26</t>
  </si>
  <si>
    <t>01:01:50</t>
  </si>
  <si>
    <t>5, 6, 12, 19, 26</t>
  </si>
  <si>
    <t>-00:04:18</t>
  </si>
  <si>
    <t>-00:17:08</t>
  </si>
  <si>
    <t>00:55:37</t>
  </si>
  <si>
    <t>00:02:12</t>
  </si>
  <si>
    <t>00:55:56</t>
  </si>
  <si>
    <t>00:00:31</t>
  </si>
  <si>
    <t>00:55:48</t>
  </si>
  <si>
    <t>-04:24:21</t>
  </si>
  <si>
    <t>00:08:51</t>
  </si>
  <si>
    <t>00:56:02</t>
  </si>
  <si>
    <t>00:05:26</t>
  </si>
  <si>
    <t>00:05:32</t>
  </si>
  <si>
    <t>00:09:02</t>
  </si>
  <si>
    <t>00:56:56</t>
  </si>
  <si>
    <t>00:08:19</t>
  </si>
  <si>
    <t>00:07:27</t>
  </si>
  <si>
    <t>00:57:14</t>
  </si>
  <si>
    <t>00:11:03</t>
  </si>
  <si>
    <t>00:55:30</t>
  </si>
  <si>
    <t>00:55:26</t>
  </si>
  <si>
    <t>00:54:56</t>
  </si>
  <si>
    <t>5, 10, 12, 19, 26, 27</t>
  </si>
  <si>
    <t>-00:03:54</t>
  </si>
  <si>
    <t>00:01:16</t>
  </si>
  <si>
    <t>-00:10:28</t>
  </si>
  <si>
    <t>00:07:57</t>
  </si>
  <si>
    <t>-00:06:10</t>
  </si>
  <si>
    <t>00:00:03</t>
  </si>
  <si>
    <t>-00:00:41</t>
  </si>
  <si>
    <t>00:01:41</t>
  </si>
  <si>
    <t>00:02:22</t>
  </si>
  <si>
    <t>-00:07:59</t>
  </si>
  <si>
    <t>-00:19:14</t>
  </si>
  <si>
    <t>-00:04:34</t>
  </si>
  <si>
    <t>-00:08:17</t>
  </si>
  <si>
    <t>00:02:31</t>
  </si>
  <si>
    <t>-00:03:57</t>
  </si>
  <si>
    <t>00:04:21</t>
  </si>
  <si>
    <t>-00:10:51</t>
  </si>
  <si>
    <t>-00:11:07</t>
  </si>
  <si>
    <t>-00:15:14</t>
  </si>
  <si>
    <t>-01:09:42</t>
  </si>
  <si>
    <t>-01:14:51</t>
  </si>
  <si>
    <t>-00:06:25</t>
  </si>
  <si>
    <t>5, 12, 16, 26</t>
  </si>
  <si>
    <t>00:03:36</t>
  </si>
  <si>
    <t>00:57:20</t>
  </si>
  <si>
    <t>00:56:41</t>
  </si>
  <si>
    <t>00:56:17</t>
  </si>
  <si>
    <t>00:57:04</t>
  </si>
  <si>
    <t>00:58:04</t>
  </si>
  <si>
    <t>00:57:29</t>
  </si>
  <si>
    <t>00:56:14</t>
  </si>
  <si>
    <t>-00:05:57</t>
  </si>
  <si>
    <t>-01:01:27</t>
  </si>
  <si>
    <t>-00:04:26</t>
  </si>
  <si>
    <t>00:57:06</t>
  </si>
  <si>
    <t>00:57:13</t>
  </si>
  <si>
    <t>00:07:40</t>
  </si>
  <si>
    <t>00:59:07</t>
  </si>
  <si>
    <t>00:10:41</t>
  </si>
  <si>
    <t>00:08:46</t>
  </si>
  <si>
    <t>00:55:49</t>
  </si>
  <si>
    <t>00:06:52</t>
  </si>
  <si>
    <t>1, 2, 3, 4, 5, 6, 7, 8, 9, 10, 11, 12, 13, 14, 15, 16, 17, 18, 19, 20, 21, 22, 23, 24, 25, 26, 27, 28, 29, 30, 31</t>
  </si>
  <si>
    <t>-00:06:11</t>
  </si>
  <si>
    <t>00:11:18</t>
  </si>
  <si>
    <t>-00:01:05</t>
  </si>
  <si>
    <t>00:08:34</t>
  </si>
  <si>
    <t>00:54:16</t>
  </si>
  <si>
    <t>00:54:42</t>
  </si>
  <si>
    <t>00:56:34</t>
  </si>
  <si>
    <t>00:02:16</t>
  </si>
  <si>
    <t>00:53:54</t>
  </si>
  <si>
    <t>00:56:51</t>
  </si>
  <si>
    <t>00:17:45</t>
  </si>
  <si>
    <t>00:54:52</t>
  </si>
  <si>
    <t>00:01:31</t>
  </si>
  <si>
    <t>00:07:09</t>
  </si>
  <si>
    <t>00:58:13</t>
  </si>
  <si>
    <t>-00:06:19</t>
  </si>
  <si>
    <t>00:54:06</t>
  </si>
  <si>
    <t>-00:18:02</t>
  </si>
  <si>
    <t>00:55:14</t>
  </si>
  <si>
    <t>-00:57:51</t>
  </si>
  <si>
    <t>-00:00:34</t>
  </si>
  <si>
    <t>00:05:59</t>
  </si>
  <si>
    <t>00:55:35</t>
  </si>
  <si>
    <t>-00:02:30</t>
  </si>
  <si>
    <t>00:58:00</t>
  </si>
  <si>
    <t>00:04:40</t>
  </si>
  <si>
    <t>00:58:45</t>
  </si>
  <si>
    <t>-00:05:28</t>
  </si>
  <si>
    <t>00:54:54</t>
  </si>
  <si>
    <t>00:56:59</t>
  </si>
  <si>
    <t>00:54:23</t>
  </si>
  <si>
    <t>00:53:30</t>
  </si>
  <si>
    <t>00:28:18</t>
  </si>
  <si>
    <t>00:55:45</t>
  </si>
  <si>
    <t>00:14:40</t>
  </si>
  <si>
    <t>16, 19, 26</t>
  </si>
  <si>
    <t>-00:09:35</t>
  </si>
  <si>
    <t>-00:20:22</t>
  </si>
  <si>
    <t>-04:58:58</t>
  </si>
  <si>
    <t>-05:02:31</t>
  </si>
  <si>
    <t>02:59:37</t>
  </si>
  <si>
    <t>-01:17:23</t>
  </si>
  <si>
    <t>-16:57:19</t>
  </si>
  <si>
    <t>-00:20:01</t>
  </si>
  <si>
    <t>01:28:56</t>
  </si>
  <si>
    <t>01:36:55</t>
  </si>
  <si>
    <t>-06:42:38</t>
  </si>
  <si>
    <t>02:33:11</t>
  </si>
  <si>
    <t>-00:11:31</t>
  </si>
  <si>
    <t>-00:49:53</t>
  </si>
  <si>
    <t>-00:07:44</t>
  </si>
  <si>
    <t>01:42:16</t>
  </si>
  <si>
    <t>02:20:50</t>
  </si>
  <si>
    <t>00:57:51</t>
  </si>
  <si>
    <t>-00:14:04</t>
  </si>
  <si>
    <t>01:59:16</t>
  </si>
  <si>
    <t>-00:00:50</t>
  </si>
  <si>
    <t>02:26:48</t>
  </si>
  <si>
    <t>01:18:40</t>
  </si>
  <si>
    <t>-02:15:18</t>
  </si>
  <si>
    <t>-00:30:41</t>
  </si>
  <si>
    <t>01:54:49</t>
  </si>
  <si>
    <t>01:27:27</t>
  </si>
  <si>
    <t>00:04:59</t>
  </si>
  <si>
    <t>02:56:44</t>
  </si>
  <si>
    <t>03:31:44</t>
  </si>
  <si>
    <t>-00:10:47</t>
  </si>
  <si>
    <t>06:02:27</t>
  </si>
  <si>
    <t>-00:22:28</t>
  </si>
  <si>
    <t>05:35:19</t>
  </si>
  <si>
    <t>26</t>
  </si>
  <si>
    <t>-00:09:12</t>
  </si>
  <si>
    <t>00:01:07</t>
  </si>
  <si>
    <t>-00:20:31</t>
  </si>
  <si>
    <t>-04:58:00</t>
  </si>
  <si>
    <t>00:56:47</t>
  </si>
  <si>
    <t>-00:07:00</t>
  </si>
  <si>
    <t>02:55:03</t>
  </si>
  <si>
    <t>-00:57:09</t>
  </si>
  <si>
    <t>-17:01:33</t>
  </si>
  <si>
    <t>-00:19:33</t>
  </si>
  <si>
    <t>06:24:30</t>
  </si>
  <si>
    <t>00:03:45</t>
  </si>
  <si>
    <t>02:31:50</t>
  </si>
  <si>
    <t>-00:11:53</t>
  </si>
  <si>
    <t>-00:58:03</t>
  </si>
  <si>
    <t>-00:07:13</t>
  </si>
  <si>
    <t>01:42:19</t>
  </si>
  <si>
    <t>02:20:53</t>
  </si>
  <si>
    <t>-00:06:54</t>
  </si>
  <si>
    <t>03:02:38</t>
  </si>
  <si>
    <t>-00:12:38</t>
  </si>
  <si>
    <t>-00:54:52</t>
  </si>
  <si>
    <t>-00:13:42</t>
  </si>
  <si>
    <t>02:00:32</t>
  </si>
  <si>
    <t>00:01:06</t>
  </si>
  <si>
    <t>00:57:10</t>
  </si>
  <si>
    <t>-00:30:05</t>
  </si>
  <si>
    <t>01:56:53</t>
  </si>
  <si>
    <t>01:27:34</t>
  </si>
  <si>
    <t>00:04:46</t>
  </si>
  <si>
    <t>00:57:24</t>
  </si>
  <si>
    <t>02:53:11</t>
  </si>
  <si>
    <t>03:27:02</t>
  </si>
  <si>
    <t>-00:11:40</t>
  </si>
  <si>
    <t>06:03:32</t>
  </si>
  <si>
    <t>-00:21:19</t>
  </si>
  <si>
    <t>05:36:54</t>
  </si>
  <si>
    <t>2, 5, 12, 25, 26, 27</t>
  </si>
  <si>
    <t>00:07:55</t>
  </si>
  <si>
    <t>00:08:29</t>
  </si>
  <si>
    <t>00:57:08</t>
  </si>
  <si>
    <t>00:55:59</t>
  </si>
  <si>
    <t>00:03:42</t>
  </si>
  <si>
    <t>00:57:17</t>
  </si>
  <si>
    <t>00:57:33</t>
  </si>
  <si>
    <t>00:07:51</t>
  </si>
  <si>
    <t>-02:55:49</t>
  </si>
  <si>
    <t>00:55:03</t>
  </si>
  <si>
    <t>00:01:11</t>
  </si>
  <si>
    <t>-01:02:05</t>
  </si>
  <si>
    <t>00:56:13</t>
  </si>
  <si>
    <t>00:04:53</t>
  </si>
  <si>
    <t>00:02:36</t>
  </si>
  <si>
    <t>00:08:24</t>
  </si>
  <si>
    <t>00:55:42</t>
  </si>
  <si>
    <t>00:06:51</t>
  </si>
  <si>
    <t>00:00:55</t>
  </si>
  <si>
    <t>00:54:59</t>
  </si>
  <si>
    <t>-01:48:38</t>
  </si>
  <si>
    <t>5, 12, 14, 23, 26</t>
  </si>
  <si>
    <t>-00:03:42</t>
  </si>
  <si>
    <t>-00:06:33</t>
  </si>
  <si>
    <t>01:01:21</t>
  </si>
  <si>
    <t>01:00:36</t>
  </si>
  <si>
    <t>-00:25:20</t>
  </si>
  <si>
    <t>01:01:31</t>
  </si>
  <si>
    <t>00:08:13</t>
  </si>
  <si>
    <t>01:01:35</t>
  </si>
  <si>
    <t>-03:11:30</t>
  </si>
  <si>
    <t>01:01:08</t>
  </si>
  <si>
    <t>01:00:28</t>
  </si>
  <si>
    <t>00:01:14</t>
  </si>
  <si>
    <t>00:03:58</t>
  </si>
  <si>
    <t>-00:12:39</t>
  </si>
  <si>
    <t>-00:56:42</t>
  </si>
  <si>
    <t>01:03:10</t>
  </si>
  <si>
    <t>01:01:37</t>
  </si>
  <si>
    <t>01:01:01</t>
  </si>
  <si>
    <t>00:03:50</t>
  </si>
  <si>
    <t>00:59:16</t>
  </si>
  <si>
    <t>7, 12, 26</t>
  </si>
  <si>
    <t>-01:04:20</t>
  </si>
  <si>
    <t>01:00:02</t>
  </si>
  <si>
    <t>00:29:08</t>
  </si>
  <si>
    <t>-01:27:18</t>
  </si>
  <si>
    <t>00:28:02</t>
  </si>
  <si>
    <t>-01:38:55</t>
  </si>
  <si>
    <t>00:43:21</t>
  </si>
  <si>
    <t>-01:21:41</t>
  </si>
  <si>
    <t>00:39:01</t>
  </si>
  <si>
    <t>-01:35:41</t>
  </si>
  <si>
    <t>01:04:49</t>
  </si>
  <si>
    <t>00:47:50</t>
  </si>
  <si>
    <t>00:24:33</t>
  </si>
  <si>
    <t>00:36:50</t>
  </si>
  <si>
    <t>-01:32:25</t>
  </si>
  <si>
    <t>-00:59:33</t>
  </si>
  <si>
    <t>00:35:52</t>
  </si>
  <si>
    <t>00:34:54</t>
  </si>
  <si>
    <t>-01:54:45</t>
  </si>
  <si>
    <t>00:58:08</t>
  </si>
  <si>
    <t>-00:41:22</t>
  </si>
  <si>
    <t>01:00:56</t>
  </si>
  <si>
    <t>-00:24:16</t>
  </si>
  <si>
    <t>-07:25:02</t>
  </si>
  <si>
    <t>00:31:05</t>
  </si>
  <si>
    <t>-02:07:11</t>
  </si>
  <si>
    <t>00:47:26</t>
  </si>
  <si>
    <t>-01:45:40</t>
  </si>
  <si>
    <t>00:51:19</t>
  </si>
  <si>
    <t>-01:24:51</t>
  </si>
  <si>
    <t>00:36:08</t>
  </si>
  <si>
    <t>-01:35:21</t>
  </si>
  <si>
    <t>00:52:43</t>
  </si>
  <si>
    <t>-01:24:06</t>
  </si>
  <si>
    <t>00:22:18</t>
  </si>
  <si>
    <t>-02:32:19</t>
  </si>
  <si>
    <t>00:29:41</t>
  </si>
  <si>
    <t>00:36:01</t>
  </si>
  <si>
    <t>00:11:09</t>
  </si>
  <si>
    <t>00:39:55</t>
  </si>
  <si>
    <t>00:20:32</t>
  </si>
  <si>
    <t>01:07:16</t>
  </si>
  <si>
    <t>01:00:20</t>
  </si>
  <si>
    <t>-04:54:08</t>
  </si>
  <si>
    <t>00:33:02</t>
  </si>
  <si>
    <t>00:31:54</t>
  </si>
  <si>
    <t>02:01:25</t>
  </si>
  <si>
    <t>00:29:33</t>
  </si>
  <si>
    <t>02:14:42</t>
  </si>
  <si>
    <t>00:31:58</t>
  </si>
  <si>
    <t>01:28:01</t>
  </si>
  <si>
    <t>00:33:06</t>
  </si>
  <si>
    <t>00:04:11</t>
  </si>
  <si>
    <t>01:27:47</t>
  </si>
  <si>
    <t>00:33:27</t>
  </si>
  <si>
    <t>-00:50:56</t>
  </si>
  <si>
    <t>01:47:30</t>
  </si>
  <si>
    <t>01:02:24</t>
  </si>
  <si>
    <t>00:46:01</t>
  </si>
  <si>
    <t>01:05:55</t>
  </si>
  <si>
    <t>00:30:19</t>
  </si>
  <si>
    <t>02:14:52</t>
  </si>
  <si>
    <t>00:23:59</t>
  </si>
  <si>
    <t>02:30:17</t>
  </si>
  <si>
    <t>00:29:03</t>
  </si>
  <si>
    <t>01:59:19</t>
  </si>
  <si>
    <t>00:20:36</t>
  </si>
  <si>
    <t>-00:52:19</t>
  </si>
  <si>
    <t>02:03:58</t>
  </si>
  <si>
    <t>00:25:52</t>
  </si>
  <si>
    <t>02:31:34</t>
  </si>
  <si>
    <t>00:52:30</t>
  </si>
  <si>
    <t>00:42:46</t>
  </si>
  <si>
    <t>00:36:40</t>
  </si>
  <si>
    <t>01:01:25</t>
  </si>
  <si>
    <t>00:30:53</t>
  </si>
  <si>
    <t>02:01:57</t>
  </si>
  <si>
    <t>00:25:54</t>
  </si>
  <si>
    <t>01:32:05</t>
  </si>
  <si>
    <t>00:09:29</t>
  </si>
  <si>
    <t>01:16:33</t>
  </si>
  <si>
    <t>00:27:56</t>
  </si>
  <si>
    <t>02:56:41</t>
  </si>
  <si>
    <t>00:28:05</t>
  </si>
  <si>
    <t>03:31:37</t>
  </si>
  <si>
    <t>00:28:08</t>
  </si>
  <si>
    <t>06:07:24</t>
  </si>
  <si>
    <t>00:34:31</t>
  </si>
  <si>
    <t>05:38:39</t>
  </si>
  <si>
    <t>5, 8, 12, 17, 20, 26</t>
  </si>
  <si>
    <t>-00:04:47</t>
  </si>
  <si>
    <t>-00:29:22</t>
  </si>
  <si>
    <t>-01:04:39</t>
  </si>
  <si>
    <t>-00:06:00</t>
  </si>
  <si>
    <t>00:10:03</t>
  </si>
  <si>
    <t>00:54:27</t>
  </si>
  <si>
    <t>00:57:40</t>
  </si>
  <si>
    <t>02:06:15</t>
  </si>
  <si>
    <t>02:32:23</t>
  </si>
  <si>
    <t>-00:21:29</t>
  </si>
  <si>
    <t>02:21:53</t>
  </si>
  <si>
    <t>00:15:06</t>
  </si>
  <si>
    <t>02:06:35</t>
  </si>
  <si>
    <t>00:14:23</t>
  </si>
  <si>
    <t>02:07:01</t>
  </si>
  <si>
    <t>00:22:12</t>
  </si>
  <si>
    <t>00:21:23</t>
  </si>
  <si>
    <t>00:23:32</t>
  </si>
  <si>
    <t>-01:01:58</t>
  </si>
  <si>
    <t>-00:01:06</t>
  </si>
  <si>
    <t>-00:06:07</t>
  </si>
  <si>
    <t>-00:04:37</t>
  </si>
  <si>
    <t>02:01:32</t>
  </si>
  <si>
    <t>02:03:27</t>
  </si>
  <si>
    <t>00:02:15</t>
  </si>
  <si>
    <t>00:55:08</t>
  </si>
  <si>
    <t>00:03:28</t>
  </si>
  <si>
    <t>-00:01:07</t>
  </si>
  <si>
    <t>-00:27:07</t>
  </si>
  <si>
    <t>-00:04:12</t>
  </si>
  <si>
    <t>00:04:13</t>
  </si>
  <si>
    <t>00:55:39</t>
  </si>
  <si>
    <t>00:55:28</t>
  </si>
  <si>
    <t>-00:01:04</t>
  </si>
  <si>
    <t>00:01:23</t>
  </si>
  <si>
    <t>-00:34:51</t>
  </si>
  <si>
    <t>-00:01:33</t>
  </si>
  <si>
    <t>-01:02:38</t>
  </si>
  <si>
    <t>00:05:46</t>
  </si>
  <si>
    <t>00:55:40</t>
  </si>
  <si>
    <t>00:56:53</t>
  </si>
  <si>
    <t>00:56:23</t>
  </si>
  <si>
    <t>00:06:57</t>
  </si>
  <si>
    <t>00:55:27</t>
  </si>
  <si>
    <t>00:01:24</t>
  </si>
  <si>
    <t>00:54:28</t>
  </si>
  <si>
    <t>00:54:09</t>
  </si>
  <si>
    <t>00:45:32</t>
  </si>
  <si>
    <t>01:54:42</t>
  </si>
  <si>
    <t>00:45:55</t>
  </si>
  <si>
    <t>02:26:53</t>
  </si>
  <si>
    <t>00:55:22</t>
  </si>
  <si>
    <t>01:29:02</t>
  </si>
  <si>
    <t>00:36:05</t>
  </si>
  <si>
    <t>02:28:42</t>
  </si>
  <si>
    <t>-16:37:09</t>
  </si>
  <si>
    <t>00:39:49</t>
  </si>
  <si>
    <t>02:38:13</t>
  </si>
  <si>
    <t>00:39:13</t>
  </si>
  <si>
    <t>00:09:54</t>
  </si>
  <si>
    <t>00:39:41</t>
  </si>
  <si>
    <t>02:40:49</t>
  </si>
  <si>
    <t>-10:58:22</t>
  </si>
  <si>
    <t>00:49:08</t>
  </si>
  <si>
    <t>02:06:55</t>
  </si>
  <si>
    <t>00:36:34</t>
  </si>
  <si>
    <t>02:32:41</t>
  </si>
  <si>
    <t>00:30:44</t>
  </si>
  <si>
    <t>02:25:50</t>
  </si>
  <si>
    <t>00:37:17</t>
  </si>
  <si>
    <t>01:55:01</t>
  </si>
  <si>
    <t>00:34:57</t>
  </si>
  <si>
    <t>-00:57:05</t>
  </si>
  <si>
    <t>-11:01:54</t>
  </si>
  <si>
    <t>00:32:30</t>
  </si>
  <si>
    <t>02:28:21</t>
  </si>
  <si>
    <t>00:59:02</t>
  </si>
  <si>
    <t>03:19:46</t>
  </si>
  <si>
    <t>00:43:31</t>
  </si>
  <si>
    <t>02:25:02</t>
  </si>
  <si>
    <t>00:45:20</t>
  </si>
  <si>
    <t>02:18:01</t>
  </si>
  <si>
    <t>00:37:58</t>
  </si>
  <si>
    <t>00:56:58</t>
  </si>
  <si>
    <t>00:35:07</t>
  </si>
  <si>
    <t>02:05:35</t>
  </si>
  <si>
    <t>00:35:02</t>
  </si>
  <si>
    <t>00:35:58</t>
  </si>
  <si>
    <t>03:27:52</t>
  </si>
  <si>
    <t>00:37:45</t>
  </si>
  <si>
    <t>06:02:12</t>
  </si>
  <si>
    <t>00:43:58</t>
  </si>
  <si>
    <t>05:35:57</t>
  </si>
  <si>
    <t>5, 12, 15, 19, 25, 26</t>
  </si>
  <si>
    <t>00:00:43</t>
  </si>
  <si>
    <t>00:22:53</t>
  </si>
  <si>
    <t>-00:06:39</t>
  </si>
  <si>
    <t>00:11:45</t>
  </si>
  <si>
    <t>00:55:46</t>
  </si>
  <si>
    <t>00:57:27</t>
  </si>
  <si>
    <t>00:14:21</t>
  </si>
  <si>
    <t>00:20:49</t>
  </si>
  <si>
    <t>00:10:33</t>
  </si>
  <si>
    <t>00:14:51</t>
  </si>
  <si>
    <t>4, 6, 12, 26</t>
  </si>
  <si>
    <t>-00:04:20</t>
  </si>
  <si>
    <t>-04:34:07</t>
  </si>
  <si>
    <t>-04:58:52</t>
  </si>
  <si>
    <t>00:57:54</t>
  </si>
  <si>
    <t>00:14:56</t>
  </si>
  <si>
    <t>00:00:47</t>
  </si>
  <si>
    <t>00:56:57</t>
  </si>
  <si>
    <t>-04:11:34</t>
  </si>
  <si>
    <t>00:10:32</t>
  </si>
  <si>
    <t>00:57:25</t>
  </si>
  <si>
    <t>-01:45:02</t>
  </si>
  <si>
    <t>00:08:31</t>
  </si>
  <si>
    <t>-00:55:17</t>
  </si>
  <si>
    <t>-00:05:25</t>
  </si>
  <si>
    <t>01:59:25</t>
  </si>
  <si>
    <t>-00:45:40</t>
  </si>
  <si>
    <t>02:26:55</t>
  </si>
  <si>
    <t>-00:11:30</t>
  </si>
  <si>
    <t>00:29:55</t>
  </si>
  <si>
    <t>00:06:09</t>
  </si>
  <si>
    <t>01:58:40</t>
  </si>
  <si>
    <t>01:27:41</t>
  </si>
  <si>
    <t>00:57:43</t>
  </si>
  <si>
    <t>00:58:58</t>
  </si>
  <si>
    <t>00:29:52</t>
  </si>
  <si>
    <t>02:03:34</t>
  </si>
  <si>
    <t>00:28:40</t>
  </si>
  <si>
    <t>06:02:36</t>
  </si>
  <si>
    <t>00:27:59</t>
  </si>
  <si>
    <t>05:37:35</t>
  </si>
  <si>
    <t>1, 2, 3, 4, 5, 6, 7, 8, 9, 10, 11, 12, 13, 14, 15, 16, 17, 18, 19, 20, 21, 22, 23, 24, 25, 26, 27</t>
  </si>
  <si>
    <t>5090 - MEENA</t>
  </si>
  <si>
    <t>00:35:40</t>
  </si>
  <si>
    <t>5092 - VALLI B</t>
  </si>
  <si>
    <t>5093 - BHUSAN</t>
  </si>
  <si>
    <t>2, 3, 4, 5, 6, 7, 8, 9, 10, 11, 12, 13, 14, 15, 16, 17, 18, 19, 20, 21, 22, 23, 24, 25, 26, 27</t>
  </si>
  <si>
    <t>JULY MONTH SALARY -2026</t>
  </si>
  <si>
    <t>6610722113</t>
  </si>
  <si>
    <t>POSANA KUMAR</t>
  </si>
  <si>
    <t>ARAVINDHAN S</t>
  </si>
  <si>
    <t>10227773468</t>
  </si>
  <si>
    <t>1, 2, 3, 4, 5, 6, 7, 8, 9, 10, 11, 12, 13, 14, 15, 16, 17, 18, 19, 20, 21, 22, 23, 26</t>
  </si>
  <si>
    <t>-00:10:00</t>
  </si>
  <si>
    <t>00:50:00</t>
  </si>
  <si>
    <t>5, 12, 26, 31</t>
  </si>
  <si>
    <t>-00:09:00</t>
  </si>
  <si>
    <t>-06:20:00</t>
  </si>
  <si>
    <t>-03:30:00</t>
  </si>
  <si>
    <t>-07:04:46</t>
  </si>
  <si>
    <t>-07:29:21</t>
  </si>
  <si>
    <t>ok</t>
  </si>
  <si>
    <t>PANNAKEDIRAN</t>
  </si>
  <si>
    <t>IRONING &amp; BARTCAK</t>
  </si>
  <si>
    <t>Details for Work Days - Employee: 1002 - VALLI, Department: CUTTING DEPARTMENT</t>
  </si>
  <si>
    <t>Details for Work Days - Employee: 5093 - BHUSAN, Department: FINISHING DEPARTMENT</t>
  </si>
  <si>
    <t>JULY MONTH SUMMARY -2026</t>
  </si>
  <si>
    <t>TOTAL AMOUNT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</si>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</sst>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 * #,##0.00_ ;_ * \-#,##0.00_ ;_ * &quot;-&quot;??_ ;_ @_ "/>
    <numFmt numFmtId="164" formatCode="&quot;₹&quot;#,##0.00_);[Red]\(&quot;₹&quot;#,##0.00\)"/>
    <numFmt numFmtId="165" formatCode="[$-F400]h:mm:ss\ AM/PM"/>
    <numFmt numFmtId="166" formatCode="d"/>
    <numFmt numFmtId="167" formatCode="0.0"/>
    <numFmt numFmtId="168" formatCode="[$-409]d\-mmm;@"/>
    <numFmt numFmtId="169" formatCode="0.##"/>
    <numFmt numFmtId="170" formatCode="[$-14009]dd/mm/yyyy;@"/>
  </numFmts>
  <fonts count="6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theme="1"/>
      <name val="Verdana"/>
      <family val="2"/>
    </font>
    <font>
      <b/>
      <sz val="10"/>
      <color rgb="FF000000"/>
      <name val="Verdana"/>
      <family val="2"/>
    </font>
    <font>
      <sz val="10"/>
      <color rgb="FF000000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4"/>
      <color theme="1"/>
      <name val="Verdana"/>
      <family val="2"/>
    </font>
    <font>
      <sz val="22"/>
      <color theme="1"/>
      <name val="Verdana"/>
      <family val="2"/>
    </font>
    <font>
      <b/>
      <sz val="14"/>
      <color theme="1"/>
      <name val="Calibri"/>
      <family val="2"/>
      <scheme val="minor"/>
    </font>
    <font>
      <b/>
      <sz val="9"/>
      <color rgb="FF000000"/>
      <name val="Verdana"/>
      <family val="2"/>
    </font>
    <font>
      <sz val="9"/>
      <color theme="1"/>
      <name val="Calibri"/>
      <family val="2"/>
      <scheme val="minor"/>
    </font>
    <font>
      <sz val="12"/>
      <color theme="1"/>
      <name val="Verdana"/>
      <family val="2"/>
    </font>
    <font>
      <b/>
      <sz val="11"/>
      <color rgb="FF000000"/>
      <name val="Verdana"/>
      <family val="2"/>
    </font>
    <font>
      <sz val="10"/>
      <color rgb="FF000000"/>
      <name val="Verdana"/>
      <family val="2"/>
    </font>
    <font>
      <sz val="11"/>
      <color rgb="FF000000"/>
      <name val="Verdana"/>
      <family val="2"/>
    </font>
    <font>
      <b/>
      <sz val="8"/>
      <color theme="1"/>
      <name val="Verdana"/>
      <family val="2"/>
    </font>
    <font>
      <sz val="8"/>
      <color theme="1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Verdana"/>
      <family val="2"/>
    </font>
    <font>
      <b/>
      <sz val="14"/>
      <color rgb="FF000000"/>
      <name val="Verdana"/>
      <family val="2"/>
    </font>
    <font>
      <sz val="8"/>
      <name val="Calibri"/>
      <family val="2"/>
      <scheme val="minor"/>
    </font>
    <font>
      <sz val="10"/>
      <color theme="1"/>
      <name val="Verdana"/>
      <family val="2"/>
    </font>
    <font>
      <i/>
      <sz val="10"/>
      <color rgb="FFFF0000"/>
      <name val="Verdana"/>
      <family val="2"/>
    </font>
    <font>
      <b/>
      <sz val="8"/>
      <color rgb="FFFF0000"/>
      <name val="Verdana"/>
      <family val="2"/>
    </font>
    <font>
      <sz val="10"/>
      <color rgb="FFFF0000"/>
      <name val="Verdana"/>
      <family val="2"/>
    </font>
    <font>
      <sz val="11"/>
      <color theme="1"/>
      <name val="Verdana"/>
      <family val="2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sz val="14"/>
      <color rgb="FF800000"/>
      <name val="Calibri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Palatino Linotype"/>
      <family val="1"/>
    </font>
    <font>
      <sz val="10"/>
      <color theme="1"/>
      <name val="Verdana"/>
      <family val="2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color theme="1"/>
      <name val="Verdana"/>
      <family val="2"/>
    </font>
    <font>
      <b/>
      <i/>
      <sz val="10"/>
      <color rgb="FFFF0000"/>
      <name val="Verdana"/>
      <family val="2"/>
    </font>
    <font>
      <sz val="11"/>
      <color rgb="FF00B050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CD4"/>
        <bgColor indexed="64"/>
      </patternFill>
    </fill>
    <fill>
      <patternFill patternType="solid">
        <fgColor rgb="FFF4B084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27A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8CBAD"/>
        <bgColor rgb="FF000000"/>
      </patternFill>
    </fill>
    <fill>
      <patternFill patternType="solid">
        <fgColor rgb="FF85D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CAEA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CE4D6"/>
        <bgColor rgb="FF000000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</borders>
  <cellStyleXfs count="45">
    <xf numFmtId="0" fontId="0" fillId="0" borderId="0"/>
    <xf numFmtId="0" fontId="3" fillId="0" borderId="0" applyNumberFormat="0" applyFill="0" applyBorder="0" applyAlignment="0" applyProtection="0"/>
    <xf numFmtId="0" fontId="4" fillId="0" borderId="6" applyNumberFormat="0" applyFill="0" applyAlignment="0" applyProtection="0"/>
    <xf numFmtId="0" fontId="5" fillId="0" borderId="7" applyNumberFormat="0" applyFill="0" applyAlignment="0" applyProtection="0"/>
    <xf numFmtId="0" fontId="6" fillId="0" borderId="8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7" borderId="9" applyNumberFormat="0" applyAlignment="0" applyProtection="0"/>
    <xf numFmtId="0" fontId="10" fillId="8" borderId="10" applyNumberFormat="0" applyAlignment="0" applyProtection="0"/>
    <xf numFmtId="0" fontId="11" fillId="8" borderId="9" applyNumberFormat="0" applyAlignment="0" applyProtection="0"/>
    <xf numFmtId="0" fontId="12" fillId="0" borderId="11" applyNumberFormat="0" applyFill="0" applyAlignment="0" applyProtection="0"/>
    <xf numFmtId="0" fontId="13" fillId="9" borderId="12" applyNumberFormat="0" applyAlignment="0" applyProtection="0"/>
    <xf numFmtId="0" fontId="14" fillId="0" borderId="0" applyNumberFormat="0" applyFill="0" applyBorder="0" applyAlignment="0" applyProtection="0"/>
    <xf numFmtId="0" fontId="2" fillId="10" borderId="13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14" applyNumberFormat="0" applyFill="0" applyAlignment="0" applyProtection="0"/>
    <xf numFmtId="0" fontId="16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16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6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6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6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6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7" fillId="6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43" fontId="2" fillId="0" borderId="0" applyFont="0" applyFill="0" applyBorder="0" applyAlignment="0" applyProtection="0"/>
    <xf numFmtId="0" fontId="49" fillId="0" borderId="0"/>
    <xf numFmtId="0" fontId="55" fillId="0" borderId="0" applyNumberFormat="0" applyFill="0" applyBorder="0" applyAlignment="0" applyProtection="0"/>
  </cellStyleXfs>
  <cellXfs count="418">
    <xf numFmtId="0" fontId="0" fillId="0" borderId="0" xfId="0"/>
    <xf numFmtId="0" fontId="23" fillId="0" borderId="0" xfId="0" applyFont="1"/>
    <xf numFmtId="0" fontId="23" fillId="39" borderId="20" xfId="0" applyFont="1" applyFill="1" applyBorder="1" applyAlignment="1">
      <alignment horizontal="left" vertical="center"/>
    </xf>
    <xf numFmtId="0" fontId="25" fillId="0" borderId="0" xfId="0" applyFont="1"/>
    <xf numFmtId="0" fontId="25" fillId="0" borderId="20" xfId="0" applyFont="1" applyBorder="1" applyAlignment="1">
      <alignment horizontal="left" vertical="center"/>
    </xf>
    <xf numFmtId="0" fontId="26" fillId="3" borderId="0" xfId="0" applyFont="1" applyFill="1"/>
    <xf numFmtId="1" fontId="23" fillId="39" borderId="2" xfId="0" applyNumberFormat="1" applyFont="1" applyFill="1" applyBorder="1" applyAlignment="1">
      <alignment horizontal="right" vertical="center"/>
    </xf>
    <xf numFmtId="0" fontId="22" fillId="0" borderId="0" xfId="0" applyFont="1"/>
    <xf numFmtId="0" fontId="27" fillId="0" borderId="0" xfId="0" applyFont="1"/>
    <xf numFmtId="0" fontId="21" fillId="0" borderId="24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5" fillId="0" borderId="26" xfId="0" applyFont="1" applyBorder="1" applyAlignment="1">
      <alignment vertical="center"/>
    </xf>
    <xf numFmtId="0" fontId="28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3" fillId="0" borderId="0" xfId="0" applyFont="1" applyAlignment="1">
      <alignment horizontal="left"/>
    </xf>
    <xf numFmtId="1" fontId="23" fillId="0" borderId="0" xfId="0" applyNumberFormat="1" applyFont="1" applyAlignment="1">
      <alignment horizontal="left" vertical="center"/>
    </xf>
    <xf numFmtId="1" fontId="22" fillId="3" borderId="0" xfId="0" applyNumberFormat="1" applyFont="1" applyFill="1" applyAlignment="1">
      <alignment horizontal="right" vertical="center"/>
    </xf>
    <xf numFmtId="0" fontId="20" fillId="43" borderId="0" xfId="0" applyFont="1" applyFill="1"/>
    <xf numFmtId="0" fontId="20" fillId="0" borderId="0" xfId="0" applyFont="1"/>
    <xf numFmtId="1" fontId="18" fillId="0" borderId="0" xfId="0" applyNumberFormat="1" applyFont="1" applyAlignment="1">
      <alignment horizontal="left" vertical="center"/>
    </xf>
    <xf numFmtId="1" fontId="25" fillId="0" borderId="0" xfId="0" applyNumberFormat="1" applyFont="1"/>
    <xf numFmtId="0" fontId="30" fillId="0" borderId="0" xfId="0" applyFont="1" applyAlignment="1">
      <alignment wrapText="1"/>
    </xf>
    <xf numFmtId="0" fontId="31" fillId="3" borderId="0" xfId="0" applyFont="1" applyFill="1"/>
    <xf numFmtId="0" fontId="20" fillId="0" borderId="28" xfId="0" applyFont="1" applyBorder="1"/>
    <xf numFmtId="0" fontId="21" fillId="38" borderId="31" xfId="0" applyFont="1" applyFill="1" applyBorder="1" applyAlignment="1">
      <alignment horizontal="center" vertical="center" wrapText="1"/>
    </xf>
    <xf numFmtId="1" fontId="19" fillId="3" borderId="32" xfId="0" applyNumberFormat="1" applyFont="1" applyFill="1" applyBorder="1" applyAlignment="1">
      <alignment horizontal="center"/>
    </xf>
    <xf numFmtId="0" fontId="37" fillId="2" borderId="1" xfId="0" applyFont="1" applyFill="1" applyBorder="1" applyAlignment="1">
      <alignment horizontal="left" vertical="center" wrapText="1"/>
    </xf>
    <xf numFmtId="0" fontId="33" fillId="43" borderId="2" xfId="0" applyFont="1" applyFill="1" applyBorder="1"/>
    <xf numFmtId="0" fontId="33" fillId="43" borderId="5" xfId="0" applyFont="1" applyFill="1" applyBorder="1"/>
    <xf numFmtId="0" fontId="33" fillId="43" borderId="1" xfId="0" applyFont="1" applyFill="1" applyBorder="1"/>
    <xf numFmtId="49" fontId="33" fillId="43" borderId="1" xfId="0" applyNumberFormat="1" applyFont="1" applyFill="1" applyBorder="1"/>
    <xf numFmtId="1" fontId="37" fillId="2" borderId="1" xfId="0" applyNumberFormat="1" applyFont="1" applyFill="1" applyBorder="1" applyAlignment="1">
      <alignment horizontal="left" vertical="center"/>
    </xf>
    <xf numFmtId="0" fontId="37" fillId="0" borderId="0" xfId="0" applyFont="1"/>
    <xf numFmtId="0" fontId="39" fillId="52" borderId="34" xfId="0" applyFont="1" applyFill="1" applyBorder="1"/>
    <xf numFmtId="0" fontId="33" fillId="51" borderId="35" xfId="0" applyFont="1" applyFill="1" applyBorder="1" applyAlignment="1">
      <alignment wrapText="1"/>
    </xf>
    <xf numFmtId="0" fontId="18" fillId="2" borderId="1" xfId="0" applyFont="1" applyFill="1" applyBorder="1" applyAlignment="1">
      <alignment horizontal="left"/>
    </xf>
    <xf numFmtId="0" fontId="18" fillId="2" borderId="20" xfId="0" applyFont="1" applyFill="1" applyBorder="1" applyAlignment="1">
      <alignment horizontal="left"/>
    </xf>
    <xf numFmtId="0" fontId="40" fillId="0" borderId="0" xfId="0" applyFont="1"/>
    <xf numFmtId="165" fontId="0" fillId="0" borderId="0" xfId="0" applyNumberFormat="1"/>
    <xf numFmtId="0" fontId="22" fillId="41" borderId="0" xfId="0" applyFont="1" applyFill="1"/>
    <xf numFmtId="0" fontId="25" fillId="0" borderId="31" xfId="0" applyFont="1" applyBorder="1" applyAlignment="1">
      <alignment vertical="center"/>
    </xf>
    <xf numFmtId="0" fontId="25" fillId="0" borderId="30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3" fillId="0" borderId="0" xfId="0" applyFont="1" applyProtection="1">
      <protection locked="0"/>
    </xf>
    <xf numFmtId="3" fontId="19" fillId="3" borderId="24" xfId="0" applyNumberFormat="1" applyFont="1" applyFill="1" applyBorder="1" applyProtection="1">
      <protection locked="0"/>
    </xf>
    <xf numFmtId="0" fontId="21" fillId="40" borderId="2" xfId="0" applyFont="1" applyFill="1" applyBorder="1" applyAlignment="1" applyProtection="1">
      <alignment horizontal="center" vertical="center" wrapText="1"/>
      <protection locked="0"/>
    </xf>
    <xf numFmtId="0" fontId="35" fillId="41" borderId="23" xfId="0" applyFont="1" applyFill="1" applyBorder="1" applyAlignment="1">
      <alignment vertical="center"/>
    </xf>
    <xf numFmtId="0" fontId="21" fillId="38" borderId="30" xfId="0" applyFont="1" applyFill="1" applyBorder="1" applyAlignment="1">
      <alignment horizontal="center" vertical="center" wrapText="1"/>
    </xf>
    <xf numFmtId="1" fontId="21" fillId="37" borderId="30" xfId="0" applyNumberFormat="1" applyFont="1" applyFill="1" applyBorder="1" applyAlignment="1">
      <alignment horizontal="center" vertical="center" wrapText="1"/>
    </xf>
    <xf numFmtId="1" fontId="18" fillId="42" borderId="26" xfId="0" applyNumberFormat="1" applyFont="1" applyFill="1" applyBorder="1" applyAlignment="1">
      <alignment horizontal="right" vertical="center"/>
    </xf>
    <xf numFmtId="0" fontId="18" fillId="0" borderId="28" xfId="0" applyFont="1" applyBorder="1" applyAlignment="1">
      <alignment horizontal="left" vertical="center"/>
    </xf>
    <xf numFmtId="3" fontId="19" fillId="3" borderId="28" xfId="0" applyNumberFormat="1" applyFont="1" applyFill="1" applyBorder="1"/>
    <xf numFmtId="1" fontId="19" fillId="3" borderId="28" xfId="0" applyNumberFormat="1" applyFont="1" applyFill="1" applyBorder="1"/>
    <xf numFmtId="0" fontId="21" fillId="38" borderId="2" xfId="0" applyFont="1" applyFill="1" applyBorder="1" applyAlignment="1" applyProtection="1">
      <alignment horizontal="center" vertical="center" wrapText="1"/>
      <protection locked="0"/>
    </xf>
    <xf numFmtId="0" fontId="26" fillId="3" borderId="0" xfId="0" applyFont="1" applyFill="1" applyProtection="1">
      <protection locked="0"/>
    </xf>
    <xf numFmtId="1" fontId="23" fillId="0" borderId="0" xfId="0" applyNumberFormat="1" applyFont="1" applyAlignment="1" applyProtection="1">
      <alignment horizontal="left" vertical="center"/>
      <protection locked="0"/>
    </xf>
    <xf numFmtId="0" fontId="25" fillId="0" borderId="0" xfId="0" applyFont="1" applyProtection="1">
      <protection locked="0"/>
    </xf>
    <xf numFmtId="0" fontId="37" fillId="0" borderId="0" xfId="0" applyFont="1" applyProtection="1">
      <protection locked="0"/>
    </xf>
    <xf numFmtId="0" fontId="35" fillId="48" borderId="1" xfId="0" applyFont="1" applyFill="1" applyBorder="1" applyAlignment="1" applyProtection="1">
      <alignment horizontal="center" vertical="center" wrapText="1"/>
      <protection locked="0"/>
    </xf>
    <xf numFmtId="0" fontId="35" fillId="50" borderId="1" xfId="0" applyFont="1" applyFill="1" applyBorder="1" applyAlignment="1" applyProtection="1">
      <alignment horizontal="center" vertical="center" textRotation="90" wrapText="1"/>
      <protection locked="0"/>
    </xf>
    <xf numFmtId="0" fontId="24" fillId="41" borderId="0" xfId="0" applyFont="1" applyFill="1" applyAlignment="1">
      <alignment vertical="center"/>
    </xf>
    <xf numFmtId="0" fontId="20" fillId="0" borderId="1" xfId="0" applyFont="1" applyBorder="1" applyAlignment="1">
      <alignment vertical="center"/>
    </xf>
    <xf numFmtId="1" fontId="0" fillId="44" borderId="1" xfId="0" applyNumberFormat="1" applyFill="1" applyBorder="1" applyAlignment="1">
      <alignment vertical="center"/>
    </xf>
    <xf numFmtId="1" fontId="32" fillId="44" borderId="1" xfId="0" applyNumberFormat="1" applyFont="1" applyFill="1" applyBorder="1" applyAlignment="1">
      <alignment vertical="center"/>
    </xf>
    <xf numFmtId="1" fontId="34" fillId="44" borderId="1" xfId="0" applyNumberFormat="1" applyFont="1" applyFill="1" applyBorder="1" applyAlignment="1">
      <alignment vertical="center"/>
    </xf>
    <xf numFmtId="1" fontId="42" fillId="44" borderId="1" xfId="0" applyNumberFormat="1" applyFont="1" applyFill="1" applyBorder="1" applyAlignment="1">
      <alignment vertical="center"/>
    </xf>
    <xf numFmtId="0" fontId="20" fillId="0" borderId="26" xfId="0" applyFont="1" applyBorder="1" applyAlignment="1">
      <alignment vertical="center"/>
    </xf>
    <xf numFmtId="1" fontId="0" fillId="0" borderId="0" xfId="0" applyNumberFormat="1"/>
    <xf numFmtId="0" fontId="25" fillId="0" borderId="28" xfId="0" applyFont="1" applyBorder="1" applyAlignment="1">
      <alignment vertical="center"/>
    </xf>
    <xf numFmtId="0" fontId="20" fillId="0" borderId="28" xfId="0" applyFont="1" applyBorder="1" applyAlignment="1">
      <alignment vertical="center"/>
    </xf>
    <xf numFmtId="0" fontId="25" fillId="0" borderId="28" xfId="0" applyFont="1" applyBorder="1" applyAlignment="1">
      <alignment horizontal="left" vertical="center"/>
    </xf>
    <xf numFmtId="0" fontId="0" fillId="0" borderId="1" xfId="0" applyBorder="1"/>
    <xf numFmtId="0" fontId="1" fillId="3" borderId="0" xfId="0" applyFont="1" applyFill="1"/>
    <xf numFmtId="0" fontId="50" fillId="0" borderId="1" xfId="0" applyFont="1" applyBorder="1"/>
    <xf numFmtId="0" fontId="51" fillId="0" borderId="1" xfId="0" applyFont="1" applyBorder="1"/>
    <xf numFmtId="0" fontId="51" fillId="40" borderId="1" xfId="0" applyFont="1" applyFill="1" applyBorder="1"/>
    <xf numFmtId="49" fontId="0" fillId="0" borderId="0" xfId="0" applyNumberFormat="1"/>
    <xf numFmtId="49" fontId="21" fillId="0" borderId="27" xfId="0" applyNumberFormat="1" applyFont="1" applyBorder="1" applyAlignment="1">
      <alignment horizontal="center" vertical="center" wrapText="1"/>
    </xf>
    <xf numFmtId="49" fontId="25" fillId="0" borderId="26" xfId="0" quotePrefix="1" applyNumberFormat="1" applyFont="1" applyBorder="1" applyAlignment="1">
      <alignment vertical="center"/>
    </xf>
    <xf numFmtId="49" fontId="25" fillId="0" borderId="26" xfId="0" quotePrefix="1" applyNumberFormat="1" applyFont="1" applyBorder="1" applyAlignment="1">
      <alignment horizontal="left" vertical="center"/>
    </xf>
    <xf numFmtId="49" fontId="25" fillId="0" borderId="28" xfId="0" quotePrefix="1" applyNumberFormat="1" applyFont="1" applyBorder="1" applyAlignment="1">
      <alignment horizontal="left" vertical="center"/>
    </xf>
    <xf numFmtId="49" fontId="25" fillId="0" borderId="30" xfId="0" quotePrefix="1" applyNumberFormat="1" applyFont="1" applyBorder="1" applyAlignment="1">
      <alignment vertical="center"/>
    </xf>
    <xf numFmtId="49" fontId="20" fillId="0" borderId="26" xfId="0" quotePrefix="1" applyNumberFormat="1" applyFont="1" applyBorder="1" applyAlignment="1">
      <alignment horizontal="left" vertical="center"/>
    </xf>
    <xf numFmtId="49" fontId="20" fillId="0" borderId="28" xfId="0" quotePrefix="1" applyNumberFormat="1" applyFont="1" applyBorder="1" applyAlignment="1">
      <alignment vertical="center"/>
    </xf>
    <xf numFmtId="49" fontId="25" fillId="0" borderId="28" xfId="0" quotePrefix="1" applyNumberFormat="1" applyFont="1" applyBorder="1" applyAlignment="1">
      <alignment vertical="center"/>
    </xf>
    <xf numFmtId="1" fontId="37" fillId="0" borderId="0" xfId="0" applyNumberFormat="1" applyFont="1"/>
    <xf numFmtId="0" fontId="29" fillId="53" borderId="37" xfId="43" applyFont="1" applyFill="1" applyBorder="1" applyAlignment="1">
      <alignment horizontal="center" vertical="center" wrapText="1"/>
    </xf>
    <xf numFmtId="49" fontId="29" fillId="53" borderId="37" xfId="43" applyNumberFormat="1" applyFont="1" applyFill="1" applyBorder="1" applyAlignment="1">
      <alignment horizontal="center" vertical="center" wrapText="1"/>
    </xf>
    <xf numFmtId="0" fontId="29" fillId="53" borderId="2" xfId="43" applyFont="1" applyFill="1" applyBorder="1" applyAlignment="1">
      <alignment horizontal="center" vertical="center" wrapText="1"/>
    </xf>
    <xf numFmtId="0" fontId="25" fillId="0" borderId="5" xfId="0" applyFont="1" applyBorder="1" applyAlignment="1">
      <alignment horizontal="left" vertical="center" wrapText="1"/>
    </xf>
    <xf numFmtId="0" fontId="25" fillId="0" borderId="1" xfId="0" applyFont="1" applyBorder="1" applyAlignment="1">
      <alignment horizontal="left" vertical="center"/>
    </xf>
    <xf numFmtId="1" fontId="25" fillId="0" borderId="1" xfId="0" applyNumberFormat="1" applyFont="1" applyBorder="1" applyAlignment="1">
      <alignment horizontal="left" vertical="center"/>
    </xf>
    <xf numFmtId="0" fontId="25" fillId="0" borderId="4" xfId="0" applyFont="1" applyBorder="1" applyAlignment="1">
      <alignment horizontal="left" vertical="center"/>
    </xf>
    <xf numFmtId="0" fontId="25" fillId="0" borderId="21" xfId="0" applyFont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1" fontId="37" fillId="0" borderId="1" xfId="0" applyNumberFormat="1" applyFont="1" applyBorder="1" applyAlignment="1">
      <alignment horizontal="left" vertical="center"/>
    </xf>
    <xf numFmtId="0" fontId="22" fillId="0" borderId="0" xfId="0" applyFont="1" applyAlignment="1">
      <alignment vertical="center" wrapText="1"/>
    </xf>
    <xf numFmtId="0" fontId="28" fillId="3" borderId="1" xfId="0" applyFont="1" applyFill="1" applyBorder="1"/>
    <xf numFmtId="0" fontId="1" fillId="0" borderId="0" xfId="0" applyFont="1"/>
    <xf numFmtId="0" fontId="1" fillId="0" borderId="1" xfId="0" applyFont="1" applyBorder="1" applyAlignment="1">
      <alignment horizontal="center"/>
    </xf>
    <xf numFmtId="14" fontId="0" fillId="0" borderId="0" xfId="0" applyNumberFormat="1"/>
    <xf numFmtId="49" fontId="25" fillId="0" borderId="28" xfId="0" applyNumberFormat="1" applyFont="1" applyBorder="1" applyAlignment="1">
      <alignment vertical="center"/>
    </xf>
    <xf numFmtId="168" fontId="0" fillId="0" borderId="0" xfId="0" applyNumberFormat="1"/>
    <xf numFmtId="0" fontId="40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2" fontId="54" fillId="0" borderId="0" xfId="0" applyNumberFormat="1" applyFont="1"/>
    <xf numFmtId="0" fontId="40" fillId="0" borderId="0" xfId="0" applyFont="1" applyAlignment="1">
      <alignment wrapText="1"/>
    </xf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55" fillId="0" borderId="0" xfId="44" applyFill="1"/>
    <xf numFmtId="167" fontId="0" fillId="0" borderId="0" xfId="0" applyNumberFormat="1"/>
    <xf numFmtId="0" fontId="54" fillId="0" borderId="0" xfId="0" applyFont="1" applyAlignment="1">
      <alignment horizontal="left" vertical="top"/>
    </xf>
    <xf numFmtId="0" fontId="1" fillId="0" borderId="0" xfId="0" applyFont="1" applyAlignment="1">
      <alignment horizontal="left" vertical="top"/>
    </xf>
    <xf numFmtId="167" fontId="1" fillId="0" borderId="0" xfId="0" applyNumberFormat="1" applyFont="1" applyAlignment="1">
      <alignment horizontal="center" vertical="center"/>
    </xf>
    <xf numFmtId="2" fontId="0" fillId="0" borderId="0" xfId="0" applyNumberFormat="1"/>
    <xf numFmtId="0" fontId="19" fillId="45" borderId="3" xfId="0" applyFont="1" applyFill="1" applyBorder="1"/>
    <xf numFmtId="0" fontId="23" fillId="0" borderId="1" xfId="0" applyFont="1" applyBorder="1" applyAlignment="1">
      <alignment horizontal="left"/>
    </xf>
    <xf numFmtId="0" fontId="23" fillId="0" borderId="1" xfId="0" applyFont="1" applyBorder="1" applyAlignment="1">
      <alignment horizontal="left" vertical="center"/>
    </xf>
    <xf numFmtId="0" fontId="26" fillId="3" borderId="0" xfId="0" applyFont="1" applyFill="1" applyAlignment="1">
      <alignment horizontal="center" vertical="center"/>
    </xf>
    <xf numFmtId="1" fontId="38" fillId="3" borderId="1" xfId="0" applyNumberFormat="1" applyFont="1" applyFill="1" applyBorder="1" applyAlignment="1">
      <alignment horizontal="left" vertical="center"/>
    </xf>
    <xf numFmtId="0" fontId="35" fillId="3" borderId="1" xfId="0" applyFont="1" applyFill="1" applyBorder="1" applyAlignment="1" applyProtection="1">
      <alignment horizontal="center" vertical="center"/>
      <protection locked="0"/>
    </xf>
    <xf numFmtId="0" fontId="35" fillId="48" borderId="15" xfId="0" applyFont="1" applyFill="1" applyBorder="1" applyAlignment="1" applyProtection="1">
      <alignment horizontal="center" vertical="center" wrapText="1"/>
      <protection locked="0"/>
    </xf>
    <xf numFmtId="0" fontId="36" fillId="0" borderId="0" xfId="0" applyFont="1" applyProtection="1">
      <protection locked="0"/>
    </xf>
    <xf numFmtId="0" fontId="46" fillId="50" borderId="1" xfId="0" applyFont="1" applyFill="1" applyBorder="1" applyAlignment="1" applyProtection="1">
      <alignment horizontal="center" vertical="center" textRotation="90" wrapText="1"/>
      <protection locked="0"/>
    </xf>
    <xf numFmtId="1" fontId="38" fillId="0" borderId="1" xfId="0" applyNumberFormat="1" applyFont="1" applyBorder="1" applyAlignment="1">
      <alignment horizontal="left" vertical="center"/>
    </xf>
    <xf numFmtId="1" fontId="45" fillId="0" borderId="1" xfId="0" applyNumberFormat="1" applyFont="1" applyBorder="1" applyAlignment="1">
      <alignment horizontal="left" vertical="center"/>
    </xf>
    <xf numFmtId="1" fontId="47" fillId="0" borderId="1" xfId="0" applyNumberFormat="1" applyFont="1" applyBorder="1" applyAlignment="1">
      <alignment horizontal="left" vertical="center"/>
    </xf>
    <xf numFmtId="0" fontId="35" fillId="3" borderId="1" xfId="0" applyFont="1" applyFill="1" applyBorder="1" applyAlignment="1" applyProtection="1">
      <alignment horizontal="center" vertical="center" textRotation="90" wrapText="1"/>
      <protection locked="0"/>
    </xf>
    <xf numFmtId="0" fontId="21" fillId="45" borderId="2" xfId="0" applyFont="1" applyFill="1" applyBorder="1" applyAlignment="1" applyProtection="1">
      <alignment horizontal="center" vertical="center" wrapText="1"/>
      <protection locked="0"/>
    </xf>
    <xf numFmtId="0" fontId="35" fillId="45" borderId="1" xfId="0" applyFont="1" applyFill="1" applyBorder="1" applyAlignment="1" applyProtection="1">
      <alignment horizontal="center" vertical="center" textRotation="90" wrapText="1"/>
      <protection locked="0"/>
    </xf>
    <xf numFmtId="0" fontId="21" fillId="45" borderId="1" xfId="0" applyFont="1" applyFill="1" applyBorder="1" applyAlignment="1" applyProtection="1">
      <alignment horizontal="center" vertical="center" textRotation="90" wrapText="1"/>
      <protection locked="0"/>
    </xf>
    <xf numFmtId="1" fontId="37" fillId="45" borderId="1" xfId="0" applyNumberFormat="1" applyFont="1" applyFill="1" applyBorder="1" applyAlignment="1" applyProtection="1">
      <alignment horizontal="left" vertical="center"/>
      <protection locked="0"/>
    </xf>
    <xf numFmtId="0" fontId="25" fillId="0" borderId="0" xfId="0" applyFont="1" applyAlignment="1">
      <alignment wrapText="1"/>
    </xf>
    <xf numFmtId="1" fontId="25" fillId="0" borderId="20" xfId="0" applyNumberFormat="1" applyFont="1" applyBorder="1" applyAlignment="1">
      <alignment horizontal="left" vertical="center"/>
    </xf>
    <xf numFmtId="1" fontId="25" fillId="39" borderId="2" xfId="0" applyNumberFormat="1" applyFont="1" applyFill="1" applyBorder="1" applyAlignment="1">
      <alignment horizontal="left" vertical="center"/>
    </xf>
    <xf numFmtId="0" fontId="24" fillId="3" borderId="20" xfId="0" applyFont="1" applyFill="1" applyBorder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21" fillId="38" borderId="27" xfId="0" applyFont="1" applyFill="1" applyBorder="1" applyAlignment="1" applyProtection="1">
      <alignment horizontal="center" vertical="center" wrapText="1"/>
      <protection locked="0"/>
    </xf>
    <xf numFmtId="1" fontId="21" fillId="37" borderId="27" xfId="0" applyNumberFormat="1" applyFont="1" applyFill="1" applyBorder="1" applyAlignment="1">
      <alignment horizontal="center" vertical="center" wrapText="1"/>
    </xf>
    <xf numFmtId="2" fontId="20" fillId="43" borderId="1" xfId="0" applyNumberFormat="1" applyFont="1" applyFill="1" applyBorder="1" applyProtection="1">
      <protection locked="0"/>
    </xf>
    <xf numFmtId="1" fontId="18" fillId="42" borderId="1" xfId="0" applyNumberFormat="1" applyFont="1" applyFill="1" applyBorder="1" applyAlignment="1">
      <alignment horizontal="right" vertical="center"/>
    </xf>
    <xf numFmtId="0" fontId="25" fillId="3" borderId="1" xfId="0" applyFont="1" applyFill="1" applyBorder="1" applyAlignment="1">
      <alignment horizontal="center" vertical="center" wrapText="1"/>
    </xf>
    <xf numFmtId="0" fontId="20" fillId="44" borderId="1" xfId="0" applyFont="1" applyFill="1" applyBorder="1"/>
    <xf numFmtId="49" fontId="20" fillId="44" borderId="1" xfId="0" applyNumberFormat="1" applyFont="1" applyFill="1" applyBorder="1"/>
    <xf numFmtId="0" fontId="25" fillId="3" borderId="1" xfId="0" applyFont="1" applyFill="1" applyBorder="1"/>
    <xf numFmtId="0" fontId="24" fillId="3" borderId="1" xfId="0" applyFont="1" applyFill="1" applyBorder="1" applyAlignment="1">
      <alignment horizontal="left" vertical="center"/>
    </xf>
    <xf numFmtId="1" fontId="24" fillId="3" borderId="1" xfId="0" applyNumberFormat="1" applyFont="1" applyFill="1" applyBorder="1" applyAlignment="1">
      <alignment horizontal="left" vertical="center"/>
    </xf>
    <xf numFmtId="167" fontId="56" fillId="0" borderId="39" xfId="0" applyNumberFormat="1" applyFont="1" applyBorder="1" applyAlignment="1">
      <alignment horizontal="center" vertical="center"/>
    </xf>
    <xf numFmtId="0" fontId="25" fillId="38" borderId="31" xfId="0" applyFont="1" applyFill="1" applyBorder="1" applyAlignment="1">
      <alignment vertical="center"/>
    </xf>
    <xf numFmtId="0" fontId="25" fillId="38" borderId="30" xfId="0" applyFont="1" applyFill="1" applyBorder="1" applyAlignment="1">
      <alignment vertical="center"/>
    </xf>
    <xf numFmtId="49" fontId="25" fillId="38" borderId="30" xfId="0" quotePrefix="1" applyNumberFormat="1" applyFont="1" applyFill="1" applyBorder="1" applyAlignment="1">
      <alignment vertical="center"/>
    </xf>
    <xf numFmtId="0" fontId="25" fillId="38" borderId="33" xfId="0" applyFont="1" applyFill="1" applyBorder="1" applyAlignment="1">
      <alignment vertical="center"/>
    </xf>
    <xf numFmtId="0" fontId="24" fillId="3" borderId="15" xfId="0" applyFont="1" applyFill="1" applyBorder="1" applyAlignment="1">
      <alignment horizontal="center" vertical="center" wrapText="1"/>
    </xf>
    <xf numFmtId="0" fontId="44" fillId="39" borderId="2" xfId="0" applyFont="1" applyFill="1" applyBorder="1" applyAlignment="1">
      <alignment horizontal="left" vertical="center"/>
    </xf>
    <xf numFmtId="0" fontId="23" fillId="0" borderId="28" xfId="0" applyFont="1" applyBorder="1"/>
    <xf numFmtId="1" fontId="44" fillId="39" borderId="2" xfId="0" applyNumberFormat="1" applyFont="1" applyFill="1" applyBorder="1" applyAlignment="1">
      <alignment horizontal="left" vertical="center"/>
    </xf>
    <xf numFmtId="0" fontId="56" fillId="0" borderId="0" xfId="0" applyFont="1" applyAlignment="1">
      <alignment horizontal="left"/>
    </xf>
    <xf numFmtId="0" fontId="38" fillId="3" borderId="1" xfId="0" applyFont="1" applyFill="1" applyBorder="1" applyAlignment="1">
      <alignment horizontal="left" vertical="center"/>
    </xf>
    <xf numFmtId="0" fontId="19" fillId="59" borderId="1" xfId="0" applyFont="1" applyFill="1" applyBorder="1"/>
    <xf numFmtId="0" fontId="19" fillId="60" borderId="3" xfId="0" applyFont="1" applyFill="1" applyBorder="1"/>
    <xf numFmtId="0" fontId="22" fillId="2" borderId="3" xfId="0" applyFont="1" applyFill="1" applyBorder="1" applyAlignment="1" applyProtection="1">
      <alignment horizontal="left" vertical="center"/>
      <protection locked="0"/>
    </xf>
    <xf numFmtId="1" fontId="37" fillId="63" borderId="1" xfId="0" applyNumberFormat="1" applyFont="1" applyFill="1" applyBorder="1" applyAlignment="1">
      <alignment horizontal="left" vertical="center"/>
    </xf>
    <xf numFmtId="0" fontId="19" fillId="63" borderId="1" xfId="0" applyFont="1" applyFill="1" applyBorder="1"/>
    <xf numFmtId="0" fontId="19" fillId="63" borderId="3" xfId="0" applyFont="1" applyFill="1" applyBorder="1"/>
    <xf numFmtId="0" fontId="22" fillId="63" borderId="3" xfId="0" applyFont="1" applyFill="1" applyBorder="1" applyAlignment="1" applyProtection="1">
      <alignment horizontal="left" vertical="center"/>
      <protection locked="0"/>
    </xf>
    <xf numFmtId="0" fontId="38" fillId="63" borderId="1" xfId="0" applyFont="1" applyFill="1" applyBorder="1" applyAlignment="1">
      <alignment horizontal="left" vertical="center"/>
    </xf>
    <xf numFmtId="0" fontId="37" fillId="63" borderId="1" xfId="0" applyFont="1" applyFill="1" applyBorder="1" applyAlignment="1">
      <alignment horizontal="left" vertical="center"/>
    </xf>
    <xf numFmtId="1" fontId="38" fillId="63" borderId="1" xfId="0" applyNumberFormat="1" applyFont="1" applyFill="1" applyBorder="1" applyAlignment="1">
      <alignment horizontal="left" vertical="center"/>
    </xf>
    <xf numFmtId="1" fontId="45" fillId="63" borderId="1" xfId="0" applyNumberFormat="1" applyFont="1" applyFill="1" applyBorder="1" applyAlignment="1">
      <alignment horizontal="left" vertical="center"/>
    </xf>
    <xf numFmtId="1" fontId="47" fillId="63" borderId="1" xfId="0" applyNumberFormat="1" applyFont="1" applyFill="1" applyBorder="1" applyAlignment="1">
      <alignment horizontal="left" vertical="center"/>
    </xf>
    <xf numFmtId="0" fontId="37" fillId="63" borderId="0" xfId="0" applyFont="1" applyFill="1"/>
    <xf numFmtId="0" fontId="29" fillId="0" borderId="36" xfId="43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9" fillId="0" borderId="41" xfId="43" applyFont="1" applyBorder="1" applyAlignment="1">
      <alignment horizontal="center" vertical="center" wrapText="1"/>
    </xf>
    <xf numFmtId="0" fontId="20" fillId="0" borderId="38" xfId="43" applyFont="1" applyBorder="1" applyAlignment="1">
      <alignment horizontal="left" vertical="center"/>
    </xf>
    <xf numFmtId="0" fontId="1" fillId="0" borderId="1" xfId="0" applyFont="1" applyBorder="1"/>
    <xf numFmtId="0" fontId="25" fillId="39" borderId="2" xfId="0" applyFont="1" applyFill="1" applyBorder="1" applyAlignment="1">
      <alignment horizontal="left" vertical="center"/>
    </xf>
    <xf numFmtId="0" fontId="29" fillId="47" borderId="1" xfId="0" applyFont="1" applyFill="1" applyBorder="1" applyAlignment="1">
      <alignment horizontal="center" vertical="center" wrapText="1"/>
    </xf>
    <xf numFmtId="1" fontId="20" fillId="2" borderId="1" xfId="0" applyNumberFormat="1" applyFont="1" applyFill="1" applyBorder="1" applyAlignment="1">
      <alignment horizontal="right" vertical="center"/>
    </xf>
    <xf numFmtId="0" fontId="57" fillId="0" borderId="0" xfId="0" applyFont="1" applyAlignment="1">
      <alignment horizontal="center" vertical="center" wrapText="1"/>
    </xf>
    <xf numFmtId="0" fontId="58" fillId="0" borderId="0" xfId="0" applyFont="1"/>
    <xf numFmtId="166" fontId="59" fillId="0" borderId="1" xfId="0" applyNumberFormat="1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23" fillId="2" borderId="1" xfId="0" applyFont="1" applyFill="1" applyBorder="1" applyAlignment="1">
      <alignment horizontal="left" vertical="center"/>
    </xf>
    <xf numFmtId="0" fontId="48" fillId="2" borderId="1" xfId="0" applyFont="1" applyFill="1" applyBorder="1" applyAlignment="1">
      <alignment horizontal="left"/>
    </xf>
    <xf numFmtId="0" fontId="33" fillId="2" borderId="1" xfId="0" applyFont="1" applyFill="1" applyBorder="1"/>
    <xf numFmtId="49" fontId="33" fillId="2" borderId="1" xfId="0" applyNumberFormat="1" applyFont="1" applyFill="1" applyBorder="1"/>
    <xf numFmtId="0" fontId="18" fillId="3" borderId="24" xfId="0" applyFont="1" applyFill="1" applyBorder="1" applyAlignment="1">
      <alignment horizontal="left" vertical="center"/>
    </xf>
    <xf numFmtId="0" fontId="20" fillId="3" borderId="24" xfId="0" applyFont="1" applyFill="1" applyBorder="1"/>
    <xf numFmtId="0" fontId="23" fillId="3" borderId="0" xfId="0" applyFont="1" applyFill="1"/>
    <xf numFmtId="0" fontId="60" fillId="2" borderId="1" xfId="0" applyFont="1" applyFill="1" applyBorder="1" applyAlignment="1">
      <alignment horizontal="left" vertical="center"/>
    </xf>
    <xf numFmtId="0" fontId="60" fillId="2" borderId="1" xfId="0" applyFont="1" applyFill="1" applyBorder="1" applyAlignment="1">
      <alignment horizontal="left"/>
    </xf>
    <xf numFmtId="1" fontId="0" fillId="0" borderId="1" xfId="0" applyNumberFormat="1" applyBorder="1"/>
    <xf numFmtId="49" fontId="0" fillId="0" borderId="1" xfId="0" applyNumberFormat="1" applyBorder="1"/>
    <xf numFmtId="1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20" fillId="0" borderId="26" xfId="0" quotePrefix="1" applyNumberFormat="1" applyFont="1" applyBorder="1" applyAlignment="1">
      <alignment vertical="center"/>
    </xf>
    <xf numFmtId="0" fontId="1" fillId="0" borderId="27" xfId="0" applyFont="1" applyBorder="1" applyAlignment="1">
      <alignment horizontal="center" vertical="center" wrapText="1"/>
    </xf>
    <xf numFmtId="0" fontId="0" fillId="64" borderId="1" xfId="0" applyFill="1" applyBorder="1"/>
    <xf numFmtId="0" fontId="61" fillId="0" borderId="26" xfId="0" applyFont="1" applyBorder="1" applyAlignment="1">
      <alignment vertical="center"/>
    </xf>
    <xf numFmtId="49" fontId="61" fillId="0" borderId="26" xfId="0" quotePrefix="1" applyNumberFormat="1" applyFont="1" applyBorder="1" applyAlignment="1">
      <alignment vertical="center"/>
    </xf>
    <xf numFmtId="0" fontId="23" fillId="65" borderId="20" xfId="0" applyFont="1" applyFill="1" applyBorder="1" applyAlignment="1">
      <alignment horizontal="left" vertical="center"/>
    </xf>
    <xf numFmtId="0" fontId="21" fillId="65" borderId="2" xfId="0" applyFont="1" applyFill="1" applyBorder="1" applyAlignment="1" applyProtection="1">
      <alignment horizontal="center" vertical="center" wrapText="1"/>
      <protection locked="0"/>
    </xf>
    <xf numFmtId="167" fontId="30" fillId="0" borderId="39" xfId="0" applyNumberFormat="1" applyFont="1" applyBorder="1" applyAlignment="1">
      <alignment horizontal="center" vertical="center"/>
    </xf>
    <xf numFmtId="0" fontId="62" fillId="0" borderId="39" xfId="0" applyFont="1" applyBorder="1" applyAlignment="1">
      <alignment horizontal="center" vertical="center" wrapText="1"/>
    </xf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63" fillId="0" borderId="0" xfId="0" applyFont="1" applyAlignment="1">
      <alignment horizontal="left" vertical="center"/>
    </xf>
    <xf numFmtId="0" fontId="63" fillId="0" borderId="39" xfId="0" pivotButton="1" applyFont="1" applyBorder="1" applyAlignment="1">
      <alignment horizontal="left" vertical="top"/>
    </xf>
    <xf numFmtId="0" fontId="30" fillId="0" borderId="39" xfId="0" pivotButton="1" applyFont="1" applyBorder="1" applyAlignment="1">
      <alignment horizontal="center" vertical="center"/>
    </xf>
    <xf numFmtId="0" fontId="30" fillId="0" borderId="39" xfId="0" applyFont="1" applyBorder="1" applyAlignment="1">
      <alignment horizontal="center" vertical="center"/>
    </xf>
    <xf numFmtId="0" fontId="63" fillId="56" borderId="39" xfId="0" applyFont="1" applyFill="1" applyBorder="1" applyAlignment="1">
      <alignment horizontal="left" vertical="top"/>
    </xf>
    <xf numFmtId="167" fontId="30" fillId="56" borderId="39" xfId="0" applyNumberFormat="1" applyFont="1" applyFill="1" applyBorder="1" applyAlignment="1">
      <alignment horizontal="center" vertical="center"/>
    </xf>
    <xf numFmtId="0" fontId="63" fillId="0" borderId="39" xfId="0" applyFont="1" applyBorder="1" applyAlignment="1">
      <alignment horizontal="left" vertical="center"/>
    </xf>
    <xf numFmtId="0" fontId="30" fillId="0" borderId="39" xfId="0" applyFont="1" applyBorder="1" applyAlignment="1">
      <alignment horizontal="left" vertical="top"/>
    </xf>
    <xf numFmtId="0" fontId="30" fillId="0" borderId="39" xfId="0" applyFont="1" applyBorder="1" applyAlignment="1">
      <alignment horizontal="left" vertical="center"/>
    </xf>
    <xf numFmtId="0" fontId="63" fillId="0" borderId="39" xfId="0" applyFont="1" applyBorder="1" applyAlignment="1">
      <alignment horizontal="left" vertical="top"/>
    </xf>
    <xf numFmtId="49" fontId="20" fillId="2" borderId="1" xfId="0" applyNumberFormat="1" applyFont="1" applyFill="1" applyBorder="1"/>
    <xf numFmtId="1" fontId="20" fillId="0" borderId="0" xfId="0" applyNumberFormat="1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9" fillId="47" borderId="42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wrapText="1"/>
    </xf>
    <xf numFmtId="0" fontId="25" fillId="45" borderId="26" xfId="0" applyFont="1" applyFill="1" applyBorder="1" applyAlignment="1">
      <alignment vertical="center"/>
    </xf>
    <xf numFmtId="0" fontId="25" fillId="45" borderId="28" xfId="0" applyFont="1" applyFill="1" applyBorder="1" applyAlignment="1">
      <alignment vertical="center"/>
    </xf>
    <xf numFmtId="166" fontId="0" fillId="0" borderId="0" xfId="0" applyNumberFormat="1"/>
    <xf numFmtId="170" fontId="0" fillId="0" borderId="0" xfId="0" applyNumberFormat="1"/>
    <xf numFmtId="0" fontId="33" fillId="66" borderId="1" xfId="0" applyFont="1" applyFill="1" applyBorder="1"/>
    <xf numFmtId="0" fontId="33" fillId="66" borderId="5" xfId="0" applyFont="1" applyFill="1" applyBorder="1"/>
    <xf numFmtId="49" fontId="33" fillId="66" borderId="1" xfId="0" applyNumberFormat="1" applyFont="1" applyFill="1" applyBorder="1"/>
    <xf numFmtId="0" fontId="37" fillId="2" borderId="1" xfId="0" applyFont="1" applyFill="1" applyBorder="1" applyAlignment="1">
      <alignment horizontal="left" vertical="center"/>
    </xf>
    <xf numFmtId="1" fontId="38" fillId="2" borderId="1" xfId="0" applyNumberFormat="1" applyFont="1" applyFill="1" applyBorder="1" applyAlignment="1">
      <alignment horizontal="left" vertical="center"/>
    </xf>
    <xf numFmtId="1" fontId="45" fillId="2" borderId="1" xfId="0" applyNumberFormat="1" applyFont="1" applyFill="1" applyBorder="1" applyAlignment="1">
      <alignment horizontal="left" vertical="center"/>
    </xf>
    <xf numFmtId="1" fontId="47" fillId="2" borderId="1" xfId="0" applyNumberFormat="1" applyFont="1" applyFill="1" applyBorder="1" applyAlignment="1">
      <alignment horizontal="left" vertical="center"/>
    </xf>
    <xf numFmtId="0" fontId="23" fillId="2" borderId="20" xfId="0" applyFont="1" applyFill="1" applyBorder="1" applyAlignment="1">
      <alignment horizontal="left" vertical="center"/>
    </xf>
    <xf numFmtId="1" fontId="23" fillId="2" borderId="2" xfId="0" applyNumberFormat="1" applyFont="1" applyFill="1" applyBorder="1" applyAlignment="1">
      <alignment horizontal="right" vertical="center"/>
    </xf>
    <xf numFmtId="0" fontId="37" fillId="2" borderId="0" xfId="0" applyFont="1" applyFill="1"/>
    <xf numFmtId="1" fontId="37" fillId="2" borderId="20" xfId="0" applyNumberFormat="1" applyFont="1" applyFill="1" applyBorder="1" applyAlignment="1">
      <alignment horizontal="left" vertical="center"/>
    </xf>
    <xf numFmtId="0" fontId="25" fillId="2" borderId="0" xfId="0" applyFont="1" applyFill="1"/>
    <xf numFmtId="0" fontId="25" fillId="2" borderId="2" xfId="0" applyFont="1" applyFill="1" applyBorder="1"/>
    <xf numFmtId="1" fontId="24" fillId="3" borderId="43" xfId="0" applyNumberFormat="1" applyFont="1" applyFill="1" applyBorder="1" applyAlignment="1">
      <alignment horizontal="left" vertical="center"/>
    </xf>
    <xf numFmtId="1" fontId="23" fillId="2" borderId="1" xfId="0" applyNumberFormat="1" applyFont="1" applyFill="1" applyBorder="1" applyAlignment="1">
      <alignment horizontal="right" vertical="center"/>
    </xf>
    <xf numFmtId="0" fontId="22" fillId="2" borderId="0" xfId="0" applyFont="1" applyFill="1"/>
    <xf numFmtId="0" fontId="29" fillId="66" borderId="2" xfId="43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left" vertical="center"/>
    </xf>
    <xf numFmtId="1" fontId="22" fillId="2" borderId="0" xfId="0" applyNumberFormat="1" applyFont="1" applyFill="1" applyAlignment="1">
      <alignment horizontal="right" vertical="center"/>
    </xf>
    <xf numFmtId="0" fontId="23" fillId="2" borderId="0" xfId="0" applyFont="1" applyFill="1"/>
    <xf numFmtId="1" fontId="20" fillId="39" borderId="26" xfId="0" applyNumberFormat="1" applyFont="1" applyFill="1" applyBorder="1"/>
    <xf numFmtId="0" fontId="18" fillId="0" borderId="0" xfId="0" applyFont="1" applyAlignment="1">
      <alignment horizontal="left"/>
    </xf>
    <xf numFmtId="1" fontId="18" fillId="0" borderId="0" xfId="0" applyNumberFormat="1" applyFont="1" applyAlignment="1">
      <alignment horizontal="left"/>
    </xf>
    <xf numFmtId="0" fontId="20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54" fillId="0" borderId="1" xfId="0" applyFont="1" applyBorder="1" applyAlignment="1">
      <alignment horizontal="left"/>
    </xf>
    <xf numFmtId="0" fontId="29" fillId="47" borderId="44" xfId="0" applyFont="1" applyFill="1" applyBorder="1" applyAlignment="1">
      <alignment horizontal="center" vertical="center" wrapText="1"/>
    </xf>
    <xf numFmtId="0" fontId="19" fillId="0" borderId="5" xfId="0" applyFont="1" applyBorder="1" applyAlignment="1">
      <alignment horizontal="left" vertical="center"/>
    </xf>
    <xf numFmtId="0" fontId="40" fillId="0" borderId="2" xfId="0" applyFont="1" applyBorder="1" applyAlignment="1">
      <alignment horizontal="left"/>
    </xf>
    <xf numFmtId="0" fontId="54" fillId="0" borderId="2" xfId="0" applyFont="1" applyBorder="1" applyAlignment="1">
      <alignment horizontal="left"/>
    </xf>
    <xf numFmtId="0" fontId="40" fillId="0" borderId="2" xfId="0" applyFont="1" applyBorder="1"/>
    <xf numFmtId="2" fontId="41" fillId="44" borderId="2" xfId="0" applyNumberFormat="1" applyFont="1" applyFill="1" applyBorder="1" applyAlignment="1">
      <alignment vertical="center"/>
    </xf>
    <xf numFmtId="0" fontId="40" fillId="0" borderId="2" xfId="0" applyFont="1" applyBorder="1" applyAlignment="1">
      <alignment horizontal="right"/>
    </xf>
    <xf numFmtId="0" fontId="20" fillId="0" borderId="1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2" borderId="1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right" vertical="center"/>
    </xf>
    <xf numFmtId="1" fontId="20" fillId="2" borderId="1" xfId="0" applyNumberFormat="1" applyFont="1" applyFill="1" applyBorder="1" applyAlignment="1">
      <alignment horizontal="left" vertical="center"/>
    </xf>
    <xf numFmtId="0" fontId="20" fillId="45" borderId="1" xfId="0" applyFont="1" applyFill="1" applyBorder="1" applyAlignment="1">
      <alignment horizontal="left" vertical="center"/>
    </xf>
    <xf numFmtId="0" fontId="20" fillId="45" borderId="1" xfId="0" applyFont="1" applyFill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" fontId="20" fillId="2" borderId="1" xfId="43" applyNumberFormat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20" fillId="2" borderId="1" xfId="43" applyFont="1" applyFill="1" applyBorder="1" applyAlignment="1">
      <alignment horizontal="left" vertical="center"/>
    </xf>
    <xf numFmtId="1" fontId="52" fillId="2" borderId="1" xfId="43" applyNumberFormat="1" applyFont="1" applyFill="1" applyBorder="1" applyAlignment="1">
      <alignment horizontal="left" vertical="center"/>
    </xf>
    <xf numFmtId="0" fontId="58" fillId="2" borderId="1" xfId="0" applyFont="1" applyFill="1" applyBorder="1" applyAlignment="1">
      <alignment horizontal="left"/>
    </xf>
    <xf numFmtId="1" fontId="0" fillId="2" borderId="1" xfId="0" applyNumberFormat="1" applyFill="1" applyBorder="1" applyAlignment="1">
      <alignment horizontal="left"/>
    </xf>
    <xf numFmtId="1" fontId="21" fillId="0" borderId="24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0" fontId="25" fillId="0" borderId="26" xfId="0" applyFont="1" applyBorder="1" applyAlignment="1">
      <alignment horizontal="left" vertical="center"/>
    </xf>
    <xf numFmtId="0" fontId="20" fillId="39" borderId="1" xfId="43" applyFont="1" applyFill="1" applyBorder="1" applyAlignment="1">
      <alignment horizontal="left" vertical="center"/>
    </xf>
    <xf numFmtId="1" fontId="21" fillId="0" borderId="1" xfId="0" applyNumberFormat="1" applyFont="1" applyBorder="1" applyAlignment="1">
      <alignment horizontal="center" vertical="center"/>
    </xf>
    <xf numFmtId="1" fontId="18" fillId="46" borderId="1" xfId="0" applyNumberFormat="1" applyFont="1" applyFill="1" applyBorder="1" applyAlignment="1">
      <alignment horizontal="left" vertical="center"/>
    </xf>
    <xf numFmtId="49" fontId="18" fillId="46" borderId="1" xfId="0" applyNumberFormat="1" applyFont="1" applyFill="1" applyBorder="1" applyAlignment="1">
      <alignment horizontal="left" vertical="center"/>
    </xf>
    <xf numFmtId="1" fontId="19" fillId="3" borderId="1" xfId="0" applyNumberFormat="1" applyFont="1" applyFill="1" applyBorder="1"/>
    <xf numFmtId="1" fontId="30" fillId="46" borderId="1" xfId="0" applyNumberFormat="1" applyFont="1" applyFill="1" applyBorder="1" applyAlignment="1">
      <alignment horizontal="left" vertical="center"/>
    </xf>
    <xf numFmtId="0" fontId="29" fillId="0" borderId="27" xfId="43" applyFont="1" applyBorder="1" applyAlignment="1">
      <alignment horizontal="center" vertical="center" wrapText="1"/>
    </xf>
    <xf numFmtId="0" fontId="20" fillId="0" borderId="26" xfId="0" applyFont="1" applyBorder="1"/>
    <xf numFmtId="0" fontId="18" fillId="0" borderId="29" xfId="0" applyFont="1" applyBorder="1" applyAlignment="1">
      <alignment horizontal="left" vertical="center"/>
    </xf>
    <xf numFmtId="0" fontId="18" fillId="0" borderId="26" xfId="0" applyFont="1" applyBorder="1" applyAlignment="1">
      <alignment horizontal="left" vertical="center"/>
    </xf>
    <xf numFmtId="3" fontId="20" fillId="0" borderId="26" xfId="0" applyNumberFormat="1" applyFont="1" applyBorder="1"/>
    <xf numFmtId="0" fontId="18" fillId="0" borderId="26" xfId="0" applyFont="1" applyBorder="1" applyAlignment="1">
      <alignment horizontal="left" vertical="center" wrapText="1"/>
    </xf>
    <xf numFmtId="3" fontId="20" fillId="0" borderId="26" xfId="0" applyNumberFormat="1" applyFont="1" applyBorder="1" applyAlignment="1">
      <alignment horizontal="right" vertical="center"/>
    </xf>
    <xf numFmtId="1" fontId="20" fillId="0" borderId="26" xfId="0" applyNumberFormat="1" applyFont="1" applyBorder="1" applyAlignment="1">
      <alignment horizontal="right" vertical="center"/>
    </xf>
    <xf numFmtId="1" fontId="20" fillId="0" borderId="26" xfId="0" applyNumberFormat="1" applyFont="1" applyBorder="1"/>
    <xf numFmtId="0" fontId="18" fillId="0" borderId="32" xfId="0" applyFont="1" applyBorder="1" applyAlignment="1">
      <alignment horizontal="left" vertical="center"/>
    </xf>
    <xf numFmtId="3" fontId="20" fillId="0" borderId="28" xfId="0" applyNumberFormat="1" applyFont="1" applyBorder="1"/>
    <xf numFmtId="1" fontId="20" fillId="0" borderId="28" xfId="0" applyNumberFormat="1" applyFont="1" applyBorder="1"/>
    <xf numFmtId="1" fontId="18" fillId="42" borderId="28" xfId="0" applyNumberFormat="1" applyFont="1" applyFill="1" applyBorder="1" applyAlignment="1">
      <alignment horizontal="right" vertical="center"/>
    </xf>
    <xf numFmtId="1" fontId="20" fillId="39" borderId="28" xfId="0" applyNumberFormat="1" applyFont="1" applyFill="1" applyBorder="1"/>
    <xf numFmtId="1" fontId="1" fillId="0" borderId="1" xfId="0" applyNumberFormat="1" applyFont="1" applyBorder="1" applyAlignment="1">
      <alignment horizontal="left"/>
    </xf>
    <xf numFmtId="0" fontId="20" fillId="0" borderId="45" xfId="43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67" fillId="2" borderId="1" xfId="0" applyFont="1" applyFill="1" applyBorder="1" applyAlignment="1">
      <alignment horizontal="left" vertical="center"/>
    </xf>
    <xf numFmtId="0" fontId="67" fillId="2" borderId="1" xfId="0" applyFont="1" applyFill="1" applyBorder="1" applyAlignment="1">
      <alignment horizontal="right" vertical="center"/>
    </xf>
    <xf numFmtId="1" fontId="67" fillId="2" borderId="1" xfId="0" applyNumberFormat="1" applyFont="1" applyFill="1" applyBorder="1" applyAlignment="1">
      <alignment horizontal="left" vertical="center"/>
    </xf>
    <xf numFmtId="1" fontId="67" fillId="2" borderId="1" xfId="0" applyNumberFormat="1" applyFont="1" applyFill="1" applyBorder="1" applyAlignment="1">
      <alignment horizontal="right" vertical="center"/>
    </xf>
    <xf numFmtId="0" fontId="20" fillId="43" borderId="1" xfId="0" applyFont="1" applyFill="1" applyBorder="1"/>
    <xf numFmtId="0" fontId="23" fillId="0" borderId="26" xfId="0" applyFont="1" applyBorder="1" applyAlignment="1">
      <alignment horizontal="left" vertical="center"/>
    </xf>
    <xf numFmtId="0" fontId="23" fillId="0" borderId="28" xfId="0" applyFont="1" applyBorder="1" applyAlignment="1">
      <alignment horizontal="left" vertical="center"/>
    </xf>
    <xf numFmtId="49" fontId="29" fillId="66" borderId="2" xfId="43" applyNumberFormat="1" applyFont="1" applyFill="1" applyBorder="1" applyAlignment="1">
      <alignment horizontal="center" vertical="center" wrapText="1"/>
    </xf>
    <xf numFmtId="0" fontId="29" fillId="66" borderId="15" xfId="43" applyFont="1" applyFill="1" applyBorder="1" applyAlignment="1">
      <alignment horizontal="center" vertical="center" wrapText="1"/>
    </xf>
    <xf numFmtId="1" fontId="23" fillId="0" borderId="1" xfId="0" applyNumberFormat="1" applyFont="1" applyBorder="1" applyAlignment="1">
      <alignment horizontal="left" vertical="center"/>
    </xf>
    <xf numFmtId="0" fontId="23" fillId="0" borderId="1" xfId="0" applyFont="1" applyBorder="1" applyAlignment="1" applyProtection="1">
      <alignment horizontal="left" vertical="center"/>
      <protection locked="0"/>
    </xf>
    <xf numFmtId="1" fontId="23" fillId="45" borderId="1" xfId="0" applyNumberFormat="1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center"/>
    </xf>
    <xf numFmtId="1" fontId="23" fillId="2" borderId="1" xfId="0" applyNumberFormat="1" applyFont="1" applyFill="1" applyBorder="1" applyAlignment="1">
      <alignment horizontal="left" vertical="center"/>
    </xf>
    <xf numFmtId="1" fontId="23" fillId="45" borderId="1" xfId="0" applyNumberFormat="1" applyFont="1" applyFill="1" applyBorder="1" applyAlignment="1" applyProtection="1">
      <alignment horizontal="left" vertical="center"/>
      <protection locked="0"/>
    </xf>
    <xf numFmtId="0" fontId="48" fillId="0" borderId="1" xfId="0" applyFont="1" applyBorder="1" applyAlignment="1">
      <alignment horizontal="left"/>
    </xf>
    <xf numFmtId="1" fontId="23" fillId="0" borderId="20" xfId="0" applyNumberFormat="1" applyFont="1" applyBorder="1" applyAlignment="1">
      <alignment horizontal="left" vertical="center"/>
    </xf>
    <xf numFmtId="0" fontId="23" fillId="0" borderId="20" xfId="0" applyFont="1" applyBorder="1" applyAlignment="1" applyProtection="1">
      <alignment horizontal="left" vertical="center"/>
      <protection locked="0"/>
    </xf>
    <xf numFmtId="1" fontId="23" fillId="45" borderId="20" xfId="0" applyNumberFormat="1" applyFont="1" applyFill="1" applyBorder="1" applyAlignment="1">
      <alignment horizontal="left" vertical="center"/>
    </xf>
    <xf numFmtId="1" fontId="23" fillId="2" borderId="20" xfId="0" applyNumberFormat="1" applyFont="1" applyFill="1" applyBorder="1" applyAlignment="1">
      <alignment horizontal="right" vertical="center"/>
    </xf>
    <xf numFmtId="0" fontId="23" fillId="2" borderId="2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quotePrefix="1" applyBorder="1" applyAlignment="1">
      <alignment vertical="center"/>
    </xf>
    <xf numFmtId="0" fontId="25" fillId="67" borderId="30" xfId="0" applyFont="1" applyFill="1" applyBorder="1" applyAlignment="1">
      <alignment vertical="center"/>
    </xf>
    <xf numFmtId="0" fontId="25" fillId="67" borderId="31" xfId="0" applyFont="1" applyFill="1" applyBorder="1" applyAlignment="1">
      <alignment vertical="center"/>
    </xf>
    <xf numFmtId="49" fontId="25" fillId="67" borderId="30" xfId="0" quotePrefix="1" applyNumberFormat="1" applyFont="1" applyFill="1" applyBorder="1" applyAlignment="1">
      <alignment vertical="center"/>
    </xf>
    <xf numFmtId="0" fontId="25" fillId="67" borderId="33" xfId="0" applyFont="1" applyFill="1" applyBorder="1" applyAlignment="1">
      <alignment vertical="center"/>
    </xf>
    <xf numFmtId="0" fontId="21" fillId="38" borderId="3" xfId="0" applyFont="1" applyFill="1" applyBorder="1" applyAlignment="1">
      <alignment horizontal="left" vertical="center" wrapText="1"/>
    </xf>
    <xf numFmtId="0" fontId="21" fillId="38" borderId="2" xfId="0" applyFont="1" applyFill="1" applyBorder="1" applyAlignment="1">
      <alignment horizontal="left" vertical="center" wrapText="1"/>
    </xf>
    <xf numFmtId="0" fontId="21" fillId="45" borderId="2" xfId="0" applyFont="1" applyFill="1" applyBorder="1" applyAlignment="1">
      <alignment horizontal="left" vertical="center" wrapText="1"/>
    </xf>
    <xf numFmtId="0" fontId="21" fillId="38" borderId="2" xfId="0" applyFont="1" applyFill="1" applyBorder="1" applyAlignment="1" applyProtection="1">
      <alignment horizontal="left" vertical="center" wrapText="1"/>
      <protection locked="0"/>
    </xf>
    <xf numFmtId="0" fontId="21" fillId="3" borderId="2" xfId="0" applyFont="1" applyFill="1" applyBorder="1" applyAlignment="1">
      <alignment horizontal="left" vertical="center" wrapText="1"/>
    </xf>
    <xf numFmtId="1" fontId="21" fillId="3" borderId="2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>
      <alignment horizontal="left" vertical="center"/>
    </xf>
    <xf numFmtId="0" fontId="33" fillId="57" borderId="1" xfId="0" applyFont="1" applyFill="1" applyBorder="1" applyAlignment="1">
      <alignment horizontal="left"/>
    </xf>
    <xf numFmtId="0" fontId="33" fillId="58" borderId="1" xfId="0" applyFont="1" applyFill="1" applyBorder="1" applyAlignment="1">
      <alignment horizontal="left"/>
    </xf>
    <xf numFmtId="0" fontId="33" fillId="36" borderId="1" xfId="0" applyFont="1" applyFill="1" applyBorder="1" applyAlignment="1">
      <alignment horizontal="left"/>
    </xf>
    <xf numFmtId="0" fontId="19" fillId="45" borderId="1" xfId="0" applyFont="1" applyFill="1" applyBorder="1" applyAlignment="1">
      <alignment horizontal="left"/>
    </xf>
    <xf numFmtId="1" fontId="23" fillId="0" borderId="1" xfId="0" applyNumberFormat="1" applyFont="1" applyBorder="1" applyAlignment="1">
      <alignment horizontal="left"/>
    </xf>
    <xf numFmtId="1" fontId="23" fillId="3" borderId="1" xfId="0" applyNumberFormat="1" applyFont="1" applyFill="1" applyBorder="1" applyAlignment="1">
      <alignment horizontal="left" vertical="center"/>
    </xf>
    <xf numFmtId="0" fontId="25" fillId="2" borderId="1" xfId="0" applyFont="1" applyFill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24" fillId="3" borderId="15" xfId="0" applyFont="1" applyFill="1" applyBorder="1" applyAlignment="1">
      <alignment horizontal="left" vertical="center" wrapText="1"/>
    </xf>
    <xf numFmtId="1" fontId="22" fillId="3" borderId="0" xfId="0" applyNumberFormat="1" applyFont="1" applyFill="1" applyAlignment="1">
      <alignment horizontal="left"/>
    </xf>
    <xf numFmtId="1" fontId="22" fillId="3" borderId="0" xfId="0" applyNumberFormat="1" applyFont="1" applyFill="1" applyAlignment="1">
      <alignment horizontal="left" vertical="center"/>
    </xf>
    <xf numFmtId="0" fontId="24" fillId="0" borderId="16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4" fillId="0" borderId="25" xfId="0" applyFont="1" applyBorder="1" applyAlignment="1">
      <alignment horizontal="left" vertical="center"/>
    </xf>
    <xf numFmtId="0" fontId="24" fillId="0" borderId="0" xfId="0" applyFont="1" applyAlignment="1" applyProtection="1">
      <alignment horizontal="left" vertical="center"/>
      <protection locked="0"/>
    </xf>
    <xf numFmtId="0" fontId="24" fillId="3" borderId="0" xfId="0" applyFont="1" applyFill="1" applyAlignment="1">
      <alignment horizontal="left" vertical="center"/>
    </xf>
    <xf numFmtId="0" fontId="24" fillId="36" borderId="16" xfId="0" applyFont="1" applyFill="1" applyBorder="1" applyAlignment="1">
      <alignment horizontal="left" vertical="center"/>
    </xf>
    <xf numFmtId="0" fontId="24" fillId="38" borderId="3" xfId="0" applyFont="1" applyFill="1" applyBorder="1" applyAlignment="1">
      <alignment horizontal="left" vertical="center" wrapText="1"/>
    </xf>
    <xf numFmtId="0" fontId="24" fillId="38" borderId="2" xfId="0" applyFont="1" applyFill="1" applyBorder="1" applyAlignment="1">
      <alignment horizontal="left" vertical="center" wrapText="1"/>
    </xf>
    <xf numFmtId="0" fontId="21" fillId="45" borderId="2" xfId="0" applyFont="1" applyFill="1" applyBorder="1" applyAlignment="1" applyProtection="1">
      <alignment horizontal="left" vertical="center" wrapText="1"/>
      <protection locked="0"/>
    </xf>
    <xf numFmtId="0" fontId="24" fillId="3" borderId="2" xfId="0" applyFont="1" applyFill="1" applyBorder="1" applyAlignment="1">
      <alignment horizontal="left" vertical="center" wrapText="1"/>
    </xf>
    <xf numFmtId="0" fontId="20" fillId="59" borderId="1" xfId="0" applyFont="1" applyFill="1" applyBorder="1" applyAlignment="1">
      <alignment horizontal="left"/>
    </xf>
    <xf numFmtId="0" fontId="33" fillId="60" borderId="3" xfId="0" applyFont="1" applyFill="1" applyBorder="1" applyAlignment="1">
      <alignment horizontal="left"/>
    </xf>
    <xf numFmtId="0" fontId="33" fillId="45" borderId="3" xfId="0" applyFont="1" applyFill="1" applyBorder="1" applyAlignment="1">
      <alignment horizontal="left"/>
    </xf>
    <xf numFmtId="0" fontId="20" fillId="0" borderId="2" xfId="0" applyFont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1" fontId="25" fillId="3" borderId="1" xfId="0" applyNumberFormat="1" applyFont="1" applyFill="1" applyBorder="1" applyAlignment="1">
      <alignment horizontal="left" vertical="center"/>
    </xf>
    <xf numFmtId="0" fontId="33" fillId="59" borderId="1" xfId="0" applyFont="1" applyFill="1" applyBorder="1" applyAlignment="1">
      <alignment horizontal="left"/>
    </xf>
    <xf numFmtId="1" fontId="25" fillId="0" borderId="17" xfId="0" applyNumberFormat="1" applyFont="1" applyBorder="1" applyAlignment="1">
      <alignment horizontal="left" vertical="center"/>
    </xf>
    <xf numFmtId="1" fontId="25" fillId="3" borderId="4" xfId="0" applyNumberFormat="1" applyFont="1" applyFill="1" applyBorder="1" applyAlignment="1">
      <alignment horizontal="left" vertical="center"/>
    </xf>
    <xf numFmtId="1" fontId="25" fillId="0" borderId="22" xfId="0" applyNumberFormat="1" applyFont="1" applyBorder="1" applyAlignment="1">
      <alignment horizontal="left" vertical="center"/>
    </xf>
    <xf numFmtId="1" fontId="25" fillId="3" borderId="21" xfId="0" applyNumberFormat="1" applyFont="1" applyFill="1" applyBorder="1" applyAlignment="1">
      <alignment horizontal="left" vertical="center"/>
    </xf>
    <xf numFmtId="1" fontId="37" fillId="3" borderId="1" xfId="0" applyNumberFormat="1" applyFont="1" applyFill="1" applyBorder="1" applyAlignment="1">
      <alignment horizontal="left" vertical="center"/>
    </xf>
    <xf numFmtId="0" fontId="24" fillId="3" borderId="19" xfId="0" applyFont="1" applyFill="1" applyBorder="1" applyAlignment="1">
      <alignment horizontal="left" vertical="center" wrapText="1"/>
    </xf>
    <xf numFmtId="0" fontId="24" fillId="3" borderId="20" xfId="0" applyFont="1" applyFill="1" applyBorder="1" applyAlignment="1">
      <alignment horizontal="left" vertical="center"/>
    </xf>
    <xf numFmtId="0" fontId="24" fillId="3" borderId="21" xfId="0" applyFont="1" applyFill="1" applyBorder="1" applyAlignment="1">
      <alignment horizontal="left" vertical="center"/>
    </xf>
    <xf numFmtId="0" fontId="19" fillId="3" borderId="20" xfId="0" applyFont="1" applyFill="1" applyBorder="1" applyAlignment="1">
      <alignment horizontal="left"/>
    </xf>
    <xf numFmtId="1" fontId="24" fillId="3" borderId="20" xfId="0" applyNumberFormat="1" applyFont="1" applyFill="1" applyBorder="1" applyAlignment="1">
      <alignment horizontal="left" vertical="center"/>
    </xf>
    <xf numFmtId="0" fontId="25" fillId="2" borderId="28" xfId="0" applyFont="1" applyFill="1" applyBorder="1" applyAlignment="1">
      <alignment vertical="center"/>
    </xf>
    <xf numFmtId="49" fontId="25" fillId="2" borderId="28" xfId="0" quotePrefix="1" applyNumberFormat="1" applyFont="1" applyFill="1" applyBorder="1" applyAlignment="1">
      <alignment vertical="center"/>
    </xf>
    <xf numFmtId="0" fontId="0" fillId="2" borderId="0" xfId="0" applyFill="1"/>
    <xf numFmtId="0" fontId="21" fillId="38" borderId="24" xfId="0" applyFont="1" applyFill="1" applyBorder="1" applyAlignment="1">
      <alignment horizontal="center" vertical="center" wrapText="1"/>
    </xf>
    <xf numFmtId="0" fontId="21" fillId="38" borderId="27" xfId="0" applyFont="1" applyFill="1" applyBorder="1" applyAlignment="1">
      <alignment horizontal="center" vertical="center" wrapText="1"/>
    </xf>
    <xf numFmtId="0" fontId="29" fillId="53" borderId="41" xfId="43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/>
    </xf>
    <xf numFmtId="0" fontId="44" fillId="39" borderId="1" xfId="0" applyFont="1" applyFill="1" applyBorder="1" applyAlignment="1">
      <alignment horizontal="left" vertical="center"/>
    </xf>
    <xf numFmtId="0" fontId="23" fillId="0" borderId="1" xfId="0" applyFont="1" applyBorder="1"/>
    <xf numFmtId="0" fontId="25" fillId="0" borderId="1" xfId="0" applyFont="1" applyBorder="1" applyAlignment="1">
      <alignment vertical="center"/>
    </xf>
    <xf numFmtId="0" fontId="65" fillId="0" borderId="39" xfId="0" applyFont="1" applyBorder="1" applyAlignment="1">
      <alignment horizontal="left" vertical="center" wrapText="1"/>
    </xf>
    <xf numFmtId="0" fontId="65" fillId="0" borderId="39" xfId="0" applyFont="1" applyBorder="1" applyAlignment="1">
      <alignment horizontal="center" vertical="center" wrapText="1"/>
    </xf>
    <xf numFmtId="0" fontId="30" fillId="55" borderId="39" xfId="0" applyFont="1" applyFill="1" applyBorder="1" applyAlignment="1">
      <alignment horizontal="center" vertical="center"/>
    </xf>
    <xf numFmtId="0" fontId="63" fillId="45" borderId="39" xfId="0" applyFont="1" applyFill="1" applyBorder="1" applyAlignment="1">
      <alignment horizontal="center" vertical="center"/>
    </xf>
    <xf numFmtId="0" fontId="63" fillId="35" borderId="39" xfId="0" applyFont="1" applyFill="1" applyBorder="1" applyAlignment="1">
      <alignment horizontal="center" vertical="center" wrapText="1"/>
    </xf>
    <xf numFmtId="0" fontId="63" fillId="39" borderId="39" xfId="0" applyFont="1" applyFill="1" applyBorder="1" applyAlignment="1">
      <alignment horizontal="center" vertical="center"/>
    </xf>
    <xf numFmtId="166" fontId="62" fillId="0" borderId="39" xfId="0" applyNumberFormat="1" applyFont="1" applyBorder="1" applyAlignment="1">
      <alignment horizontal="center" vertical="center" wrapText="1"/>
    </xf>
    <xf numFmtId="19" fontId="0" fillId="0" borderId="0" xfId="0" applyNumberFormat="1"/>
    <xf numFmtId="164" fontId="63" fillId="45" borderId="39" xfId="0" applyNumberFormat="1" applyFont="1" applyFill="1" applyBorder="1" applyAlignment="1">
      <alignment horizontal="center" vertical="center"/>
    </xf>
    <xf numFmtId="0" fontId="68" fillId="2" borderId="1" xfId="0" applyFont="1" applyFill="1" applyBorder="1" applyAlignment="1">
      <alignment horizontal="left"/>
    </xf>
    <xf numFmtId="0" fontId="68" fillId="2" borderId="1" xfId="0" applyFont="1" applyFill="1" applyBorder="1"/>
    <xf numFmtId="1" fontId="0" fillId="2" borderId="1" xfId="0" applyNumberFormat="1" applyFill="1" applyBorder="1"/>
    <xf numFmtId="0" fontId="0" fillId="2" borderId="1" xfId="0" applyFill="1" applyBorder="1"/>
    <xf numFmtId="0" fontId="58" fillId="2" borderId="1" xfId="0" applyFont="1" applyFill="1" applyBorder="1"/>
    <xf numFmtId="1" fontId="24" fillId="2" borderId="1" xfId="0" applyNumberFormat="1" applyFont="1" applyFill="1" applyBorder="1" applyAlignment="1">
      <alignment horizontal="left" vertical="center"/>
    </xf>
    <xf numFmtId="0" fontId="1" fillId="68" borderId="1" xfId="0" applyFont="1" applyFill="1" applyBorder="1" applyAlignment="1">
      <alignment horizontal="left"/>
    </xf>
    <xf numFmtId="1" fontId="20" fillId="69" borderId="0" xfId="43" applyNumberFormat="1" applyFont="1" applyFill="1" applyAlignment="1">
      <alignment horizontal="left" vertical="center"/>
    </xf>
    <xf numFmtId="0" fontId="66" fillId="0" borderId="0" xfId="0" quotePrefix="1" applyFont="1" applyAlignment="1" applyProtection="1">
      <alignment horizontal="center"/>
      <protection locked="0"/>
    </xf>
    <xf numFmtId="0" fontId="35" fillId="41" borderId="23" xfId="0" applyFont="1" applyFill="1" applyBorder="1" applyAlignment="1" applyProtection="1">
      <alignment horizontal="center" vertical="center"/>
      <protection locked="0"/>
    </xf>
    <xf numFmtId="0" fontId="35" fillId="41" borderId="0" xfId="0" applyFont="1" applyFill="1" applyAlignment="1" applyProtection="1">
      <alignment horizontal="center" vertical="center"/>
      <protection locked="0"/>
    </xf>
    <xf numFmtId="0" fontId="35" fillId="48" borderId="15" xfId="0" applyFont="1" applyFill="1" applyBorder="1" applyAlignment="1" applyProtection="1">
      <alignment horizontal="center" vertical="center" wrapText="1"/>
      <protection locked="0"/>
    </xf>
    <xf numFmtId="0" fontId="35" fillId="48" borderId="16" xfId="0" applyFont="1" applyFill="1" applyBorder="1" applyAlignment="1" applyProtection="1">
      <alignment horizontal="center" vertical="center" wrapText="1"/>
      <protection locked="0"/>
    </xf>
    <xf numFmtId="0" fontId="35" fillId="48" borderId="3" xfId="0" applyFont="1" applyFill="1" applyBorder="1" applyAlignment="1" applyProtection="1">
      <alignment horizontal="center" vertical="center" wrapText="1"/>
      <protection locked="0"/>
    </xf>
    <xf numFmtId="17" fontId="35" fillId="49" borderId="18" xfId="0" applyNumberFormat="1" applyFont="1" applyFill="1" applyBorder="1" applyAlignment="1" applyProtection="1">
      <alignment horizontal="center" vertical="center"/>
      <protection locked="0"/>
    </xf>
    <xf numFmtId="0" fontId="35" fillId="48" borderId="1" xfId="0" applyFont="1" applyFill="1" applyBorder="1" applyAlignment="1" applyProtection="1">
      <alignment horizontal="center" vertical="center" wrapText="1"/>
      <protection locked="0"/>
    </xf>
    <xf numFmtId="0" fontId="63" fillId="54" borderId="40" xfId="0" applyFont="1" applyFill="1" applyBorder="1" applyAlignment="1">
      <alignment horizontal="center" vertical="center" wrapText="1"/>
    </xf>
    <xf numFmtId="0" fontId="64" fillId="61" borderId="40" xfId="0" applyFont="1" applyFill="1" applyBorder="1" applyAlignment="1">
      <alignment horizontal="center" vertical="center" wrapText="1"/>
    </xf>
    <xf numFmtId="0" fontId="63" fillId="62" borderId="4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51" fillId="0" borderId="1" xfId="0" applyFont="1" applyBorder="1"/>
    <xf numFmtId="0" fontId="54" fillId="0" borderId="16" xfId="0" applyFont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4" fillId="36" borderId="16" xfId="0" applyFont="1" applyFill="1" applyBorder="1" applyAlignment="1">
      <alignment horizontal="left" vertical="center"/>
    </xf>
    <xf numFmtId="0" fontId="22" fillId="0" borderId="0" xfId="0" applyFont="1" applyAlignment="1" applyProtection="1">
      <alignment horizontal="center" vertical="center"/>
      <protection locked="0"/>
    </xf>
  </cellXfs>
  <cellStyles count="45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00000000-0005-0000-0000-00000C000000}"/>
    <cellStyle name="60% - Accent2 2" xfId="37" xr:uid="{00000000-0005-0000-0000-00000D000000}"/>
    <cellStyle name="60% - Accent3 2" xfId="38" xr:uid="{00000000-0005-0000-0000-00000E000000}"/>
    <cellStyle name="60% - Accent4 2" xfId="39" xr:uid="{00000000-0005-0000-0000-00000F000000}"/>
    <cellStyle name="60% - Accent5 2" xfId="40" xr:uid="{00000000-0005-0000-0000-000010000000}"/>
    <cellStyle name="60% - Accent6 2" xfId="41" xr:uid="{00000000-0005-0000-0000-000011000000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Comma 2" xfId="42" xr:uid="{00000000-0005-0000-0000-00001B000000}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4" builtinId="8"/>
    <cellStyle name="Input" xfId="8" builtinId="20" customBuiltin="1"/>
    <cellStyle name="Linked Cell" xfId="11" builtinId="24" customBuiltin="1"/>
    <cellStyle name="Neutral 2" xfId="35" xr:uid="{00000000-0005-0000-0000-000024000000}"/>
    <cellStyle name="Normal" xfId="0" builtinId="0"/>
    <cellStyle name="Normal 2" xfId="43" xr:uid="{7FE450B9-E7FA-4800-9434-3BA7AF31B32C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7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none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none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none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none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none">
          <fgColor indexed="64"/>
          <bgColor theme="5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rgb="FF000000"/>
          <bgColor rgb="FFFCE4D6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z val="1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1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10"/>
        <name val="Verdan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z val="1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1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z val="10"/>
        <name val="Verdana"/>
        <family val="2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z val="10"/>
        <name val="Verdana"/>
        <family val="2"/>
        <scheme val="none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z val="10"/>
        <name val="Verdana"/>
        <family val="2"/>
        <scheme val="none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z val="10"/>
        <name val="Verdana"/>
        <family val="2"/>
        <scheme val="none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none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medium">
          <color auto="1"/>
        </top>
        <bottom style="thin">
          <color rgb="FF000000"/>
        </bottom>
      </border>
    </dxf>
    <dxf>
      <font>
        <sz val="10"/>
        <name val="Verdana"/>
        <family val="2"/>
        <scheme val="none"/>
      </font>
      <fill>
        <patternFill patternType="none"/>
      </fill>
      <alignment horizontal="general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3" formatCode="#,##0"/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3" formatCode="#,##0"/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2" formatCode="0.00"/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3" formatCode="#,##0"/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numFmt numFmtId="3" formatCode="#,##0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Verdana"/>
      </font>
      <fill>
        <patternFill>
          <fgColor indexed="64"/>
          <bgColor rgb="FFFFFF00"/>
        </patternFill>
      </fill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color theme="1"/>
      </font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rgb="FF000000"/>
          <bgColor rgb="FFFCE4D6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rgb="FFFFECD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FECD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FECD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30" formatCode="@"/>
      <fill>
        <patternFill patternType="solid">
          <fgColor indexed="64"/>
          <bgColor rgb="FFFFECD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30" formatCode="@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ECD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30" formatCode="@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806000"/>
        <name val="Verdana"/>
        <family val="2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none">
          <fgColor indexed="64"/>
          <bgColor theme="0"/>
        </patternFill>
      </fill>
      <alignment horizontal="left" vertical="center" textRotation="0" wrapText="0" indent="0" justifyLastLine="0" shrinkToFit="0" readingOrder="0"/>
      <border outline="0">
        <left style="thin">
          <color indexed="64"/>
        </left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none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806000"/>
        <name val="Verdana"/>
        <family val="2"/>
        <scheme val="none"/>
      </font>
      <numFmt numFmtId="1" formatCode="0"/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rgb="FF000000"/>
        </right>
        <top style="thin">
          <color rgb="FF000000"/>
        </top>
        <bottom/>
      </border>
      <protection locked="1" hidden="0"/>
    </dxf>
    <dxf>
      <font>
        <name val="Verdana"/>
        <scheme val="minor"/>
      </font>
      <numFmt numFmtId="1" formatCode="0"/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rgb="FF000000"/>
          <bgColor rgb="FFFCE4D6"/>
        </patternFill>
      </fill>
      <alignment horizontal="left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solid">
          <fgColor rgb="FF000000"/>
          <bgColor rgb="FFF8CBA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7" tint="0.39994506668294322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0" formatCode="General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>
          <fgColor indexed="64"/>
          <bgColor theme="7" tint="0.79998168889431442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>
          <fgColor indexed="64"/>
          <bgColor theme="7" tint="0.79998168889431442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>
          <bgColor theme="2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>
          <bgColor theme="2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theme="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font>
        <b/>
      </font>
      <fill>
        <patternFill>
          <fgColor indexed="64"/>
          <bgColor rgb="FFFFFF00"/>
        </patternFill>
      </fill>
      <alignment horizontal="center" textRotation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color theme="1"/>
      </font>
      <fill>
        <patternFill patternType="solid"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5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5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fill>
        <patternFill patternType="none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theme="4" tint="0.79998168889431442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rgb="FF000000"/>
          <bgColor theme="3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" formatCode="#,##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7C80"/>
        </patternFill>
      </fill>
    </dxf>
    <dxf>
      <font>
        <color theme="1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FF0000"/>
        </patternFill>
      </fill>
    </dxf>
    <dxf>
      <fill>
        <patternFill>
          <bgColor rgb="FFFF7C80"/>
        </patternFill>
      </fill>
    </dxf>
    <dxf>
      <font>
        <b/>
        <i val="0"/>
        <color rgb="FFFF0000"/>
      </font>
    </dxf>
    <dxf>
      <font>
        <color theme="1"/>
      </font>
      <fill>
        <patternFill patternType="solid"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indexed="64"/>
          <bgColor theme="5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numFmt numFmtId="1" formatCode="0"/>
      <fill>
        <patternFill patternType="none">
          <fgColor rgb="FF000000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3" formatCode="#,##0"/>
      <fill>
        <patternFill patternType="solid">
          <fgColor indexed="64"/>
          <bgColor rgb="FFFFFF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numFmt numFmtId="3" formatCode="#,##0"/>
      <fill>
        <patternFill patternType="none">
          <fgColor rgb="FF000000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top style="thin">
          <color rgb="FF000000"/>
        </top>
      </border>
    </dxf>
    <dxf>
      <font>
        <name val="Verdana"/>
      </font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none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none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none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none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none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" formatCode="0"/>
      <fill>
        <patternFill patternType="none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none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solid">
          <fgColor rgb="FF000000"/>
          <bgColor rgb="FFF4B084"/>
        </patternFill>
      </fill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color theme="1"/>
      </font>
      <fill>
        <patternFill patternType="solid">
          <bgColor rgb="FFFF0000"/>
        </patternFill>
      </fill>
    </dxf>
    <dxf>
      <numFmt numFmtId="1" formatCode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167" formatCode="0.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FF0000"/>
      </font>
    </dxf>
    <dxf>
      <font>
        <b val="0"/>
      </font>
    </dxf>
    <dxf>
      <fill>
        <patternFill>
          <bgColor theme="8" tint="0.39997558519241921"/>
        </patternFill>
      </fill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numFmt numFmtId="0" formatCode="General"/>
      <fill>
        <patternFill>
          <fgColor theme="7" tint="0.79998168889431442"/>
        </patternFill>
      </fill>
    </dxf>
    <dxf>
      <fill>
        <patternFill>
          <bgColor theme="7" tint="0.39997558519241921"/>
        </patternFill>
      </fill>
    </dxf>
    <dxf>
      <fill>
        <patternFill patternType="solid">
          <bgColor theme="7" tint="0.79998168889431442"/>
        </patternFill>
      </fill>
    </dxf>
    <dxf>
      <font>
        <b/>
      </font>
    </dxf>
    <dxf>
      <alignment wrapText="1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font>
        <sz val="12"/>
      </font>
      <alignment horizontal="left" vertical="center"/>
    </dxf>
    <dxf>
      <numFmt numFmtId="164" formatCode="&quot;₹&quot;#,##0.00_);[Red]\(&quot;₹&quot;#,##0.00\)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f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ont>
        <color auto="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z val="10"/>
      </font>
    </dxf>
    <dxf>
      <font>
        <sz val="10"/>
      </font>
    </dxf>
    <dxf>
      <numFmt numFmtId="0" formatCode="General"/>
    </dxf>
    <dxf>
      <fill>
        <patternFill>
          <bgColor theme="5" tint="0.79998168889431442"/>
        </patternFill>
      </fill>
    </dxf>
    <dxf>
      <alignment vertical="center"/>
    </dxf>
    <dxf>
      <alignment horizontal="center"/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>
          <bgColor theme="7" tint="0.39997558519241921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  <alignment wrapText="1"/>
    </dxf>
    <dxf>
      <font>
        <b/>
      </font>
      <fill>
        <patternFill patternType="solid">
          <fgColor indexed="64"/>
          <bgColor theme="7" tint="0.79998168889431442"/>
        </patternFill>
      </fill>
    </dxf>
    <dxf>
      <alignment wrapText="1"/>
    </dxf>
    <dxf>
      <alignment wrapText="1"/>
    </dxf>
    <dxf>
      <font>
        <b/>
      </font>
    </dxf>
    <dxf>
      <fill>
        <patternFill>
          <bgColor theme="7" tint="0.79998168889431442"/>
        </patternFill>
      </fill>
    </dxf>
    <dxf>
      <fill>
        <patternFill patternType="solid">
          <bgColor theme="7" tint="0.59999389629810485"/>
        </patternFill>
      </fill>
    </dxf>
    <dxf>
      <alignment wrapText="1"/>
    </dxf>
    <dxf>
      <font>
        <sz val="12"/>
      </font>
      <alignment vertical="center" wrapText="1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font>
        <sz val="12"/>
      </font>
      <alignment horizontal="left" vertical="center"/>
    </dxf>
    <dxf>
      <font>
        <color auto="1"/>
      </font>
    </dxf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color theme="1"/>
      </font>
      <numFmt numFmtId="167" formatCode="0.0"/>
      <fill>
        <patternFill>
          <bgColor rgb="FF85D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FF"/>
      </font>
      <numFmt numFmtId="167" formatCode="0.0"/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AEAE"/>
      </font>
      <numFmt numFmtId="167" formatCode="0.0"/>
      <fill>
        <patternFill patternType="gray125">
          <bgColor rgb="FF9CAEA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2B4EE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 patternType="solid">
          <bgColor theme="5" tint="0.59996337778862885"/>
        </patternFill>
      </fill>
    </dxf>
    <dxf>
      <fill>
        <patternFill>
          <bgColor rgb="FF87F98A"/>
        </patternFill>
      </fill>
    </dxf>
    <dxf>
      <fill>
        <patternFill>
          <bgColor theme="9" tint="0.79998168889431442"/>
        </patternFill>
      </fill>
    </dxf>
    <dxf>
      <numFmt numFmtId="171" formatCode="m/d/yyyy"/>
    </dxf>
    <dxf>
      <numFmt numFmtId="24" formatCode="h:mm:ss\ AM/PM"/>
    </dxf>
    <dxf>
      <numFmt numFmtId="24" formatCode="h:mm:ss\ AM/PM"/>
    </dxf>
    <dxf>
      <numFmt numFmtId="171" formatCode="m/d/yyyy"/>
    </dxf>
    <dxf>
      <numFmt numFmtId="171" formatCode="m/d/yyyy"/>
    </dxf>
    <dxf>
      <numFmt numFmtId="24" formatCode="h:mm:ss\ AM/PM"/>
    </dxf>
    <dxf>
      <numFmt numFmtId="24" formatCode="h:mm:ss\ AM/PM"/>
    </dxf>
    <dxf>
      <numFmt numFmtId="171" formatCode="m/d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solid">
          <fgColor indexed="64"/>
          <bgColor rgb="FFFFE27A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theme="2" tint="-9.9978637043366805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rgb="FF000000"/>
          <bgColor theme="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0" formatCode="General"/>
      <fill>
        <patternFill patternType="solid">
          <fgColor rgb="FF000000"/>
          <bgColor theme="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numFmt numFmtId="0" formatCode="General"/>
      <fill>
        <patternFill patternType="solid">
          <fgColor rgb="FF000000"/>
          <bgColor theme="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solid">
          <fgColor indexed="64"/>
          <bgColor rgb="FFFFE27A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fill>
        <patternFill patternType="solid">
          <fgColor indexed="64"/>
          <bgColor rgb="FFFFE27A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30" formatCode="@"/>
      <fill>
        <patternFill patternType="solid">
          <fgColor rgb="FF000000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numFmt numFmtId="30" formatCode="@"/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rgb="FF000000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rgb="FF000000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rgb="FF000000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solid">
          <fgColor indexed="64"/>
          <bgColor theme="5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Verdana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theme="1"/>
      </font>
      <fill>
        <patternFill patternType="solid">
          <bgColor rgb="FFFF0000"/>
        </patternFill>
      </fill>
    </dxf>
    <dxf>
      <fill>
        <patternFill>
          <bgColor rgb="FFFF7C8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TableStyleMedium2" defaultPivotStyle="PivotStyleLight16">
    <tableStyle name="V" pivot="0" count="1" xr9:uid="{8AB1E4FC-0F27-484B-ABCC-5992FAA90B1D}">
      <tableStyleElement type="headerRow" dxfId="732"/>
    </tableStyle>
  </tableStyles>
  <colors>
    <mruColors>
      <color rgb="FF9CAEAE"/>
      <color rgb="FF0000FF"/>
      <color rgb="FF85DFFF"/>
      <color rgb="FFF2B4EE"/>
      <color rgb="FFFF7C80"/>
      <color rgb="FFFF0000"/>
      <color rgb="FFA162D0"/>
      <color rgb="FFC198E0"/>
      <color rgb="FF29C7FF"/>
      <color rgb="FFFFEC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10/relationships/person" Target="persons/person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76200</xdr:rowOff>
    </xdr:from>
    <xdr:to>
      <xdr:col>1</xdr:col>
      <xdr:colOff>807720</xdr:colOff>
      <xdr:row>0</xdr:row>
      <xdr:rowOff>411480</xdr:rowOff>
    </xdr:to>
    <xdr:sp macro="[0]!Copy_Fixed_BankSheet" textlink="">
      <xdr:nvSpPr>
        <xdr:cNvPr id="2" name="Rectangle 1">
          <a:extLst>
            <a:ext uri="{FF2B5EF4-FFF2-40B4-BE49-F238E27FC236}">
              <a16:creationId xmlns:a16="http://schemas.microsoft.com/office/drawing/2014/main" id="{B70FAD0E-5D0C-401D-A764-9FEF8FEB2144}"/>
            </a:ext>
          </a:extLst>
        </xdr:cNvPr>
        <xdr:cNvSpPr/>
      </xdr:nvSpPr>
      <xdr:spPr>
        <a:xfrm>
          <a:off x="121920" y="76200"/>
          <a:ext cx="1303020" cy="33528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Copy</a:t>
          </a:r>
          <a:r>
            <a:rPr lang="en-US" sz="1100" b="1" baseline="0">
              <a:solidFill>
                <a:schemeClr val="tx1"/>
              </a:solidFill>
            </a:rPr>
            <a:t> Bank Details</a:t>
          </a:r>
        </a:p>
        <a:p>
          <a:pPr algn="ctr"/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84667</xdr:colOff>
      <xdr:row>0</xdr:row>
      <xdr:rowOff>139277</xdr:rowOff>
    </xdr:from>
    <xdr:to>
      <xdr:col>2</xdr:col>
      <xdr:colOff>1206078</xdr:colOff>
      <xdr:row>0</xdr:row>
      <xdr:rowOff>466937</xdr:rowOff>
    </xdr:to>
    <xdr:sp macro="[0]!Module1.Copy_Helpers_BankSheet" textlink="">
      <xdr:nvSpPr>
        <xdr:cNvPr id="3" name="Rectangle 1">
          <a:extLst>
            <a:ext uri="{FF2B5EF4-FFF2-40B4-BE49-F238E27FC236}">
              <a16:creationId xmlns:a16="http://schemas.microsoft.com/office/drawing/2014/main" id="{F256ABF9-E1D0-77F6-88AD-452066C091AB}"/>
            </a:ext>
          </a:extLst>
        </xdr:cNvPr>
        <xdr:cNvSpPr/>
      </xdr:nvSpPr>
      <xdr:spPr>
        <a:xfrm>
          <a:off x="347134" y="139277"/>
          <a:ext cx="1570144" cy="32766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Copy</a:t>
          </a:r>
          <a:r>
            <a:rPr lang="en-US" sz="1100" b="1" baseline="0">
              <a:solidFill>
                <a:schemeClr val="tx1"/>
              </a:solidFill>
            </a:rPr>
            <a:t> Bank Details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224589</xdr:colOff>
      <xdr:row>0</xdr:row>
      <xdr:rowOff>32084</xdr:rowOff>
    </xdr:from>
    <xdr:to>
      <xdr:col>2</xdr:col>
      <xdr:colOff>955464</xdr:colOff>
      <xdr:row>0</xdr:row>
      <xdr:rowOff>368634</xdr:rowOff>
    </xdr:to>
    <xdr:sp macro="[0]!Copy_CompanyWorkers_BankSheet" textlink="">
      <xdr:nvSpPr>
        <xdr:cNvPr id="3" name="Rectangle 2">
          <a:extLst>
            <a:ext uri="{FF2B5EF4-FFF2-40B4-BE49-F238E27FC236}">
              <a16:creationId xmlns:a16="http://schemas.microsoft.com/office/drawing/2014/main" id="{0B8CDF88-198A-4688-894E-9C8B262F0EDD}"/>
            </a:ext>
          </a:extLst>
        </xdr:cNvPr>
        <xdr:cNvSpPr/>
      </xdr:nvSpPr>
      <xdr:spPr>
        <a:xfrm>
          <a:off x="224589" y="32084"/>
          <a:ext cx="1565064" cy="3365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Copy</a:t>
          </a:r>
          <a:r>
            <a:rPr lang="en-US" sz="1100" b="1" baseline="0">
              <a:solidFill>
                <a:schemeClr val="tx1"/>
              </a:solidFill>
            </a:rPr>
            <a:t> Bank Details</a:t>
          </a:r>
        </a:p>
        <a:p>
          <a:pPr algn="ctr"/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591820</xdr:colOff>
      <xdr:row>0</xdr:row>
      <xdr:rowOff>152400</xdr:rowOff>
    </xdr:from>
    <xdr:to>
      <xdr:col>2</xdr:col>
      <xdr:colOff>586740</xdr:colOff>
      <xdr:row>0</xdr:row>
      <xdr:rowOff>501650</xdr:rowOff>
    </xdr:to>
    <xdr:sp macro="[0]!Copy_Staff_BankSheet" textlink="">
      <xdr:nvSpPr>
        <xdr:cNvPr id="3" name="Rectangle 2">
          <a:extLst>
            <a:ext uri="{FF2B5EF4-FFF2-40B4-BE49-F238E27FC236}">
              <a16:creationId xmlns:a16="http://schemas.microsoft.com/office/drawing/2014/main" id="{CB63F5BF-55B3-486D-9B3F-F038155BA735}"/>
            </a:ext>
          </a:extLst>
        </xdr:cNvPr>
        <xdr:cNvSpPr/>
      </xdr:nvSpPr>
      <xdr:spPr>
        <a:xfrm>
          <a:off x="591820" y="152400"/>
          <a:ext cx="1419860" cy="3492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Copy</a:t>
          </a:r>
          <a:r>
            <a:rPr lang="en-US" sz="1100" b="1" baseline="0">
              <a:solidFill>
                <a:schemeClr val="tx1"/>
              </a:solidFill>
            </a:rPr>
            <a:t> Bank Details</a:t>
          </a:r>
        </a:p>
        <a:p>
          <a:pPr algn="ctr"/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53340</xdr:rowOff>
        </xdr:from>
        <xdr:to>
          <xdr:col>2</xdr:col>
          <xdr:colOff>0</xdr:colOff>
          <xdr:row>0</xdr:row>
          <xdr:rowOff>365760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Copy Bank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131618</xdr:colOff>
      <xdr:row>0</xdr:row>
      <xdr:rowOff>20782</xdr:rowOff>
    </xdr:from>
    <xdr:to>
      <xdr:col>1</xdr:col>
      <xdr:colOff>817418</xdr:colOff>
      <xdr:row>0</xdr:row>
      <xdr:rowOff>357332</xdr:rowOff>
    </xdr:to>
    <xdr:sp macro="[0]!Copy_IB_BankSheet" textlink="">
      <xdr:nvSpPr>
        <xdr:cNvPr id="2" name="Rectangle 1">
          <a:extLst>
            <a:ext uri="{FF2B5EF4-FFF2-40B4-BE49-F238E27FC236}">
              <a16:creationId xmlns:a16="http://schemas.microsoft.com/office/drawing/2014/main" id="{F6E0DFAC-1693-471B-B78E-CB92E3D0AB81}"/>
            </a:ext>
          </a:extLst>
        </xdr:cNvPr>
        <xdr:cNvSpPr/>
      </xdr:nvSpPr>
      <xdr:spPr>
        <a:xfrm>
          <a:off x="131618" y="20782"/>
          <a:ext cx="1302327" cy="3365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Copy</a:t>
          </a:r>
          <a:r>
            <a:rPr lang="en-US" sz="1100" b="1" baseline="0">
              <a:solidFill>
                <a:schemeClr val="tx1"/>
              </a:solidFill>
            </a:rPr>
            <a:t> Bank Details</a:t>
          </a:r>
        </a:p>
        <a:p>
          <a:pPr algn="ctr"/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89a8f6f157509e8/MV_Folders/Monthly_Payments/JULY-2026/Operators%20July%20salary%20%20bank%20details.xlsm" TargetMode="External"/><Relationship Id="rId1" Type="http://schemas.openxmlformats.org/officeDocument/2006/relationships/externalLinkPath" Target="Operators%20July%20salary%20%20bank%20detai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Attendance"/>
      <sheetName val="Detail1"/>
      <sheetName val="Detail2"/>
      <sheetName val="Month_Attendance"/>
      <sheetName val="Summary"/>
      <sheetName val="Fixed_Payment_Bank_Sheet"/>
      <sheetName val="Fixed_Payment"/>
      <sheetName val="Helpers_Bank_Sheet"/>
      <sheetName val="Helpers"/>
      <sheetName val="Workers_Bank_Sheet"/>
      <sheetName val="Company Workers"/>
      <sheetName val="Staff_Bank_Sheet"/>
      <sheetName val="Staff"/>
      <sheetName val="Op_Bank_Sheet"/>
      <sheetName val="Op"/>
      <sheetName val="I_B_Bank_Sheet"/>
      <sheetName val="I&amp;B"/>
      <sheetName val="Bank Details"/>
      <sheetName val="7001_Attendance"/>
      <sheetName val="Operators July salary  bank d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HRD MVIC" id="{0EA12C0C-E59E-42DD-9F22-0971BCE862BC}" userId="557e10978bfcec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pl2" refreshedDate="46238.671971875003" createdVersion="8" refreshedVersion="8" minRefreshableVersion="3" recordCount="1023" xr:uid="{FD54ADCF-6495-4CC7-AFA9-A1C53998F96A}">
  <cacheSource type="worksheet">
    <worksheetSource name="MonthlyAttendance"/>
  </cacheSource>
  <cacheFields count="27">
    <cacheField name="Employee Code" numFmtId="0">
      <sharedItems containsSemiMixedTypes="0" containsString="0" containsNumber="1" containsInteger="1" minValue="5" maxValue="5093" count="48">
        <n v="5"/>
        <n v="6"/>
        <n v="14"/>
        <n v="29"/>
        <n v="32"/>
        <n v="34"/>
        <n v="35"/>
        <n v="1001"/>
        <n v="1002"/>
        <n v="1004"/>
        <n v="1013"/>
        <n v="1014"/>
        <n v="1021"/>
        <n v="1025"/>
        <n v="1030"/>
        <n v="1031"/>
        <n v="1035"/>
        <n v="1092"/>
        <n v="1094"/>
        <n v="5002"/>
        <n v="5006"/>
        <n v="5055"/>
        <n v="5060"/>
        <n v="5080"/>
        <n v="5082"/>
        <n v="5086"/>
        <n v="5087"/>
        <n v="5088"/>
        <n v="5089"/>
        <n v="5090"/>
        <n v="5091"/>
        <n v="5092"/>
        <n v="5093"/>
        <n v="1022" u="1"/>
        <n v="1052" u="1"/>
        <n v="1069" u="1"/>
        <n v="1087" u="1"/>
        <n v="1101" u="1"/>
        <n v="1132" u="1"/>
        <n v="5063" u="1"/>
        <n v="5083" u="1"/>
        <n v="20" u="1"/>
        <n v="19" u="1"/>
        <n v="1019" u="1"/>
        <n v="5085" u="1"/>
        <n v="33" u="1"/>
        <n v="5077" u="1"/>
        <n v="5081" u="1"/>
      </sharedItems>
    </cacheField>
    <cacheField name="Working_Days" numFmtId="0">
      <sharedItems containsSemiMixedTypes="0" containsString="0" containsNumber="1" minValue="0" maxValue="27"/>
    </cacheField>
    <cacheField name="Personal Leave" numFmtId="0">
      <sharedItems containsSemiMixedTypes="0" containsString="0" containsNumber="1" minValue="0" maxValue="27"/>
    </cacheField>
    <cacheField name="Paid_Holidays" numFmtId="0">
      <sharedItems containsSemiMixedTypes="0" containsString="0" containsNumber="1" containsInteger="1" minValue="0" maxValue="0"/>
    </cacheField>
    <cacheField name="Comp_Off" numFmtId="0">
      <sharedItems containsSemiMixedTypes="0" containsString="0" containsNumber="1" containsInteger="1" minValue="0" maxValue="0"/>
    </cacheField>
    <cacheField name="Leave Days" numFmtId="0">
      <sharedItems/>
    </cacheField>
    <cacheField name="Date" numFmtId="14">
      <sharedItems containsSemiMixedTypes="0" containsNonDate="0" containsDate="1" containsString="0" minDate="2026-07-01T00:00:00" maxDate="2026-08-01T00:00:00" count="31"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</sharedItems>
    </cacheField>
    <cacheField name="Employee Name" numFmtId="0">
      <sharedItems/>
    </cacheField>
    <cacheField name="Department" numFmtId="0">
      <sharedItems count="6">
        <s v="MV STAFFS"/>
        <s v="FINISHING DEPARTMENT"/>
        <s v="CUTTING DEPARTMENT"/>
        <s v="PRODUCTION DEPARTMENT"/>
        <s v="HOUSE KEEPING"/>
        <s v="DefaultDepartment" u="1"/>
      </sharedItems>
    </cacheField>
    <cacheField name="Designation" numFmtId="0">
      <sharedItems/>
    </cacheField>
    <cacheField name="Shift" numFmtId="0">
      <sharedItems/>
    </cacheField>
    <cacheField name="In" numFmtId="165">
      <sharedItems containsSemiMixedTypes="0" containsNonDate="0" containsDate="1" containsString="0" minDate="1899-12-30T00:00:00" maxDate="1899-12-30T20:01:54"/>
    </cacheField>
    <cacheField name="Out" numFmtId="165">
      <sharedItems containsSemiMixedTypes="0" containsNonDate="0" containsDate="1" containsString="0" minDate="1899-12-30T00:00:00" maxDate="1899-12-30T23:54:30"/>
    </cacheField>
    <cacheField name="Work_Hours" numFmtId="0">
      <sharedItems containsSemiMixedTypes="0" containsString="0" containsNumber="1" minValue="0" maxValue="16.46"/>
    </cacheField>
    <cacheField name="In-OT" numFmtId="0">
      <sharedItems/>
    </cacheField>
    <cacheField name="In-OT-Hours" numFmtId="0">
      <sharedItems containsSemiMixedTypes="0" containsString="0" containsNumber="1" minValue="0" maxValue="9"/>
    </cacheField>
    <cacheField name="Out-OT" numFmtId="0">
      <sharedItems/>
    </cacheField>
    <cacheField name="Out-OT-Hours" numFmtId="0">
      <sharedItems containsSemiMixedTypes="0" containsString="0" containsNumber="1" minValue="0" maxValue="6.41"/>
    </cacheField>
    <cacheField name="Total-OT-Hours" numFmtId="0">
      <sharedItems containsSemiMixedTypes="0" containsString="0" containsNumber="1" minValue="0" maxValue="9"/>
    </cacheField>
    <cacheField name="Employee" numFmtId="0">
      <sharedItems count="53">
        <s v="5 - MANICKAM"/>
        <s v="6 - KRISHAMOORTHY P"/>
        <s v="14 - PARAMESHVARAN"/>
        <s v="29 - VIJAY KUMAR (SAMPLE)"/>
        <s v="32 - SRILEKHA"/>
        <s v="34 - KRISHNAIAH"/>
        <s v="35 - SIVARANJANI"/>
        <s v="1001 - SUGANYA"/>
        <s v="1002 - VALLI"/>
        <s v="1004 - ROOPA .M"/>
        <s v="1013 - RAJESHWARI"/>
        <s v="1014 - NETHRAVATHI"/>
        <s v="1021 - SIVARANJANI"/>
        <s v="1025 - NITHYA SRI"/>
        <s v="1030 - MALARKODI"/>
        <s v="1031 - SAVITHIRI"/>
        <s v="1035 - SUJATHA .S"/>
        <s v="1092 - SAVITHA"/>
        <s v="1094 - M Siva Kumar"/>
        <s v="5002 - YELLAPPAN"/>
        <s v="5006 - ANUSHA"/>
        <s v="5055 - ROOPA"/>
        <s v="5060 - MADAMMA"/>
        <s v="5080 - Yaswanth"/>
        <s v="5082 - MANJULA V.M"/>
        <s v="5086 - KAVITHA"/>
        <s v="5087 - BASKAR"/>
        <s v="5088 - MUTHUVEDI"/>
        <s v="5089 - PAVAN KUMAR"/>
        <s v="5090 - MEENA"/>
        <s v="5091 - PAPANNA"/>
        <s v="5092 - VALLI B"/>
        <s v="5093 - BHUSAN"/>
        <s v="5090 - MUTHURAMAN" u="1"/>
        <s v="1022 - BALAMMA" u="1"/>
        <s v="1052 - AMBIKA.N" u="1"/>
        <s v="1069 - NISHADEVI .N" u="1"/>
        <s v="1087 - SUGUNA.M" u="1"/>
        <s v="1101 - SRIMATHI" u="1"/>
        <s v="1132 - NAGESH" u="1"/>
        <s v="5063 - YASODHA" u="1"/>
        <s v="5083 - RAJESHWARI" u="1"/>
        <s v="5092 - 5092" u="1"/>
        <s v="20 - SENTHIL KUMAR" u="1"/>
        <s v="19 - PS Praveen Kumar" u="1"/>
        <s v="1019 - VINODHA .V" u="1"/>
        <s v="5085 - SANDEEP KUMAR" u="1"/>
        <s v="5092 - SHIVANI" u="1"/>
        <s v="33 - SIVA KUMAR" u="1"/>
        <s v="5085 - MEENA" u="1"/>
        <s v="5077 - Sumithra" u="1"/>
        <s v="5081 - Tamilselvi" u="1"/>
        <s v="5087 - 5087" u="1"/>
      </sharedItems>
    </cacheField>
    <cacheField name="Attendance" numFmtId="0">
      <sharedItems/>
    </cacheField>
    <cacheField name="Attendance Date" numFmtId="14">
      <sharedItems containsSemiMixedTypes="0" containsNonDate="0" containsDate="1" containsString="0" minDate="2026-07-01T00:00:00" maxDate="2026-08-01T00:00:00"/>
    </cacheField>
    <cacheField name="Present" numFmtId="0">
      <sharedItems containsSemiMixedTypes="0" containsString="0" containsNumber="1" minValue="0" maxValue="1"/>
    </cacheField>
    <cacheField name="Working" numFmtId="0">
      <sharedItems containsSemiMixedTypes="0" containsString="0" containsNumber="1" minValue="0" maxValue="1"/>
    </cacheField>
    <cacheField name="Holiday" numFmtId="0">
      <sharedItems containsSemiMixedTypes="0" containsString="0" containsNumber="1" minValue="0" maxValue="1"/>
    </cacheField>
    <cacheField name="Paid Holiday" numFmtId="0">
      <sharedItems containsSemiMixedTypes="0" containsString="0" containsNumber="1" containsInteger="1" minValue="0" maxValue="0"/>
    </cacheField>
    <cacheField name="CompOff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3">
  <r>
    <x v="0"/>
    <n v="6"/>
    <n v="21"/>
    <n v="0"/>
    <n v="0"/>
    <s v="2, 3, 10, 11, 12, 13, 14, 15, 16, 17, 18, 19, 20, 21, 22, 23, 24, 25, 26, 27, 28, 29, 30, 31"/>
    <x v="0"/>
    <s v="MANICKAM"/>
    <x v="0"/>
    <s v="Staff"/>
    <s v="GS"/>
    <d v="1899-12-30T08:58:26"/>
    <d v="1899-12-30T17:30:00"/>
    <n v="8.5299999999999994"/>
    <s v="00:01:34"/>
    <n v="0"/>
    <s v="00:00:00"/>
    <n v="0"/>
    <n v="0"/>
    <x v="0"/>
    <s v="P"/>
    <d v="2026-07-01T00:00:00"/>
    <n v="1"/>
    <n v="1"/>
    <n v="0"/>
    <n v="0"/>
    <n v="0"/>
  </r>
  <r>
    <x v="0"/>
    <n v="6"/>
    <n v="21"/>
    <n v="0"/>
    <n v="0"/>
    <s v="2, 3, 10, 11, 12, 13, 14, 15, 16, 17, 18, 19, 20, 21, 22, 23, 24, 25, 26, 27, 28, 29, 30, 31"/>
    <x v="1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02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03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3"/>
    <s v="MANICKAM"/>
    <x v="0"/>
    <s v="Staff"/>
    <s v="GS"/>
    <d v="1899-12-30T08:58:02"/>
    <d v="1899-12-30T18:16:46"/>
    <n v="9.31"/>
    <s v="00:01:58"/>
    <n v="0"/>
    <s v="00:46:46"/>
    <n v="0.78"/>
    <n v="0.78"/>
    <x v="0"/>
    <s v="P"/>
    <d v="2026-07-04T00:00:00"/>
    <n v="1"/>
    <n v="1"/>
    <n v="0"/>
    <n v="0"/>
    <n v="0"/>
  </r>
  <r>
    <x v="0"/>
    <n v="6"/>
    <n v="21"/>
    <n v="0"/>
    <n v="0"/>
    <s v="2, 3, 10, 11, 12, 13, 14, 15, 16, 17, 18, 19, 20, 21, 22, 23, 24, 25, 26, 27, 28, 29, 30, 31"/>
    <x v="4"/>
    <s v="MANICKAM"/>
    <x v="0"/>
    <s v="Staff"/>
    <s v="GS"/>
    <d v="1899-12-30T09:00:00"/>
    <d v="1899-12-30T12:39:02"/>
    <n v="3.65"/>
    <s v="00:00:00"/>
    <n v="0"/>
    <s v="-04:50:58"/>
    <n v="0"/>
    <n v="0"/>
    <x v="0"/>
    <s v="H"/>
    <d v="2026-07-05T00:00:00"/>
    <n v="0.5"/>
    <n v="0"/>
    <n v="0.5"/>
    <n v="0"/>
    <n v="0"/>
  </r>
  <r>
    <x v="0"/>
    <n v="6"/>
    <n v="21"/>
    <n v="0"/>
    <n v="0"/>
    <s v="2, 3, 10, 11, 12, 13, 14, 15, 16, 17, 18, 19, 20, 21, 22, 23, 24, 25, 26, 27, 28, 29, 30, 31"/>
    <x v="5"/>
    <s v="MANICKAM"/>
    <x v="0"/>
    <s v="Staff"/>
    <s v="GS"/>
    <d v="1899-12-30T08:56:58"/>
    <d v="1899-12-30T19:00:30"/>
    <n v="10.06"/>
    <s v="00:03:02"/>
    <n v="0"/>
    <s v="01:30:30"/>
    <n v="1.51"/>
    <n v="1.51"/>
    <x v="0"/>
    <s v="P"/>
    <d v="2026-07-06T00:00:00"/>
    <n v="1"/>
    <n v="1"/>
    <n v="0"/>
    <n v="0"/>
    <n v="0"/>
  </r>
  <r>
    <x v="0"/>
    <n v="6"/>
    <n v="21"/>
    <n v="0"/>
    <n v="0"/>
    <s v="2, 3, 10, 11, 12, 13, 14, 15, 16, 17, 18, 19, 20, 21, 22, 23, 24, 25, 26, 27, 28, 29, 30, 31"/>
    <x v="6"/>
    <s v="MANICKAM"/>
    <x v="0"/>
    <s v="Staff"/>
    <s v="GS"/>
    <d v="1899-12-30T08:54:31"/>
    <d v="1899-12-30T19:31:42"/>
    <n v="10.62"/>
    <s v="00:05:29"/>
    <n v="0"/>
    <s v="02:01:42"/>
    <n v="2.0299999999999998"/>
    <n v="2.0299999999999998"/>
    <x v="0"/>
    <s v="P"/>
    <d v="2026-07-07T00:00:00"/>
    <n v="1"/>
    <n v="1"/>
    <n v="0"/>
    <n v="0"/>
    <n v="0"/>
  </r>
  <r>
    <x v="0"/>
    <n v="6"/>
    <n v="21"/>
    <n v="0"/>
    <n v="0"/>
    <s v="2, 3, 10, 11, 12, 13, 14, 15, 16, 17, 18, 19, 20, 21, 22, 23, 24, 25, 26, 27, 28, 29, 30, 31"/>
    <x v="7"/>
    <s v="MANICKAM"/>
    <x v="0"/>
    <s v="Staff"/>
    <s v="GS"/>
    <d v="1899-12-30T08:57:52"/>
    <d v="1899-12-30T19:43:50"/>
    <n v="10.77"/>
    <s v="00:02:08"/>
    <n v="0"/>
    <s v="02:13:50"/>
    <n v="2.23"/>
    <n v="2.23"/>
    <x v="0"/>
    <s v="P"/>
    <d v="2026-07-08T00:00:00"/>
    <n v="1"/>
    <n v="1"/>
    <n v="0"/>
    <n v="0"/>
    <n v="0"/>
  </r>
  <r>
    <x v="0"/>
    <n v="6"/>
    <n v="21"/>
    <n v="0"/>
    <n v="0"/>
    <s v="2, 3, 10, 11, 12, 13, 14, 15, 16, 17, 18, 19, 20, 21, 22, 23, 24, 25, 26, 27, 28, 29, 30, 31"/>
    <x v="8"/>
    <s v="MANICKAM"/>
    <x v="0"/>
    <s v="Staff"/>
    <s v="GS"/>
    <d v="1899-12-30T09:00:36"/>
    <d v="1899-12-30T17:04:04"/>
    <n v="8.06"/>
    <s v="-00:00:36"/>
    <n v="0"/>
    <s v="-00:25:56"/>
    <n v="0"/>
    <n v="0"/>
    <x v="0"/>
    <s v="P"/>
    <d v="2026-07-09T00:00:00"/>
    <n v="1"/>
    <n v="1"/>
    <n v="0"/>
    <n v="0"/>
    <n v="0"/>
  </r>
  <r>
    <x v="0"/>
    <n v="6"/>
    <n v="21"/>
    <n v="0"/>
    <n v="0"/>
    <s v="2, 3, 10, 11, 12, 13, 14, 15, 16, 17, 18, 19, 20, 21, 22, 23, 24, 25, 26, 27, 28, 29, 30, 31"/>
    <x v="9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0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0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1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1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2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2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3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3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4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4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5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5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6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6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7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7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8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8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19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19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0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0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1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1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2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2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3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3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4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4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5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5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6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6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7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7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8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8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29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29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30T00:00:00"/>
    <n v="0"/>
    <n v="0"/>
    <n v="0"/>
    <n v="0"/>
    <n v="0"/>
  </r>
  <r>
    <x v="0"/>
    <n v="6"/>
    <n v="21"/>
    <n v="0"/>
    <n v="0"/>
    <s v="2, 3, 10, 11, 12, 13, 14, 15, 16, 17, 18, 19, 20, 21, 22, 23, 24, 25, 26, 27, 28, 29, 30, 31"/>
    <x v="30"/>
    <s v="MANICKAM"/>
    <x v="0"/>
    <s v="Staff"/>
    <s v="NA"/>
    <d v="1899-12-30T00:00:00"/>
    <d v="1899-12-30T00:00:00"/>
    <n v="0"/>
    <s v="09:00:00"/>
    <n v="9"/>
    <s v="-17:30:00"/>
    <n v="0"/>
    <n v="9"/>
    <x v="0"/>
    <s v="A"/>
    <d v="2026-07-31T00:00:00"/>
    <n v="0"/>
    <n v="0"/>
    <n v="0"/>
    <n v="0"/>
    <n v="0"/>
  </r>
  <r>
    <x v="1"/>
    <n v="27"/>
    <n v="0"/>
    <n v="0"/>
    <n v="0"/>
    <s v="5, 12, 26"/>
    <x v="0"/>
    <s v="KRISHAMOORTHY P"/>
    <x v="0"/>
    <s v="Staff"/>
    <s v="GS"/>
    <d v="1899-12-30T08:59:45"/>
    <d v="1899-12-30T18:53:20"/>
    <n v="9.89"/>
    <s v="00:00:15"/>
    <n v="0"/>
    <s v="01:23:20"/>
    <n v="1.39"/>
    <n v="1.39"/>
    <x v="1"/>
    <s v="P"/>
    <d v="2026-07-01T00:00:00"/>
    <n v="1"/>
    <n v="1"/>
    <n v="0"/>
    <n v="0"/>
    <n v="0"/>
  </r>
  <r>
    <x v="1"/>
    <n v="27"/>
    <n v="0"/>
    <n v="0"/>
    <n v="0"/>
    <s v="5, 12, 26"/>
    <x v="1"/>
    <s v="KRISHAMOORTHY P"/>
    <x v="0"/>
    <s v="Staff"/>
    <s v="GS"/>
    <d v="1899-12-30T09:03:35"/>
    <d v="1899-12-30T19:31:54"/>
    <n v="10.47"/>
    <s v="-00:03:35"/>
    <n v="0"/>
    <s v="02:01:54"/>
    <n v="2.0299999999999998"/>
    <n v="2.0299999999999998"/>
    <x v="1"/>
    <s v="P"/>
    <d v="2026-07-02T00:00:00"/>
    <n v="1"/>
    <n v="1"/>
    <n v="0"/>
    <n v="0"/>
    <n v="0"/>
  </r>
  <r>
    <x v="1"/>
    <n v="27"/>
    <n v="0"/>
    <n v="0"/>
    <n v="0"/>
    <s v="5, 12, 26"/>
    <x v="2"/>
    <s v="KRISHAMOORTHY P"/>
    <x v="0"/>
    <s v="Staff"/>
    <s v="GS"/>
    <d v="1899-12-30T09:00:31"/>
    <d v="1899-12-30T20:03:27"/>
    <n v="11.05"/>
    <s v="-00:00:31"/>
    <n v="0"/>
    <s v="02:33:27"/>
    <n v="2.56"/>
    <n v="2.56"/>
    <x v="1"/>
    <s v="P"/>
    <d v="2026-07-03T00:00:00"/>
    <n v="1"/>
    <n v="1"/>
    <n v="0"/>
    <n v="0"/>
    <n v="0"/>
  </r>
  <r>
    <x v="1"/>
    <n v="27"/>
    <n v="0"/>
    <n v="0"/>
    <n v="0"/>
    <s v="5, 12, 26"/>
    <x v="3"/>
    <s v="KRISHAMOORTHY P"/>
    <x v="0"/>
    <s v="Staff"/>
    <s v="GS"/>
    <d v="1899-12-30T08:58:50"/>
    <d v="1899-12-30T18:33:07"/>
    <n v="9.57"/>
    <s v="00:01:10"/>
    <n v="0"/>
    <s v="01:03:07"/>
    <n v="1.05"/>
    <n v="1.05"/>
    <x v="1"/>
    <s v="P"/>
    <d v="2026-07-04T00:00:00"/>
    <n v="1"/>
    <n v="1"/>
    <n v="0"/>
    <n v="0"/>
    <n v="0"/>
  </r>
  <r>
    <x v="1"/>
    <n v="27"/>
    <n v="0"/>
    <n v="0"/>
    <n v="0"/>
    <s v="5, 12, 26"/>
    <x v="4"/>
    <s v="KRISHAMOORTHY P"/>
    <x v="0"/>
    <s v="Staff"/>
    <s v="NA"/>
    <d v="1899-12-30T00:00:00"/>
    <d v="1899-12-30T00:00:00"/>
    <n v="0"/>
    <s v="09:00:00"/>
    <n v="9"/>
    <s v="-17:30:00"/>
    <n v="0"/>
    <n v="9"/>
    <x v="1"/>
    <s v="A"/>
    <d v="2026-07-05T00:00:00"/>
    <n v="0"/>
    <n v="0"/>
    <n v="0"/>
    <n v="0"/>
    <n v="0"/>
  </r>
  <r>
    <x v="1"/>
    <n v="27"/>
    <n v="0"/>
    <n v="0"/>
    <n v="0"/>
    <s v="5, 12, 26"/>
    <x v="5"/>
    <s v="KRISHAMOORTHY P"/>
    <x v="0"/>
    <s v="Staff"/>
    <s v="GS"/>
    <d v="1899-12-30T08:48:32"/>
    <d v="1899-12-30T18:35:25"/>
    <n v="9.7799999999999994"/>
    <s v="00:11:28"/>
    <n v="0"/>
    <s v="01:05:25"/>
    <n v="1.0900000000000001"/>
    <n v="1.0900000000000001"/>
    <x v="1"/>
    <s v="P"/>
    <d v="2026-07-06T00:00:00"/>
    <n v="1"/>
    <n v="1"/>
    <n v="0"/>
    <n v="0"/>
    <n v="0"/>
  </r>
  <r>
    <x v="1"/>
    <n v="27"/>
    <n v="0"/>
    <n v="0"/>
    <n v="0"/>
    <s v="5, 12, 26"/>
    <x v="6"/>
    <s v="KRISHAMOORTHY P"/>
    <x v="0"/>
    <s v="Staff"/>
    <s v="GS"/>
    <d v="1899-12-30T08:58:16"/>
    <d v="1899-12-30T20:04:31"/>
    <n v="11.1"/>
    <s v="00:01:44"/>
    <n v="0"/>
    <s v="02:34:31"/>
    <n v="2.58"/>
    <n v="2.58"/>
    <x v="1"/>
    <s v="P"/>
    <d v="2026-07-07T00:00:00"/>
    <n v="1"/>
    <n v="1"/>
    <n v="0"/>
    <n v="0"/>
    <n v="0"/>
  </r>
  <r>
    <x v="1"/>
    <n v="27"/>
    <n v="0"/>
    <n v="0"/>
    <n v="0"/>
    <s v="5, 12, 26"/>
    <x v="7"/>
    <s v="KRISHAMOORTHY P"/>
    <x v="0"/>
    <s v="Staff"/>
    <s v="GS"/>
    <d v="1899-12-30T09:00:53"/>
    <d v="1899-12-30T17:30:00"/>
    <n v="8.49"/>
    <s v="-00:00:53"/>
    <n v="0"/>
    <s v="00:00:00"/>
    <n v="0"/>
    <n v="0"/>
    <x v="1"/>
    <s v="P"/>
    <d v="2026-07-08T00:00:00"/>
    <n v="1"/>
    <n v="1"/>
    <n v="0"/>
    <n v="0"/>
    <n v="0"/>
  </r>
  <r>
    <x v="1"/>
    <n v="27"/>
    <n v="0"/>
    <n v="0"/>
    <n v="0"/>
    <s v="5, 12, 26"/>
    <x v="8"/>
    <s v="KRISHAMOORTHY P"/>
    <x v="0"/>
    <s v="Staff"/>
    <s v="GS"/>
    <d v="1899-12-30T08:53:24"/>
    <d v="1899-12-30T20:15:09"/>
    <n v="11.36"/>
    <s v="00:06:36"/>
    <n v="0"/>
    <s v="02:45:09"/>
    <n v="2.75"/>
    <n v="2.75"/>
    <x v="1"/>
    <s v="P"/>
    <d v="2026-07-09T00:00:00"/>
    <n v="1"/>
    <n v="1"/>
    <n v="0"/>
    <n v="0"/>
    <n v="0"/>
  </r>
  <r>
    <x v="1"/>
    <n v="27"/>
    <n v="0"/>
    <n v="0"/>
    <n v="0"/>
    <s v="5, 12, 26"/>
    <x v="9"/>
    <s v="KRISHAMOORTHY P"/>
    <x v="0"/>
    <s v="Staff"/>
    <s v="GS"/>
    <d v="1899-12-30T08:58:08"/>
    <d v="1899-12-30T19:47:18"/>
    <n v="10.82"/>
    <s v="00:01:52"/>
    <n v="0"/>
    <s v="02:17:18"/>
    <n v="2.29"/>
    <n v="2.29"/>
    <x v="1"/>
    <s v="P"/>
    <d v="2026-07-10T00:00:00"/>
    <n v="1"/>
    <n v="1"/>
    <n v="0"/>
    <n v="0"/>
    <n v="0"/>
  </r>
  <r>
    <x v="1"/>
    <n v="27"/>
    <n v="0"/>
    <n v="0"/>
    <n v="0"/>
    <s v="5, 12, 26"/>
    <x v="10"/>
    <s v="KRISHAMOORTHY P"/>
    <x v="0"/>
    <s v="Staff"/>
    <s v="GS"/>
    <d v="1899-12-30T09:01:45"/>
    <d v="1899-12-30T16:19:36"/>
    <n v="7.3"/>
    <s v="-00:01:45"/>
    <n v="0"/>
    <s v="-01:10:24"/>
    <n v="0"/>
    <n v="0"/>
    <x v="1"/>
    <s v="P"/>
    <d v="2026-07-11T00:00:00"/>
    <n v="1"/>
    <n v="1"/>
    <n v="0"/>
    <n v="0"/>
    <n v="0"/>
  </r>
  <r>
    <x v="1"/>
    <n v="27"/>
    <n v="0"/>
    <n v="0"/>
    <n v="0"/>
    <s v="5, 12, 26"/>
    <x v="11"/>
    <s v="KRISHAMOORTHY P"/>
    <x v="0"/>
    <s v="Staff"/>
    <s v="NA"/>
    <d v="1899-12-30T00:00:00"/>
    <d v="1899-12-30T00:00:00"/>
    <n v="0"/>
    <s v="09:00:00"/>
    <n v="9"/>
    <s v="-17:30:00"/>
    <n v="0"/>
    <n v="9"/>
    <x v="1"/>
    <s v="A"/>
    <d v="2026-07-12T00:00:00"/>
    <n v="0"/>
    <n v="0"/>
    <n v="0"/>
    <n v="0"/>
    <n v="0"/>
  </r>
  <r>
    <x v="1"/>
    <n v="27"/>
    <n v="0"/>
    <n v="0"/>
    <n v="0"/>
    <s v="5, 12, 26"/>
    <x v="12"/>
    <s v="KRISHAMOORTHY P"/>
    <x v="0"/>
    <s v="Staff"/>
    <s v="GS"/>
    <d v="1899-12-30T08:22:20"/>
    <d v="1899-12-30T19:18:04"/>
    <n v="10.93"/>
    <s v="00:37:40"/>
    <n v="0.5"/>
    <s v="01:48:04"/>
    <n v="1.8"/>
    <n v="2.2999999999999998"/>
    <x v="1"/>
    <s v="P"/>
    <d v="2026-07-13T00:00:00"/>
    <n v="1"/>
    <n v="1"/>
    <n v="0"/>
    <n v="0"/>
    <n v="0"/>
  </r>
  <r>
    <x v="1"/>
    <n v="27"/>
    <n v="0"/>
    <n v="0"/>
    <n v="0"/>
    <s v="5, 12, 26"/>
    <x v="13"/>
    <s v="KRISHAMOORTHY P"/>
    <x v="0"/>
    <s v="Staff"/>
    <s v="GS"/>
    <d v="1899-12-30T08:55:31"/>
    <d v="1899-12-30T20:07:37"/>
    <n v="11.2"/>
    <s v="00:04:29"/>
    <n v="0"/>
    <s v="02:37:37"/>
    <n v="2.63"/>
    <n v="2.63"/>
    <x v="1"/>
    <s v="P"/>
    <d v="2026-07-14T00:00:00"/>
    <n v="1"/>
    <n v="1"/>
    <n v="0"/>
    <n v="0"/>
    <n v="0"/>
  </r>
  <r>
    <x v="1"/>
    <n v="27"/>
    <n v="0"/>
    <n v="0"/>
    <n v="0"/>
    <s v="5, 12, 26"/>
    <x v="14"/>
    <s v="KRISHAMOORTHY P"/>
    <x v="0"/>
    <s v="Staff"/>
    <s v="GS"/>
    <d v="1899-12-30T08:55:31"/>
    <d v="1899-12-30T19:46:10"/>
    <n v="10.84"/>
    <s v="00:04:29"/>
    <n v="0"/>
    <s v="02:16:10"/>
    <n v="2.27"/>
    <n v="2.27"/>
    <x v="1"/>
    <s v="P"/>
    <d v="2026-07-15T00:00:00"/>
    <n v="1"/>
    <n v="1"/>
    <n v="0"/>
    <n v="0"/>
    <n v="0"/>
  </r>
  <r>
    <x v="1"/>
    <n v="27"/>
    <n v="0"/>
    <n v="0"/>
    <n v="0"/>
    <s v="5, 12, 26"/>
    <x v="15"/>
    <s v="KRISHAMOORTHY P"/>
    <x v="0"/>
    <s v="Staff"/>
    <s v="GS"/>
    <d v="1899-12-30T08:57:22"/>
    <d v="1899-12-30T20:20:39"/>
    <n v="11.39"/>
    <s v="00:02:38"/>
    <n v="0"/>
    <s v="02:50:39"/>
    <n v="2.84"/>
    <n v="2.84"/>
    <x v="1"/>
    <s v="P"/>
    <d v="2026-07-16T00:00:00"/>
    <n v="1"/>
    <n v="1"/>
    <n v="0"/>
    <n v="0"/>
    <n v="0"/>
  </r>
  <r>
    <x v="1"/>
    <n v="27"/>
    <n v="0"/>
    <n v="0"/>
    <n v="0"/>
    <s v="5, 12, 26"/>
    <x v="16"/>
    <s v="KRISHAMOORTHY P"/>
    <x v="0"/>
    <s v="Staff"/>
    <s v="GS"/>
    <d v="1899-12-30T08:55:59"/>
    <d v="1899-12-30T20:01:58"/>
    <n v="11.1"/>
    <s v="00:04:01"/>
    <n v="0"/>
    <s v="02:31:58"/>
    <n v="2.5299999999999998"/>
    <n v="2.5299999999999998"/>
    <x v="1"/>
    <s v="P"/>
    <d v="2026-07-17T00:00:00"/>
    <n v="1"/>
    <n v="1"/>
    <n v="0"/>
    <n v="0"/>
    <n v="0"/>
  </r>
  <r>
    <x v="1"/>
    <n v="27"/>
    <n v="0"/>
    <n v="0"/>
    <n v="0"/>
    <s v="5, 12, 26"/>
    <x v="17"/>
    <s v="KRISHAMOORTHY P"/>
    <x v="0"/>
    <s v="Staff"/>
    <s v="GS"/>
    <d v="1899-12-30T08:59:55"/>
    <d v="1899-12-30T19:10:08"/>
    <n v="10.17"/>
    <s v="00:00:05"/>
    <n v="0"/>
    <s v="01:40:08"/>
    <n v="1.67"/>
    <n v="1.67"/>
    <x v="1"/>
    <s v="P"/>
    <d v="2026-07-18T00:00:00"/>
    <n v="1"/>
    <n v="1"/>
    <n v="0"/>
    <n v="0"/>
    <n v="0"/>
  </r>
  <r>
    <x v="1"/>
    <n v="27"/>
    <n v="0"/>
    <n v="0"/>
    <n v="0"/>
    <s v="5, 12, 26"/>
    <x v="18"/>
    <s v="KRISHAMOORTHY P"/>
    <x v="0"/>
    <s v="Staff"/>
    <s v="GS"/>
    <d v="1899-12-30T09:02:57"/>
    <d v="1899-12-30T16:36:45"/>
    <n v="7.56"/>
    <s v="-00:02:57"/>
    <n v="0"/>
    <s v="-00:53:15"/>
    <n v="0"/>
    <n v="0"/>
    <x v="1"/>
    <s v="P"/>
    <d v="2026-07-19T00:00:00"/>
    <n v="1"/>
    <n v="0"/>
    <n v="1"/>
    <n v="0"/>
    <n v="0"/>
  </r>
  <r>
    <x v="1"/>
    <n v="27"/>
    <n v="0"/>
    <n v="0"/>
    <n v="0"/>
    <s v="5, 12, 26"/>
    <x v="19"/>
    <s v="KRISHAMOORTHY P"/>
    <x v="0"/>
    <s v="Staff"/>
    <s v="GS"/>
    <d v="1899-12-30T08:57:47"/>
    <d v="1899-12-30T20:10:47"/>
    <n v="11.22"/>
    <s v="00:02:13"/>
    <n v="0"/>
    <s v="02:40:47"/>
    <n v="2.68"/>
    <n v="2.68"/>
    <x v="1"/>
    <s v="P"/>
    <d v="2026-07-20T00:00:00"/>
    <n v="1"/>
    <n v="1"/>
    <n v="0"/>
    <n v="0"/>
    <n v="0"/>
  </r>
  <r>
    <x v="1"/>
    <n v="27"/>
    <n v="0"/>
    <n v="0"/>
    <n v="0"/>
    <s v="5, 12, 26"/>
    <x v="20"/>
    <s v="KRISHAMOORTHY P"/>
    <x v="0"/>
    <s v="Staff"/>
    <s v="GS"/>
    <d v="1899-12-30T08:57:49"/>
    <d v="1899-12-30T19:30:39"/>
    <n v="10.55"/>
    <s v="00:02:11"/>
    <n v="0"/>
    <s v="02:00:39"/>
    <n v="2.0099999999999998"/>
    <n v="2.0099999999999998"/>
    <x v="1"/>
    <s v="P"/>
    <d v="2026-07-21T00:00:00"/>
    <n v="1"/>
    <n v="1"/>
    <n v="0"/>
    <n v="0"/>
    <n v="0"/>
  </r>
  <r>
    <x v="1"/>
    <n v="27"/>
    <n v="0"/>
    <n v="0"/>
    <n v="0"/>
    <s v="5, 12, 26"/>
    <x v="21"/>
    <s v="KRISHAMOORTHY P"/>
    <x v="0"/>
    <s v="Staff"/>
    <s v="GS"/>
    <d v="1899-12-30T08:56:46"/>
    <d v="1899-12-30T19:42:32"/>
    <n v="10.76"/>
    <s v="00:03:14"/>
    <n v="0"/>
    <s v="02:12:32"/>
    <n v="2.21"/>
    <n v="2.21"/>
    <x v="1"/>
    <s v="P"/>
    <d v="2026-07-22T00:00:00"/>
    <n v="1"/>
    <n v="1"/>
    <n v="0"/>
    <n v="0"/>
    <n v="0"/>
  </r>
  <r>
    <x v="1"/>
    <n v="27"/>
    <n v="0"/>
    <n v="0"/>
    <n v="0"/>
    <s v="5, 12, 26"/>
    <x v="22"/>
    <s v="KRISHAMOORTHY P"/>
    <x v="0"/>
    <s v="Staff"/>
    <s v="GS"/>
    <d v="1899-12-30T08:56:33"/>
    <d v="1899-12-30T00:00:00"/>
    <n v="15.06"/>
    <s v="00:03:27"/>
    <n v="0"/>
    <s v="-17:30:00"/>
    <n v="0"/>
    <n v="0"/>
    <x v="1"/>
    <s v="P"/>
    <d v="2026-07-23T00:00:00"/>
    <n v="1"/>
    <n v="1"/>
    <n v="0"/>
    <n v="0"/>
    <n v="0"/>
  </r>
  <r>
    <x v="1"/>
    <n v="27"/>
    <n v="0"/>
    <n v="0"/>
    <n v="0"/>
    <s v="5, 12, 26"/>
    <x v="23"/>
    <s v="KRISHAMOORTHY P"/>
    <x v="0"/>
    <s v="Staff"/>
    <s v="GS"/>
    <d v="1899-12-30T08:56:42"/>
    <d v="1899-12-30T20:07:13"/>
    <n v="11.18"/>
    <s v="00:03:18"/>
    <n v="0"/>
    <s v="02:37:13"/>
    <n v="2.62"/>
    <n v="2.62"/>
    <x v="1"/>
    <s v="P"/>
    <d v="2026-07-24T00:00:00"/>
    <n v="1"/>
    <n v="1"/>
    <n v="0"/>
    <n v="0"/>
    <n v="0"/>
  </r>
  <r>
    <x v="1"/>
    <n v="27"/>
    <n v="0"/>
    <n v="0"/>
    <n v="0"/>
    <s v="5, 12, 26"/>
    <x v="24"/>
    <s v="KRISHAMOORTHY P"/>
    <x v="0"/>
    <s v="Staff"/>
    <s v="GS"/>
    <d v="1899-12-30T08:58:25"/>
    <d v="1899-12-30T16:20:15"/>
    <n v="7.36"/>
    <s v="00:01:35"/>
    <n v="0"/>
    <s v="-01:09:45"/>
    <n v="0"/>
    <n v="0"/>
    <x v="1"/>
    <s v="P"/>
    <d v="2026-07-25T00:00:00"/>
    <n v="1"/>
    <n v="1"/>
    <n v="0"/>
    <n v="0"/>
    <n v="0"/>
  </r>
  <r>
    <x v="1"/>
    <n v="27"/>
    <n v="0"/>
    <n v="0"/>
    <n v="0"/>
    <s v="5, 12, 26"/>
    <x v="25"/>
    <s v="KRISHAMOORTHY P"/>
    <x v="0"/>
    <s v="Staff"/>
    <s v="NA"/>
    <d v="1899-12-30T00:00:00"/>
    <d v="1899-12-30T00:00:00"/>
    <n v="0"/>
    <s v="09:00:00"/>
    <n v="9"/>
    <s v="-17:30:00"/>
    <n v="0"/>
    <n v="9"/>
    <x v="1"/>
    <s v="A"/>
    <d v="2026-07-26T00:00:00"/>
    <n v="0"/>
    <n v="0"/>
    <n v="0"/>
    <n v="0"/>
    <n v="0"/>
  </r>
  <r>
    <x v="1"/>
    <n v="27"/>
    <n v="0"/>
    <n v="0"/>
    <n v="0"/>
    <s v="5, 12, 26"/>
    <x v="26"/>
    <s v="KRISHAMOORTHY P"/>
    <x v="0"/>
    <s v="Staff"/>
    <s v="GS"/>
    <d v="1899-12-30T08:20:46"/>
    <d v="1899-12-30T19:46:35"/>
    <n v="11.43"/>
    <s v="00:39:14"/>
    <n v="0.5"/>
    <s v="02:16:35"/>
    <n v="2.2799999999999998"/>
    <n v="2.78"/>
    <x v="1"/>
    <s v="P"/>
    <d v="2026-07-27T00:00:00"/>
    <n v="1"/>
    <n v="1"/>
    <n v="0"/>
    <n v="0"/>
    <n v="0"/>
  </r>
  <r>
    <x v="1"/>
    <n v="27"/>
    <n v="0"/>
    <n v="0"/>
    <n v="0"/>
    <s v="5, 12, 26"/>
    <x v="27"/>
    <s v="KRISHAMOORTHY P"/>
    <x v="0"/>
    <s v="Staff"/>
    <s v="GS"/>
    <d v="1899-12-30T08:50:00"/>
    <d v="1899-12-30T19:30:54"/>
    <n v="10.68"/>
    <s v="00:10:00"/>
    <n v="0"/>
    <s v="02:00:54"/>
    <n v="2.02"/>
    <n v="2.02"/>
    <x v="1"/>
    <s v="P"/>
    <d v="2026-07-28T00:00:00"/>
    <n v="1"/>
    <n v="1"/>
    <n v="0"/>
    <n v="0"/>
    <n v="0"/>
  </r>
  <r>
    <x v="1"/>
    <n v="27"/>
    <n v="0"/>
    <n v="0"/>
    <n v="0"/>
    <s v="5, 12, 26"/>
    <x v="28"/>
    <s v="KRISHAMOORTHY P"/>
    <x v="0"/>
    <s v="Staff"/>
    <s v="GS"/>
    <d v="1899-12-30T08:52:58"/>
    <d v="1899-12-30T20:19:31"/>
    <n v="11.44"/>
    <s v="00:07:02"/>
    <n v="0"/>
    <s v="02:49:31"/>
    <n v="2.83"/>
    <n v="2.83"/>
    <x v="1"/>
    <s v="P"/>
    <d v="2026-07-29T00:00:00"/>
    <n v="1"/>
    <n v="1"/>
    <n v="0"/>
    <n v="0"/>
    <n v="0"/>
  </r>
  <r>
    <x v="1"/>
    <n v="27"/>
    <n v="0"/>
    <n v="0"/>
    <n v="0"/>
    <s v="5, 12, 26"/>
    <x v="29"/>
    <s v="KRISHAMOORTHY P"/>
    <x v="0"/>
    <s v="Staff"/>
    <s v="GS"/>
    <d v="1899-12-30T08:53:24"/>
    <d v="1899-12-30T19:11:08"/>
    <n v="10.3"/>
    <s v="00:06:36"/>
    <n v="0"/>
    <s v="01:41:08"/>
    <n v="1.69"/>
    <n v="1.69"/>
    <x v="1"/>
    <s v="P"/>
    <d v="2026-07-30T00:00:00"/>
    <n v="1"/>
    <n v="1"/>
    <n v="0"/>
    <n v="0"/>
    <n v="0"/>
  </r>
  <r>
    <x v="1"/>
    <n v="27"/>
    <n v="0"/>
    <n v="0"/>
    <n v="0"/>
    <s v="5, 12, 26"/>
    <x v="30"/>
    <s v="KRISHAMOORTHY P"/>
    <x v="0"/>
    <s v="Staff"/>
    <s v="GS"/>
    <d v="1899-12-30T08:53:39"/>
    <d v="1899-12-30T19:05:58"/>
    <n v="10.210000000000001"/>
    <s v="00:06:21"/>
    <n v="0"/>
    <s v="01:35:58"/>
    <n v="1.6"/>
    <n v="1.6"/>
    <x v="1"/>
    <s v="P"/>
    <d v="2026-07-31T00:00:00"/>
    <n v="1"/>
    <n v="1"/>
    <n v="0"/>
    <n v="0"/>
    <n v="0"/>
  </r>
  <r>
    <x v="2"/>
    <n v="25.5"/>
    <n v="1.5"/>
    <n v="0"/>
    <n v="0"/>
    <s v="5, 12, 26, 31"/>
    <x v="0"/>
    <s v="PARAMESHVARAN"/>
    <x v="0"/>
    <s v="Staff"/>
    <s v="GS"/>
    <d v="1899-12-30T09:02:02"/>
    <d v="1899-12-30T17:34:24"/>
    <n v="8.5399999999999991"/>
    <s v="-00:02:02"/>
    <n v="0"/>
    <s v="00:04:24"/>
    <n v="0"/>
    <n v="0"/>
    <x v="2"/>
    <s v="P"/>
    <d v="2026-07-01T00:00:00"/>
    <n v="1"/>
    <n v="1"/>
    <n v="0"/>
    <n v="0"/>
    <n v="0"/>
  </r>
  <r>
    <x v="2"/>
    <n v="25.5"/>
    <n v="1.5"/>
    <n v="0"/>
    <n v="0"/>
    <s v="5, 12, 26, 31"/>
    <x v="1"/>
    <s v="PARAMESHVARAN"/>
    <x v="0"/>
    <s v="Staff"/>
    <s v="GS"/>
    <d v="1899-12-30T09:07:53"/>
    <d v="1899-12-30T17:33:47"/>
    <n v="8.43"/>
    <s v="-00:07:53"/>
    <n v="0"/>
    <s v="00:03:47"/>
    <n v="0"/>
    <n v="0"/>
    <x v="2"/>
    <s v="P"/>
    <d v="2026-07-02T00:00:00"/>
    <n v="1"/>
    <n v="1"/>
    <n v="0"/>
    <n v="0"/>
    <n v="0"/>
  </r>
  <r>
    <x v="2"/>
    <n v="25.5"/>
    <n v="1.5"/>
    <n v="0"/>
    <n v="0"/>
    <s v="5, 12, 26, 31"/>
    <x v="2"/>
    <s v="PARAMESHVARAN"/>
    <x v="0"/>
    <s v="Staff"/>
    <s v="GS"/>
    <d v="1899-12-30T13:33:23"/>
    <d v="1899-12-30T17:38:07"/>
    <n v="4.08"/>
    <s v="-04:33:23"/>
    <n v="0"/>
    <s v="00:08:07"/>
    <n v="0"/>
    <n v="0"/>
    <x v="2"/>
    <s v="H"/>
    <d v="2026-07-03T00:00:00"/>
    <n v="0.5"/>
    <n v="0.5"/>
    <n v="0"/>
    <n v="0"/>
    <n v="0"/>
  </r>
  <r>
    <x v="2"/>
    <n v="25.5"/>
    <n v="1.5"/>
    <n v="0"/>
    <n v="0"/>
    <s v="5, 12, 26, 31"/>
    <x v="3"/>
    <s v="PARAMESHVARAN"/>
    <x v="0"/>
    <s v="Staff"/>
    <s v="GS"/>
    <d v="1899-12-30T09:10:16"/>
    <d v="1899-12-30T17:34:48"/>
    <n v="8.41"/>
    <s v="-00:10:16"/>
    <n v="0"/>
    <s v="00:04:48"/>
    <n v="0"/>
    <n v="0"/>
    <x v="2"/>
    <s v="P"/>
    <d v="2026-07-04T00:00:00"/>
    <n v="1"/>
    <n v="1"/>
    <n v="0"/>
    <n v="0"/>
    <n v="0"/>
  </r>
  <r>
    <x v="2"/>
    <n v="25.5"/>
    <n v="1.5"/>
    <n v="0"/>
    <n v="0"/>
    <s v="5, 12, 26, 31"/>
    <x v="4"/>
    <s v="PARAMESHVARAN"/>
    <x v="0"/>
    <s v="Staff"/>
    <s v="NA"/>
    <d v="1899-12-30T00:00:00"/>
    <d v="1899-12-30T00:00:00"/>
    <n v="0"/>
    <s v="09:00:00"/>
    <n v="9"/>
    <s v="-17:30:00"/>
    <n v="0"/>
    <n v="9"/>
    <x v="2"/>
    <s v="A"/>
    <d v="2026-07-05T00:00:00"/>
    <n v="0"/>
    <n v="0"/>
    <n v="0"/>
    <n v="0"/>
    <n v="0"/>
  </r>
  <r>
    <x v="2"/>
    <n v="25.5"/>
    <n v="1.5"/>
    <n v="0"/>
    <n v="0"/>
    <s v="5, 12, 26, 31"/>
    <x v="5"/>
    <s v="PARAMESHVARAN"/>
    <x v="0"/>
    <s v="Staff"/>
    <s v="GS"/>
    <d v="1899-12-30T08:58:30"/>
    <d v="1899-12-30T17:33:18"/>
    <n v="8.58"/>
    <s v="00:01:30"/>
    <n v="0"/>
    <s v="00:03:18"/>
    <n v="0"/>
    <n v="0"/>
    <x v="2"/>
    <s v="P"/>
    <d v="2026-07-06T00:00:00"/>
    <n v="1"/>
    <n v="1"/>
    <n v="0"/>
    <n v="0"/>
    <n v="0"/>
  </r>
  <r>
    <x v="2"/>
    <n v="25.5"/>
    <n v="1.5"/>
    <n v="0"/>
    <n v="0"/>
    <s v="5, 12, 26, 31"/>
    <x v="6"/>
    <s v="PARAMESHVARAN"/>
    <x v="0"/>
    <s v="Staff"/>
    <s v="GS"/>
    <d v="1899-12-30T08:54:18"/>
    <d v="1899-12-30T17:44:05"/>
    <n v="8.83"/>
    <s v="00:05:42"/>
    <n v="0"/>
    <s v="00:14:05"/>
    <n v="0"/>
    <n v="0"/>
    <x v="2"/>
    <s v="P"/>
    <d v="2026-07-07T00:00:00"/>
    <n v="1"/>
    <n v="1"/>
    <n v="0"/>
    <n v="0"/>
    <n v="0"/>
  </r>
  <r>
    <x v="2"/>
    <n v="25.5"/>
    <n v="1.5"/>
    <n v="0"/>
    <n v="0"/>
    <s v="5, 12, 26, 31"/>
    <x v="7"/>
    <s v="PARAMESHVARAN"/>
    <x v="0"/>
    <s v="Staff"/>
    <s v="GS"/>
    <d v="1899-12-30T08:59:52"/>
    <d v="1899-12-30T17:36:24"/>
    <n v="8.61"/>
    <s v="00:00:08"/>
    <n v="0"/>
    <s v="00:06:24"/>
    <n v="0"/>
    <n v="0"/>
    <x v="2"/>
    <s v="P"/>
    <d v="2026-07-08T00:00:00"/>
    <n v="1"/>
    <n v="1"/>
    <n v="0"/>
    <n v="0"/>
    <n v="0"/>
  </r>
  <r>
    <x v="2"/>
    <n v="25.5"/>
    <n v="1.5"/>
    <n v="0"/>
    <n v="0"/>
    <s v="5, 12, 26, 31"/>
    <x v="8"/>
    <s v="PARAMESHVARAN"/>
    <x v="0"/>
    <s v="Staff"/>
    <s v="GS"/>
    <d v="1899-12-30T09:02:08"/>
    <d v="1899-12-30T17:37:31"/>
    <n v="8.59"/>
    <s v="-00:02:08"/>
    <n v="0"/>
    <s v="00:07:31"/>
    <n v="0"/>
    <n v="0"/>
    <x v="2"/>
    <s v="P"/>
    <d v="2026-07-09T00:00:00"/>
    <n v="1"/>
    <n v="1"/>
    <n v="0"/>
    <n v="0"/>
    <n v="0"/>
  </r>
  <r>
    <x v="2"/>
    <n v="25.5"/>
    <n v="1.5"/>
    <n v="0"/>
    <n v="0"/>
    <s v="5, 12, 26, 31"/>
    <x v="9"/>
    <s v="PARAMESHVARAN"/>
    <x v="0"/>
    <s v="Staff"/>
    <s v="GS"/>
    <d v="1899-12-30T09:19:35"/>
    <d v="1899-12-30T17:35:27"/>
    <n v="8.26"/>
    <s v="-00:19:35"/>
    <n v="0"/>
    <s v="00:05:27"/>
    <n v="0"/>
    <n v="0"/>
    <x v="2"/>
    <s v="P"/>
    <d v="2026-07-10T00:00:00"/>
    <n v="1"/>
    <n v="1"/>
    <n v="0"/>
    <n v="0"/>
    <n v="0"/>
  </r>
  <r>
    <x v="2"/>
    <n v="25.5"/>
    <n v="1.5"/>
    <n v="0"/>
    <n v="0"/>
    <s v="5, 12, 26, 31"/>
    <x v="10"/>
    <s v="PARAMESHVARAN"/>
    <x v="0"/>
    <s v="Staff"/>
    <s v="GS"/>
    <d v="1899-12-30T09:04:33"/>
    <d v="1899-12-30T17:39:21"/>
    <n v="8.58"/>
    <s v="-00:04:33"/>
    <n v="0"/>
    <s v="00:09:21"/>
    <n v="0"/>
    <n v="0"/>
    <x v="2"/>
    <s v="P"/>
    <d v="2026-07-11T00:00:00"/>
    <n v="1"/>
    <n v="1"/>
    <n v="0"/>
    <n v="0"/>
    <n v="0"/>
  </r>
  <r>
    <x v="2"/>
    <n v="25.5"/>
    <n v="1.5"/>
    <n v="0"/>
    <n v="0"/>
    <s v="5, 12, 26, 31"/>
    <x v="11"/>
    <s v="PARAMESHVARAN"/>
    <x v="0"/>
    <s v="Staff"/>
    <s v="NA"/>
    <d v="1899-12-30T00:00:00"/>
    <d v="1899-12-30T00:00:00"/>
    <n v="0"/>
    <s v="09:00:00"/>
    <n v="9"/>
    <s v="-17:30:00"/>
    <n v="0"/>
    <n v="9"/>
    <x v="2"/>
    <s v="A"/>
    <d v="2026-07-12T00:00:00"/>
    <n v="0"/>
    <n v="0"/>
    <n v="0"/>
    <n v="0"/>
    <n v="0"/>
  </r>
  <r>
    <x v="2"/>
    <n v="25.5"/>
    <n v="1.5"/>
    <n v="0"/>
    <n v="0"/>
    <s v="5, 12, 26, 31"/>
    <x v="12"/>
    <s v="PARAMESHVARAN"/>
    <x v="0"/>
    <s v="Staff"/>
    <s v="GS"/>
    <d v="1899-12-30T08:56:00"/>
    <d v="1899-12-30T17:29:11"/>
    <n v="8.5500000000000007"/>
    <s v="00:04:00"/>
    <n v="0"/>
    <s v="-00:00:49"/>
    <n v="0"/>
    <n v="0"/>
    <x v="2"/>
    <s v="P"/>
    <d v="2026-07-13T00:00:00"/>
    <n v="1"/>
    <n v="1"/>
    <n v="0"/>
    <n v="0"/>
    <n v="0"/>
  </r>
  <r>
    <x v="2"/>
    <n v="25.5"/>
    <n v="1.5"/>
    <n v="0"/>
    <n v="0"/>
    <s v="5, 12, 26, 31"/>
    <x v="13"/>
    <s v="PARAMESHVARAN"/>
    <x v="0"/>
    <s v="Staff"/>
    <s v="GS"/>
    <d v="1899-12-30T09:01:30"/>
    <d v="1899-12-30T17:37:07"/>
    <n v="8.59"/>
    <s v="-00:01:30"/>
    <n v="0"/>
    <s v="00:07:07"/>
    <n v="0"/>
    <n v="0"/>
    <x v="2"/>
    <s v="P"/>
    <d v="2026-07-14T00:00:00"/>
    <n v="1"/>
    <n v="1"/>
    <n v="0"/>
    <n v="0"/>
    <n v="0"/>
  </r>
  <r>
    <x v="2"/>
    <n v="25.5"/>
    <n v="1.5"/>
    <n v="0"/>
    <n v="0"/>
    <s v="5, 12, 26, 31"/>
    <x v="14"/>
    <s v="PARAMESHVARAN"/>
    <x v="0"/>
    <s v="Staff"/>
    <s v="GS"/>
    <d v="1899-12-30T09:00:52"/>
    <d v="1899-12-30T17:30:00"/>
    <n v="8.49"/>
    <s v="-00:00:52"/>
    <n v="0"/>
    <s v="00:00:00"/>
    <n v="0"/>
    <n v="0"/>
    <x v="2"/>
    <s v="P"/>
    <d v="2026-07-15T00:00:00"/>
    <n v="1"/>
    <n v="1"/>
    <n v="0"/>
    <n v="0"/>
    <n v="0"/>
  </r>
  <r>
    <x v="2"/>
    <n v="25.5"/>
    <n v="1.5"/>
    <n v="0"/>
    <n v="0"/>
    <s v="5, 12, 26, 31"/>
    <x v="15"/>
    <s v="PARAMESHVARAN"/>
    <x v="0"/>
    <s v="Staff"/>
    <s v="GS"/>
    <d v="1899-12-30T09:02:50"/>
    <d v="1899-12-30T17:35:08"/>
    <n v="8.5399999999999991"/>
    <s v="-00:02:50"/>
    <n v="0"/>
    <s v="00:05:08"/>
    <n v="0"/>
    <n v="0"/>
    <x v="2"/>
    <s v="P"/>
    <d v="2026-07-16T00:00:00"/>
    <n v="1"/>
    <n v="1"/>
    <n v="0"/>
    <n v="0"/>
    <n v="0"/>
  </r>
  <r>
    <x v="2"/>
    <n v="25.5"/>
    <n v="1.5"/>
    <n v="0"/>
    <n v="0"/>
    <s v="5, 12, 26, 31"/>
    <x v="16"/>
    <s v="PARAMESHVARAN"/>
    <x v="0"/>
    <s v="Staff"/>
    <s v="GS"/>
    <d v="1899-12-30T09:04:05"/>
    <d v="1899-12-30T17:42:43"/>
    <n v="8.64"/>
    <s v="-00:04:05"/>
    <n v="0"/>
    <s v="00:12:43"/>
    <n v="0"/>
    <n v="0"/>
    <x v="2"/>
    <s v="P"/>
    <d v="2026-07-17T00:00:00"/>
    <n v="1"/>
    <n v="1"/>
    <n v="0"/>
    <n v="0"/>
    <n v="0"/>
  </r>
  <r>
    <x v="2"/>
    <n v="25.5"/>
    <n v="1.5"/>
    <n v="0"/>
    <n v="0"/>
    <s v="5, 12, 26, 31"/>
    <x v="17"/>
    <s v="PARAMESHVARAN"/>
    <x v="0"/>
    <s v="Staff"/>
    <s v="GS"/>
    <d v="1899-12-30T08:56:57"/>
    <d v="1899-12-30T17:35:10"/>
    <n v="8.64"/>
    <s v="00:03:03"/>
    <n v="0"/>
    <s v="00:05:10"/>
    <n v="0"/>
    <n v="0"/>
    <x v="2"/>
    <s v="P"/>
    <d v="2026-07-18T00:00:00"/>
    <n v="1"/>
    <n v="1"/>
    <n v="0"/>
    <n v="0"/>
    <n v="0"/>
  </r>
  <r>
    <x v="2"/>
    <n v="25.5"/>
    <n v="1.5"/>
    <n v="0"/>
    <n v="0"/>
    <s v="5, 12, 26, 31"/>
    <x v="18"/>
    <s v="PARAMESHVARAN"/>
    <x v="0"/>
    <s v="Staff"/>
    <s v="GS"/>
    <d v="1899-12-30T09:16:19"/>
    <d v="1899-12-30T16:27:29"/>
    <n v="7.19"/>
    <s v="-00:16:19"/>
    <n v="0"/>
    <s v="-01:02:31"/>
    <n v="0"/>
    <n v="0"/>
    <x v="2"/>
    <s v="P"/>
    <d v="2026-07-19T00:00:00"/>
    <n v="1"/>
    <n v="0"/>
    <n v="1"/>
    <n v="0"/>
    <n v="0"/>
  </r>
  <r>
    <x v="2"/>
    <n v="25.5"/>
    <n v="1.5"/>
    <n v="0"/>
    <n v="0"/>
    <s v="5, 12, 26, 31"/>
    <x v="19"/>
    <s v="PARAMESHVARAN"/>
    <x v="0"/>
    <s v="Staff"/>
    <s v="GS"/>
    <d v="1899-12-30T08:59:37"/>
    <d v="1899-12-30T17:38:37"/>
    <n v="8.65"/>
    <s v="00:00:23"/>
    <n v="0"/>
    <s v="00:08:37"/>
    <n v="0"/>
    <n v="0"/>
    <x v="2"/>
    <s v="P"/>
    <d v="2026-07-20T00:00:00"/>
    <n v="1"/>
    <n v="1"/>
    <n v="0"/>
    <n v="0"/>
    <n v="0"/>
  </r>
  <r>
    <x v="2"/>
    <n v="25.5"/>
    <n v="1.5"/>
    <n v="0"/>
    <n v="0"/>
    <s v="5, 12, 26, 31"/>
    <x v="20"/>
    <s v="PARAMESHVARAN"/>
    <x v="0"/>
    <s v="Staff"/>
    <s v="GS"/>
    <d v="1899-12-30T08:54:31"/>
    <d v="1899-12-30T17:32:47"/>
    <n v="8.64"/>
    <s v="00:05:29"/>
    <n v="0"/>
    <s v="00:02:47"/>
    <n v="0"/>
    <n v="0"/>
    <x v="2"/>
    <s v="P"/>
    <d v="2026-07-21T00:00:00"/>
    <n v="1"/>
    <n v="1"/>
    <n v="0"/>
    <n v="0"/>
    <n v="0"/>
  </r>
  <r>
    <x v="2"/>
    <n v="25.5"/>
    <n v="1.5"/>
    <n v="0"/>
    <n v="0"/>
    <s v="5, 12, 26, 31"/>
    <x v="21"/>
    <s v="PARAMESHVARAN"/>
    <x v="0"/>
    <s v="Staff"/>
    <s v="GS"/>
    <d v="1899-12-30T09:01:28"/>
    <d v="1899-12-30T17:35:03"/>
    <n v="8.56"/>
    <s v="-00:01:28"/>
    <n v="0"/>
    <s v="00:05:03"/>
    <n v="0"/>
    <n v="0"/>
    <x v="2"/>
    <s v="P"/>
    <d v="2026-07-22T00:00:00"/>
    <n v="1"/>
    <n v="1"/>
    <n v="0"/>
    <n v="0"/>
    <n v="0"/>
  </r>
  <r>
    <x v="2"/>
    <n v="25.5"/>
    <n v="1.5"/>
    <n v="0"/>
    <n v="0"/>
    <s v="5, 12, 26, 31"/>
    <x v="22"/>
    <s v="PARAMESHVARAN"/>
    <x v="0"/>
    <s v="Staff"/>
    <s v="GS"/>
    <d v="1899-12-30T08:53:19"/>
    <d v="1899-12-30T17:30:00"/>
    <n v="8.61"/>
    <s v="00:06:41"/>
    <n v="0"/>
    <s v="00:00:00"/>
    <n v="0"/>
    <n v="0"/>
    <x v="2"/>
    <s v="P"/>
    <d v="2026-07-23T00:00:00"/>
    <n v="1"/>
    <n v="1"/>
    <n v="0"/>
    <n v="0"/>
    <n v="0"/>
  </r>
  <r>
    <x v="2"/>
    <n v="25.5"/>
    <n v="1.5"/>
    <n v="0"/>
    <n v="0"/>
    <s v="5, 12, 26, 31"/>
    <x v="23"/>
    <s v="PARAMESHVARAN"/>
    <x v="0"/>
    <s v="Staff"/>
    <s v="GS"/>
    <d v="1899-12-30T08:58:21"/>
    <d v="1899-12-30T17:21:00"/>
    <n v="8.3800000000000008"/>
    <s v="00:01:39"/>
    <n v="0"/>
    <s v="-00:09:00"/>
    <n v="0"/>
    <n v="0"/>
    <x v="2"/>
    <s v="P"/>
    <d v="2026-07-24T00:00:00"/>
    <n v="1"/>
    <n v="1"/>
    <n v="0"/>
    <n v="0"/>
    <n v="0"/>
  </r>
  <r>
    <x v="2"/>
    <n v="25.5"/>
    <n v="1.5"/>
    <n v="0"/>
    <n v="0"/>
    <s v="5, 12, 26, 31"/>
    <x v="24"/>
    <s v="PARAMESHVARAN"/>
    <x v="0"/>
    <s v="Staff"/>
    <s v="GS"/>
    <d v="1899-12-30T09:08:22"/>
    <d v="1899-12-30T17:29:20"/>
    <n v="8.35"/>
    <s v="-00:08:22"/>
    <n v="0"/>
    <s v="-00:00:40"/>
    <n v="0"/>
    <n v="0"/>
    <x v="2"/>
    <s v="P"/>
    <d v="2026-07-25T00:00:00"/>
    <n v="1"/>
    <n v="1"/>
    <n v="0"/>
    <n v="0"/>
    <n v="0"/>
  </r>
  <r>
    <x v="2"/>
    <n v="25.5"/>
    <n v="1.5"/>
    <n v="0"/>
    <n v="0"/>
    <s v="5, 12, 26, 31"/>
    <x v="25"/>
    <s v="PARAMESHVARAN"/>
    <x v="0"/>
    <s v="Staff"/>
    <s v="NA"/>
    <d v="1899-12-30T00:00:00"/>
    <d v="1899-12-30T00:00:00"/>
    <n v="0"/>
    <s v="09:00:00"/>
    <n v="9"/>
    <s v="-17:30:00"/>
    <n v="0"/>
    <n v="9"/>
    <x v="2"/>
    <s v="A"/>
    <d v="2026-07-26T00:00:00"/>
    <n v="0"/>
    <n v="0"/>
    <n v="0"/>
    <n v="0"/>
    <n v="0"/>
  </r>
  <r>
    <x v="2"/>
    <n v="25.5"/>
    <n v="1.5"/>
    <n v="0"/>
    <n v="0"/>
    <s v="5, 12, 26, 31"/>
    <x v="26"/>
    <s v="PARAMESHVARAN"/>
    <x v="0"/>
    <s v="Staff"/>
    <s v="GS"/>
    <d v="1899-12-30T10:38:32"/>
    <d v="1899-12-30T17:37:22"/>
    <n v="6.98"/>
    <s v="-01:38:32"/>
    <n v="0"/>
    <s v="00:07:22"/>
    <n v="0"/>
    <n v="0"/>
    <x v="2"/>
    <s v="P"/>
    <d v="2026-07-27T00:00:00"/>
    <n v="1"/>
    <n v="1"/>
    <n v="0"/>
    <n v="0"/>
    <n v="0"/>
  </r>
  <r>
    <x v="2"/>
    <n v="25.5"/>
    <n v="1.5"/>
    <n v="0"/>
    <n v="0"/>
    <s v="5, 12, 26, 31"/>
    <x v="27"/>
    <s v="PARAMESHVARAN"/>
    <x v="0"/>
    <s v="Staff"/>
    <s v="GS"/>
    <d v="1899-12-30T08:59:16"/>
    <d v="1899-12-30T20:14:49"/>
    <n v="11.26"/>
    <s v="00:00:44"/>
    <n v="0"/>
    <s v="02:44:49"/>
    <n v="2.75"/>
    <n v="2.75"/>
    <x v="2"/>
    <s v="P"/>
    <d v="2026-07-28T00:00:00"/>
    <n v="1"/>
    <n v="1"/>
    <n v="0"/>
    <n v="0"/>
    <n v="0"/>
  </r>
  <r>
    <x v="2"/>
    <n v="25.5"/>
    <n v="1.5"/>
    <n v="0"/>
    <n v="0"/>
    <s v="5, 12, 26, 31"/>
    <x v="28"/>
    <s v="PARAMESHVARAN"/>
    <x v="0"/>
    <s v="Staff"/>
    <s v="GS"/>
    <d v="1899-12-30T09:01:27"/>
    <d v="1899-12-30T17:34:09"/>
    <n v="8.5399999999999991"/>
    <s v="-00:01:27"/>
    <n v="0"/>
    <s v="00:04:09"/>
    <n v="0"/>
    <n v="0"/>
    <x v="2"/>
    <s v="P"/>
    <d v="2026-07-29T00:00:00"/>
    <n v="1"/>
    <n v="1"/>
    <n v="0"/>
    <n v="0"/>
    <n v="0"/>
  </r>
  <r>
    <x v="2"/>
    <n v="25.5"/>
    <n v="1.5"/>
    <n v="0"/>
    <n v="0"/>
    <s v="5, 12, 26, 31"/>
    <x v="29"/>
    <s v="PARAMESHVARAN"/>
    <x v="0"/>
    <s v="Staff"/>
    <s v="GS"/>
    <d v="1899-12-30T09:05:39"/>
    <d v="1899-12-30T17:37:46"/>
    <n v="8.5399999999999991"/>
    <s v="-00:05:39"/>
    <n v="0"/>
    <s v="00:07:46"/>
    <n v="0"/>
    <n v="0"/>
    <x v="2"/>
    <s v="P"/>
    <d v="2026-07-30T00:00:00"/>
    <n v="1"/>
    <n v="1"/>
    <n v="0"/>
    <n v="0"/>
    <n v="0"/>
  </r>
  <r>
    <x v="2"/>
    <n v="25.5"/>
    <n v="1.5"/>
    <n v="0"/>
    <n v="0"/>
    <s v="5, 12, 26, 31"/>
    <x v="30"/>
    <s v="PARAMESHVARAN"/>
    <x v="0"/>
    <s v="Staff"/>
    <s v="GS"/>
    <d v="1899-12-30T11:00:45"/>
    <d v="1899-12-30T11:10:00"/>
    <n v="0.15"/>
    <s v="-02:00:45"/>
    <n v="0"/>
    <s v="-06:20:00"/>
    <n v="0"/>
    <n v="0"/>
    <x v="2"/>
    <s v="A"/>
    <d v="2026-07-31T00:00:00"/>
    <n v="0"/>
    <n v="0"/>
    <n v="0"/>
    <n v="0"/>
    <n v="0"/>
  </r>
  <r>
    <x v="3"/>
    <n v="21.5"/>
    <n v="5.5"/>
    <n v="0"/>
    <n v="0"/>
    <s v="5, 12, 13, 14, 19, 20, 26, 28, 29"/>
    <x v="0"/>
    <s v="VIJAY KUMAR (SAMPLE)"/>
    <x v="0"/>
    <s v="None"/>
    <s v="GS"/>
    <d v="1899-12-30T09:16:13"/>
    <d v="1899-12-30T17:33:11"/>
    <n v="8.2799999999999994"/>
    <s v="-00:16:13"/>
    <n v="0"/>
    <s v="00:03:11"/>
    <n v="0"/>
    <n v="0"/>
    <x v="3"/>
    <s v="P"/>
    <d v="2026-07-01T00:00:00"/>
    <n v="1"/>
    <n v="1"/>
    <n v="0"/>
    <n v="0"/>
    <n v="0"/>
  </r>
  <r>
    <x v="3"/>
    <n v="21.5"/>
    <n v="5.5"/>
    <n v="0"/>
    <n v="0"/>
    <s v="5, 12, 13, 14, 19, 20, 26, 28, 29"/>
    <x v="1"/>
    <s v="VIJAY KUMAR (SAMPLE)"/>
    <x v="0"/>
    <s v="None"/>
    <s v="GS"/>
    <d v="1899-12-30T14:06:21"/>
    <d v="1899-12-30T17:47:50"/>
    <n v="3.69"/>
    <s v="-05:06:21"/>
    <n v="0"/>
    <s v="00:17:50"/>
    <n v="0"/>
    <n v="0"/>
    <x v="3"/>
    <s v="H"/>
    <d v="2026-07-02T00:00:00"/>
    <n v="0.5"/>
    <n v="0.5"/>
    <n v="0"/>
    <n v="0"/>
    <n v="0"/>
  </r>
  <r>
    <x v="3"/>
    <n v="21.5"/>
    <n v="5.5"/>
    <n v="0"/>
    <n v="0"/>
    <s v="5, 12, 13, 14, 19, 20, 26, 28, 29"/>
    <x v="2"/>
    <s v="VIJAY KUMAR (SAMPLE)"/>
    <x v="0"/>
    <s v="None"/>
    <s v="GS"/>
    <d v="1899-12-30T08:41:58"/>
    <d v="1899-12-30T17:29:36"/>
    <n v="8.7899999999999991"/>
    <s v="00:18:02"/>
    <n v="0"/>
    <s v="-00:00:24"/>
    <n v="0"/>
    <n v="0"/>
    <x v="3"/>
    <s v="P"/>
    <d v="2026-07-03T00:00:00"/>
    <n v="1"/>
    <n v="1"/>
    <n v="0"/>
    <n v="0"/>
    <n v="0"/>
  </r>
  <r>
    <x v="3"/>
    <n v="21.5"/>
    <n v="5.5"/>
    <n v="0"/>
    <n v="0"/>
    <s v="5, 12, 13, 14, 19, 20, 26, 28, 29"/>
    <x v="3"/>
    <s v="VIJAY KUMAR (SAMPLE)"/>
    <x v="0"/>
    <s v="None"/>
    <s v="GS"/>
    <d v="1899-12-30T08:55:25"/>
    <d v="1899-12-30T17:37:39"/>
    <n v="8.6999999999999993"/>
    <s v="00:04:35"/>
    <n v="0"/>
    <s v="00:07:39"/>
    <n v="0"/>
    <n v="0"/>
    <x v="3"/>
    <s v="P"/>
    <d v="2026-07-04T00:00:00"/>
    <n v="1"/>
    <n v="1"/>
    <n v="0"/>
    <n v="0"/>
    <n v="0"/>
  </r>
  <r>
    <x v="3"/>
    <n v="21.5"/>
    <n v="5.5"/>
    <n v="0"/>
    <n v="0"/>
    <s v="5, 12, 13, 14, 19, 20, 26, 28, 29"/>
    <x v="4"/>
    <s v="VIJAY KUMAR (SAMPLE)"/>
    <x v="0"/>
    <s v="None"/>
    <s v="NA"/>
    <d v="1899-12-30T00:00:00"/>
    <d v="1899-12-30T00:00:00"/>
    <n v="0"/>
    <s v="09:00:00"/>
    <n v="9"/>
    <s v="-17:30:00"/>
    <n v="0"/>
    <n v="9"/>
    <x v="3"/>
    <s v="A"/>
    <d v="2026-07-05T00:00:00"/>
    <n v="0"/>
    <n v="0"/>
    <n v="0"/>
    <n v="0"/>
    <n v="0"/>
  </r>
  <r>
    <x v="3"/>
    <n v="21.5"/>
    <n v="5.5"/>
    <n v="0"/>
    <n v="0"/>
    <s v="5, 12, 13, 14, 19, 20, 26, 28, 29"/>
    <x v="5"/>
    <s v="VIJAY KUMAR (SAMPLE)"/>
    <x v="0"/>
    <s v="None"/>
    <s v="GS"/>
    <d v="1899-12-30T08:48:50"/>
    <d v="1899-12-30T17:35:00"/>
    <n v="8.77"/>
    <s v="00:11:10"/>
    <n v="0"/>
    <s v="00:05:00"/>
    <n v="0"/>
    <n v="0"/>
    <x v="3"/>
    <s v="P"/>
    <d v="2026-07-06T00:00:00"/>
    <n v="1"/>
    <n v="1"/>
    <n v="0"/>
    <n v="0"/>
    <n v="0"/>
  </r>
  <r>
    <x v="3"/>
    <n v="21.5"/>
    <n v="5.5"/>
    <n v="0"/>
    <n v="0"/>
    <s v="5, 12, 13, 14, 19, 20, 26, 28, 29"/>
    <x v="6"/>
    <s v="VIJAY KUMAR (SAMPLE)"/>
    <x v="0"/>
    <s v="None"/>
    <s v="GS"/>
    <d v="1899-12-30T08:51:38"/>
    <d v="1899-12-30T17:30:05"/>
    <n v="8.64"/>
    <s v="00:08:22"/>
    <n v="0"/>
    <s v="00:00:05"/>
    <n v="0"/>
    <n v="0"/>
    <x v="3"/>
    <s v="P"/>
    <d v="2026-07-07T00:00:00"/>
    <n v="1"/>
    <n v="1"/>
    <n v="0"/>
    <n v="0"/>
    <n v="0"/>
  </r>
  <r>
    <x v="3"/>
    <n v="21.5"/>
    <n v="5.5"/>
    <n v="0"/>
    <n v="0"/>
    <s v="5, 12, 13, 14, 19, 20, 26, 28, 29"/>
    <x v="7"/>
    <s v="VIJAY KUMAR (SAMPLE)"/>
    <x v="0"/>
    <s v="None"/>
    <s v="GS"/>
    <d v="1899-12-30T08:51:35"/>
    <d v="1899-12-30T17:37:18"/>
    <n v="8.76"/>
    <s v="00:08:25"/>
    <n v="0"/>
    <s v="00:07:18"/>
    <n v="0"/>
    <n v="0"/>
    <x v="3"/>
    <s v="P"/>
    <d v="2026-07-08T00:00:00"/>
    <n v="1"/>
    <n v="1"/>
    <n v="0"/>
    <n v="0"/>
    <n v="0"/>
  </r>
  <r>
    <x v="3"/>
    <n v="21.5"/>
    <n v="5.5"/>
    <n v="0"/>
    <n v="0"/>
    <s v="5, 12, 13, 14, 19, 20, 26, 28, 29"/>
    <x v="8"/>
    <s v="VIJAY KUMAR (SAMPLE)"/>
    <x v="0"/>
    <s v="None"/>
    <s v="GS"/>
    <d v="1899-12-30T08:48:58"/>
    <d v="1899-12-30T17:34:28"/>
    <n v="8.76"/>
    <s v="00:11:02"/>
    <n v="0"/>
    <s v="00:04:28"/>
    <n v="0"/>
    <n v="0"/>
    <x v="3"/>
    <s v="P"/>
    <d v="2026-07-09T00:00:00"/>
    <n v="1"/>
    <n v="1"/>
    <n v="0"/>
    <n v="0"/>
    <n v="0"/>
  </r>
  <r>
    <x v="3"/>
    <n v="21.5"/>
    <n v="5.5"/>
    <n v="0"/>
    <n v="0"/>
    <s v="5, 12, 13, 14, 19, 20, 26, 28, 29"/>
    <x v="9"/>
    <s v="VIJAY KUMAR (SAMPLE)"/>
    <x v="0"/>
    <s v="None"/>
    <s v="GS"/>
    <d v="1899-12-30T08:50:08"/>
    <d v="1899-12-30T17:35:51"/>
    <n v="8.76"/>
    <s v="00:09:52"/>
    <n v="0"/>
    <s v="00:05:51"/>
    <n v="0"/>
    <n v="0"/>
    <x v="3"/>
    <s v="P"/>
    <d v="2026-07-10T00:00:00"/>
    <n v="1"/>
    <n v="1"/>
    <n v="0"/>
    <n v="0"/>
    <n v="0"/>
  </r>
  <r>
    <x v="3"/>
    <n v="21.5"/>
    <n v="5.5"/>
    <n v="0"/>
    <n v="0"/>
    <s v="5, 12, 13, 14, 19, 20, 26, 28, 29"/>
    <x v="10"/>
    <s v="VIJAY KUMAR (SAMPLE)"/>
    <x v="0"/>
    <s v="None"/>
    <s v="GS"/>
    <d v="1899-12-30T09:01:39"/>
    <d v="1899-12-30T17:33:17"/>
    <n v="8.5299999999999994"/>
    <s v="-00:01:39"/>
    <n v="0"/>
    <s v="00:03:17"/>
    <n v="0"/>
    <n v="0"/>
    <x v="3"/>
    <s v="P"/>
    <d v="2026-07-11T00:00:00"/>
    <n v="1"/>
    <n v="1"/>
    <n v="0"/>
    <n v="0"/>
    <n v="0"/>
  </r>
  <r>
    <x v="3"/>
    <n v="21.5"/>
    <n v="5.5"/>
    <n v="0"/>
    <n v="0"/>
    <s v="5, 12, 13, 14, 19, 20, 26, 28, 29"/>
    <x v="11"/>
    <s v="VIJAY KUMAR (SAMPLE)"/>
    <x v="0"/>
    <s v="None"/>
    <s v="NA"/>
    <d v="1899-12-30T00:00:00"/>
    <d v="1899-12-30T00:00:00"/>
    <n v="0"/>
    <s v="09:00:00"/>
    <n v="9"/>
    <s v="-17:30:00"/>
    <n v="0"/>
    <n v="9"/>
    <x v="3"/>
    <s v="A"/>
    <d v="2026-07-12T00:00:00"/>
    <n v="0"/>
    <n v="0"/>
    <n v="0"/>
    <n v="0"/>
    <n v="0"/>
  </r>
  <r>
    <x v="3"/>
    <n v="21.5"/>
    <n v="5.5"/>
    <n v="0"/>
    <n v="0"/>
    <s v="5, 12, 13, 14, 19, 20, 26, 28, 29"/>
    <x v="12"/>
    <s v="VIJAY KUMAR (SAMPLE)"/>
    <x v="0"/>
    <s v="None"/>
    <s v="NA"/>
    <d v="1899-12-30T00:00:00"/>
    <d v="1899-12-30T00:00:00"/>
    <n v="0"/>
    <s v="09:00:00"/>
    <n v="9"/>
    <s v="-17:30:00"/>
    <n v="0"/>
    <n v="9"/>
    <x v="3"/>
    <s v="A"/>
    <d v="2026-07-13T00:00:00"/>
    <n v="0"/>
    <n v="0"/>
    <n v="0"/>
    <n v="0"/>
    <n v="0"/>
  </r>
  <r>
    <x v="3"/>
    <n v="21.5"/>
    <n v="5.5"/>
    <n v="0"/>
    <n v="0"/>
    <s v="5, 12, 13, 14, 19, 20, 26, 28, 29"/>
    <x v="13"/>
    <s v="VIJAY KUMAR (SAMPLE)"/>
    <x v="0"/>
    <s v="None"/>
    <s v="NA"/>
    <d v="1899-12-30T00:00:00"/>
    <d v="1899-12-30T00:00:00"/>
    <n v="0"/>
    <s v="09:00:00"/>
    <n v="9"/>
    <s v="-17:30:00"/>
    <n v="0"/>
    <n v="9"/>
    <x v="3"/>
    <s v="A"/>
    <d v="2026-07-14T00:00:00"/>
    <n v="0"/>
    <n v="0"/>
    <n v="0"/>
    <n v="0"/>
    <n v="0"/>
  </r>
  <r>
    <x v="3"/>
    <n v="21.5"/>
    <n v="5.5"/>
    <n v="0"/>
    <n v="0"/>
    <s v="5, 12, 13, 14, 19, 20, 26, 28, 29"/>
    <x v="14"/>
    <s v="VIJAY KUMAR (SAMPLE)"/>
    <x v="0"/>
    <s v="None"/>
    <s v="GS"/>
    <d v="1899-12-30T08:40:13"/>
    <d v="1899-12-30T17:29:41"/>
    <n v="8.82"/>
    <s v="00:19:47"/>
    <n v="0"/>
    <s v="-00:00:19"/>
    <n v="0"/>
    <n v="0"/>
    <x v="3"/>
    <s v="P"/>
    <d v="2026-07-15T00:00:00"/>
    <n v="1"/>
    <n v="1"/>
    <n v="0"/>
    <n v="0"/>
    <n v="0"/>
  </r>
  <r>
    <x v="3"/>
    <n v="21.5"/>
    <n v="5.5"/>
    <n v="0"/>
    <n v="0"/>
    <s v="5, 12, 13, 14, 19, 20, 26, 28, 29"/>
    <x v="15"/>
    <s v="VIJAY KUMAR (SAMPLE)"/>
    <x v="0"/>
    <s v="None"/>
    <s v="GS"/>
    <d v="1899-12-30T08:51:06"/>
    <d v="1899-12-30T17:31:56"/>
    <n v="8.68"/>
    <s v="00:08:54"/>
    <n v="0"/>
    <s v="00:01:56"/>
    <n v="0"/>
    <n v="0"/>
    <x v="3"/>
    <s v="P"/>
    <d v="2026-07-16T00:00:00"/>
    <n v="1"/>
    <n v="1"/>
    <n v="0"/>
    <n v="0"/>
    <n v="0"/>
  </r>
  <r>
    <x v="3"/>
    <n v="21.5"/>
    <n v="5.5"/>
    <n v="0"/>
    <n v="0"/>
    <s v="5, 12, 13, 14, 19, 20, 26, 28, 29"/>
    <x v="16"/>
    <s v="VIJAY KUMAR (SAMPLE)"/>
    <x v="0"/>
    <s v="None"/>
    <s v="GS"/>
    <d v="1899-12-30T08:51:33"/>
    <d v="1899-12-30T17:29:28"/>
    <n v="8.6300000000000008"/>
    <s v="00:08:27"/>
    <n v="0"/>
    <s v="-00:00:32"/>
    <n v="0"/>
    <n v="0"/>
    <x v="3"/>
    <s v="P"/>
    <d v="2026-07-17T00:00:00"/>
    <n v="1"/>
    <n v="1"/>
    <n v="0"/>
    <n v="0"/>
    <n v="0"/>
  </r>
  <r>
    <x v="3"/>
    <n v="21.5"/>
    <n v="5.5"/>
    <n v="0"/>
    <n v="0"/>
    <s v="5, 12, 13, 14, 19, 20, 26, 28, 29"/>
    <x v="17"/>
    <s v="VIJAY KUMAR (SAMPLE)"/>
    <x v="0"/>
    <s v="None"/>
    <s v="GS"/>
    <d v="1899-12-30T08:51:11"/>
    <d v="1899-12-30T17:32:39"/>
    <n v="8.69"/>
    <s v="00:08:49"/>
    <n v="0"/>
    <s v="00:02:39"/>
    <n v="0"/>
    <n v="0"/>
    <x v="3"/>
    <s v="P"/>
    <d v="2026-07-18T00:00:00"/>
    <n v="1"/>
    <n v="1"/>
    <n v="0"/>
    <n v="0"/>
    <n v="0"/>
  </r>
  <r>
    <x v="3"/>
    <n v="21.5"/>
    <n v="5.5"/>
    <n v="0"/>
    <n v="0"/>
    <s v="5, 12, 13, 14, 19, 20, 26, 28, 29"/>
    <x v="18"/>
    <s v="VIJAY KUMAR (SAMPLE)"/>
    <x v="0"/>
    <s v="None"/>
    <s v="NA"/>
    <d v="1899-12-30T00:00:00"/>
    <d v="1899-12-30T00:00:00"/>
    <n v="0"/>
    <s v="09:00:00"/>
    <n v="9"/>
    <s v="-17:30:00"/>
    <n v="0"/>
    <n v="9"/>
    <x v="3"/>
    <s v="A"/>
    <d v="2026-07-19T00:00:00"/>
    <n v="0"/>
    <n v="0"/>
    <n v="0"/>
    <n v="0"/>
    <n v="0"/>
  </r>
  <r>
    <x v="3"/>
    <n v="21.5"/>
    <n v="5.5"/>
    <n v="0"/>
    <n v="0"/>
    <s v="5, 12, 13, 14, 19, 20, 26, 28, 29"/>
    <x v="19"/>
    <s v="VIJAY KUMAR (SAMPLE)"/>
    <x v="0"/>
    <s v="None"/>
    <s v="NA"/>
    <d v="1899-12-30T00:00:00"/>
    <d v="1899-12-30T00:00:00"/>
    <n v="0"/>
    <s v="09:00:00"/>
    <n v="9"/>
    <s v="-17:30:00"/>
    <n v="0"/>
    <n v="9"/>
    <x v="3"/>
    <s v="A"/>
    <d v="2026-07-20T00:00:00"/>
    <n v="0"/>
    <n v="0"/>
    <n v="0"/>
    <n v="0"/>
    <n v="0"/>
  </r>
  <r>
    <x v="3"/>
    <n v="21.5"/>
    <n v="5.5"/>
    <n v="0"/>
    <n v="0"/>
    <s v="5, 12, 13, 14, 19, 20, 26, 28, 29"/>
    <x v="20"/>
    <s v="VIJAY KUMAR (SAMPLE)"/>
    <x v="0"/>
    <s v="None"/>
    <s v="GS"/>
    <d v="1899-12-30T08:44:26"/>
    <d v="1899-12-30T17:29:43"/>
    <n v="8.75"/>
    <s v="00:15:34"/>
    <n v="0"/>
    <s v="-00:00:17"/>
    <n v="0"/>
    <n v="0"/>
    <x v="3"/>
    <s v="P"/>
    <d v="2026-07-21T00:00:00"/>
    <n v="1"/>
    <n v="1"/>
    <n v="0"/>
    <n v="0"/>
    <n v="0"/>
  </r>
  <r>
    <x v="3"/>
    <n v="21.5"/>
    <n v="5.5"/>
    <n v="0"/>
    <n v="0"/>
    <s v="5, 12, 13, 14, 19, 20, 26, 28, 29"/>
    <x v="21"/>
    <s v="VIJAY KUMAR (SAMPLE)"/>
    <x v="0"/>
    <s v="None"/>
    <s v="GS"/>
    <d v="1899-12-30T08:51:04"/>
    <d v="1899-12-30T17:28:35"/>
    <n v="8.6300000000000008"/>
    <s v="00:08:56"/>
    <n v="0"/>
    <s v="-00:01:25"/>
    <n v="0"/>
    <n v="0"/>
    <x v="3"/>
    <s v="P"/>
    <d v="2026-07-22T00:00:00"/>
    <n v="1"/>
    <n v="1"/>
    <n v="0"/>
    <n v="0"/>
    <n v="0"/>
  </r>
  <r>
    <x v="3"/>
    <n v="21.5"/>
    <n v="5.5"/>
    <n v="0"/>
    <n v="0"/>
    <s v="5, 12, 13, 14, 19, 20, 26, 28, 29"/>
    <x v="22"/>
    <s v="VIJAY KUMAR (SAMPLE)"/>
    <x v="0"/>
    <s v="None"/>
    <s v="GS"/>
    <d v="1899-12-30T08:41:59"/>
    <d v="1899-12-30T17:33:56"/>
    <n v="8.8699999999999992"/>
    <s v="00:18:01"/>
    <n v="0"/>
    <s v="00:03:56"/>
    <n v="0"/>
    <n v="0"/>
    <x v="3"/>
    <s v="P"/>
    <d v="2026-07-23T00:00:00"/>
    <n v="1"/>
    <n v="1"/>
    <n v="0"/>
    <n v="0"/>
    <n v="0"/>
  </r>
  <r>
    <x v="3"/>
    <n v="21.5"/>
    <n v="5.5"/>
    <n v="0"/>
    <n v="0"/>
    <s v="5, 12, 13, 14, 19, 20, 26, 28, 29"/>
    <x v="23"/>
    <s v="VIJAY KUMAR (SAMPLE)"/>
    <x v="0"/>
    <s v="None"/>
    <s v="GS"/>
    <d v="1899-12-30T08:55:11"/>
    <d v="1899-12-30T16:27:26"/>
    <n v="7.54"/>
    <s v="00:04:49"/>
    <n v="0"/>
    <s v="-01:02:34"/>
    <n v="0"/>
    <n v="0"/>
    <x v="3"/>
    <s v="P"/>
    <d v="2026-07-24T00:00:00"/>
    <n v="1"/>
    <n v="1"/>
    <n v="0"/>
    <n v="0"/>
    <n v="0"/>
  </r>
  <r>
    <x v="3"/>
    <n v="21.5"/>
    <n v="5.5"/>
    <n v="0"/>
    <n v="0"/>
    <s v="5, 12, 13, 14, 19, 20, 26, 28, 29"/>
    <x v="24"/>
    <s v="VIJAY KUMAR (SAMPLE)"/>
    <x v="0"/>
    <s v="None"/>
    <s v="GS"/>
    <d v="1899-12-30T08:56:59"/>
    <d v="1899-12-30T17:27:38"/>
    <n v="8.51"/>
    <s v="00:03:01"/>
    <n v="0"/>
    <s v="-00:02:22"/>
    <n v="0"/>
    <n v="0"/>
    <x v="3"/>
    <s v="P"/>
    <d v="2026-07-25T00:00:00"/>
    <n v="1"/>
    <n v="1"/>
    <n v="0"/>
    <n v="0"/>
    <n v="0"/>
  </r>
  <r>
    <x v="3"/>
    <n v="21.5"/>
    <n v="5.5"/>
    <n v="0"/>
    <n v="0"/>
    <s v="5, 12, 13, 14, 19, 20, 26, 28, 29"/>
    <x v="25"/>
    <s v="VIJAY KUMAR (SAMPLE)"/>
    <x v="0"/>
    <s v="None"/>
    <s v="NA"/>
    <d v="1899-12-30T00:00:00"/>
    <d v="1899-12-30T00:00:00"/>
    <n v="0"/>
    <s v="09:00:00"/>
    <n v="9"/>
    <s v="-17:30:00"/>
    <n v="0"/>
    <n v="9"/>
    <x v="3"/>
    <s v="A"/>
    <d v="2026-07-26T00:00:00"/>
    <n v="0"/>
    <n v="0"/>
    <n v="0"/>
    <n v="0"/>
    <n v="0"/>
  </r>
  <r>
    <x v="3"/>
    <n v="21.5"/>
    <n v="5.5"/>
    <n v="0"/>
    <n v="0"/>
    <s v="5, 12, 13, 14, 19, 20, 26, 28, 29"/>
    <x v="26"/>
    <s v="VIJAY KUMAR (SAMPLE)"/>
    <x v="0"/>
    <s v="None"/>
    <s v="GS"/>
    <d v="1899-12-30T08:45:32"/>
    <d v="1899-12-30T17:26:53"/>
    <n v="8.69"/>
    <s v="00:14:28"/>
    <n v="0"/>
    <s v="-00:03:07"/>
    <n v="0"/>
    <n v="0"/>
    <x v="3"/>
    <s v="P"/>
    <d v="2026-07-27T00:00:00"/>
    <n v="1"/>
    <n v="1"/>
    <n v="0"/>
    <n v="0"/>
    <n v="0"/>
  </r>
  <r>
    <x v="3"/>
    <n v="21.5"/>
    <n v="5.5"/>
    <n v="0"/>
    <n v="0"/>
    <s v="5, 12, 13, 14, 19, 20, 26, 28, 29"/>
    <x v="27"/>
    <s v="VIJAY KUMAR (SAMPLE)"/>
    <x v="0"/>
    <s v="None"/>
    <s v="NA"/>
    <d v="1899-12-30T00:00:00"/>
    <d v="1899-12-30T00:00:00"/>
    <n v="0"/>
    <s v="09:00:00"/>
    <n v="9"/>
    <s v="-17:30:00"/>
    <n v="0"/>
    <n v="9"/>
    <x v="3"/>
    <s v="A"/>
    <d v="2026-07-28T00:00:00"/>
    <n v="0"/>
    <n v="0"/>
    <n v="0"/>
    <n v="0"/>
    <n v="0"/>
  </r>
  <r>
    <x v="3"/>
    <n v="21.5"/>
    <n v="5.5"/>
    <n v="0"/>
    <n v="0"/>
    <s v="5, 12, 13, 14, 19, 20, 26, 28, 29"/>
    <x v="28"/>
    <s v="VIJAY KUMAR (SAMPLE)"/>
    <x v="0"/>
    <s v="None"/>
    <s v="NA"/>
    <d v="1899-12-30T00:00:00"/>
    <d v="1899-12-30T00:00:00"/>
    <n v="0"/>
    <s v="09:00:00"/>
    <n v="9"/>
    <s v="-17:30:00"/>
    <n v="0"/>
    <n v="9"/>
    <x v="3"/>
    <s v="A"/>
    <d v="2026-07-29T00:00:00"/>
    <n v="0"/>
    <n v="0"/>
    <n v="0"/>
    <n v="0"/>
    <n v="0"/>
  </r>
  <r>
    <x v="3"/>
    <n v="21.5"/>
    <n v="5.5"/>
    <n v="0"/>
    <n v="0"/>
    <s v="5, 12, 13, 14, 19, 20, 26, 28, 29"/>
    <x v="29"/>
    <s v="VIJAY KUMAR (SAMPLE)"/>
    <x v="0"/>
    <s v="None"/>
    <s v="GS"/>
    <d v="1899-12-30T08:46:36"/>
    <d v="1899-12-30T17:34:24"/>
    <n v="8.8000000000000007"/>
    <s v="00:13:24"/>
    <n v="0"/>
    <s v="00:04:24"/>
    <n v="0"/>
    <n v="0"/>
    <x v="3"/>
    <s v="P"/>
    <d v="2026-07-30T00:00:00"/>
    <n v="1"/>
    <n v="1"/>
    <n v="0"/>
    <n v="0"/>
    <n v="0"/>
  </r>
  <r>
    <x v="3"/>
    <n v="21.5"/>
    <n v="5.5"/>
    <n v="0"/>
    <n v="0"/>
    <s v="5, 12, 13, 14, 19, 20, 26, 28, 29"/>
    <x v="30"/>
    <s v="VIJAY KUMAR (SAMPLE)"/>
    <x v="0"/>
    <s v="None"/>
    <s v="GS"/>
    <d v="1899-12-30T08:51:32"/>
    <d v="1899-12-30T17:32:19"/>
    <n v="8.68"/>
    <s v="00:08:28"/>
    <n v="0"/>
    <s v="00:02:19"/>
    <n v="0"/>
    <n v="0"/>
    <x v="3"/>
    <s v="P"/>
    <d v="2026-07-31T00:00:00"/>
    <n v="1"/>
    <n v="1"/>
    <n v="0"/>
    <n v="0"/>
    <n v="0"/>
  </r>
  <r>
    <x v="4"/>
    <n v="26.5"/>
    <n v="0.5"/>
    <n v="0"/>
    <n v="0"/>
    <s v="5, 12, 26"/>
    <x v="0"/>
    <s v="SRILEKHA"/>
    <x v="0"/>
    <s v="Staff"/>
    <s v="GS"/>
    <d v="1899-12-30T09:02:18"/>
    <d v="1899-12-30T17:35:07"/>
    <n v="8.5500000000000007"/>
    <s v="-00:02:18"/>
    <n v="0"/>
    <s v="00:05:07"/>
    <n v="0"/>
    <n v="0"/>
    <x v="4"/>
    <s v="P"/>
    <d v="2026-07-01T00:00:00"/>
    <n v="1"/>
    <n v="1"/>
    <n v="0"/>
    <n v="0"/>
    <n v="0"/>
  </r>
  <r>
    <x v="4"/>
    <n v="26.5"/>
    <n v="0.5"/>
    <n v="0"/>
    <n v="0"/>
    <s v="5, 12, 26"/>
    <x v="1"/>
    <s v="SRILEKHA"/>
    <x v="0"/>
    <s v="Staff"/>
    <s v="GS"/>
    <d v="1899-12-30T09:08:16"/>
    <d v="1899-12-30T17:33:07"/>
    <n v="8.41"/>
    <s v="-00:08:16"/>
    <n v="0"/>
    <s v="00:03:07"/>
    <n v="0"/>
    <n v="0"/>
    <x v="4"/>
    <s v="P"/>
    <d v="2026-07-02T00:00:00"/>
    <n v="1"/>
    <n v="1"/>
    <n v="0"/>
    <n v="0"/>
    <n v="0"/>
  </r>
  <r>
    <x v="4"/>
    <n v="26.5"/>
    <n v="0.5"/>
    <n v="0"/>
    <n v="0"/>
    <s v="5, 12, 26"/>
    <x v="2"/>
    <s v="SRILEKHA"/>
    <x v="0"/>
    <s v="Staff"/>
    <s v="GS"/>
    <d v="1899-12-30T08:57:28"/>
    <d v="1899-12-30T13:33:30"/>
    <n v="4.5999999999999996"/>
    <s v="00:02:32"/>
    <n v="0"/>
    <s v="-03:56:30"/>
    <n v="0"/>
    <n v="0"/>
    <x v="4"/>
    <s v="H"/>
    <d v="2026-07-03T00:00:00"/>
    <n v="0.5"/>
    <n v="0.5"/>
    <n v="0"/>
    <n v="0"/>
    <n v="0"/>
  </r>
  <r>
    <x v="4"/>
    <n v="26.5"/>
    <n v="0.5"/>
    <n v="0"/>
    <n v="0"/>
    <s v="5, 12, 26"/>
    <x v="3"/>
    <s v="SRILEKHA"/>
    <x v="0"/>
    <s v="Staff"/>
    <s v="GS"/>
    <d v="1899-12-30T09:10:30"/>
    <d v="1899-12-30T17:34:30"/>
    <n v="8.4"/>
    <s v="-00:10:30"/>
    <n v="0"/>
    <s v="00:04:30"/>
    <n v="0"/>
    <n v="0"/>
    <x v="4"/>
    <s v="P"/>
    <d v="2026-07-04T00:00:00"/>
    <n v="1"/>
    <n v="1"/>
    <n v="0"/>
    <n v="0"/>
    <n v="0"/>
  </r>
  <r>
    <x v="4"/>
    <n v="26.5"/>
    <n v="0.5"/>
    <n v="0"/>
    <n v="0"/>
    <s v="5, 12, 26"/>
    <x v="4"/>
    <s v="SRILEKHA"/>
    <x v="0"/>
    <s v="Staff"/>
    <s v="NA"/>
    <d v="1899-12-30T00:00:00"/>
    <d v="1899-12-30T00:00:00"/>
    <n v="0"/>
    <s v="09:00:00"/>
    <n v="9"/>
    <s v="-17:30:00"/>
    <n v="0"/>
    <n v="9"/>
    <x v="4"/>
    <s v="A"/>
    <d v="2026-07-05T00:00:00"/>
    <n v="0"/>
    <n v="0"/>
    <n v="0"/>
    <n v="0"/>
    <n v="0"/>
  </r>
  <r>
    <x v="4"/>
    <n v="26.5"/>
    <n v="0.5"/>
    <n v="0"/>
    <n v="0"/>
    <s v="5, 12, 26"/>
    <x v="5"/>
    <s v="SRILEKHA"/>
    <x v="0"/>
    <s v="Staff"/>
    <s v="GS"/>
    <d v="1899-12-30T08:58:38"/>
    <d v="1899-12-30T17:33:35"/>
    <n v="8.58"/>
    <s v="00:01:22"/>
    <n v="0"/>
    <s v="00:03:35"/>
    <n v="0"/>
    <n v="0"/>
    <x v="4"/>
    <s v="P"/>
    <d v="2026-07-06T00:00:00"/>
    <n v="1"/>
    <n v="1"/>
    <n v="0"/>
    <n v="0"/>
    <n v="0"/>
  </r>
  <r>
    <x v="4"/>
    <n v="26.5"/>
    <n v="0.5"/>
    <n v="0"/>
    <n v="0"/>
    <s v="5, 12, 26"/>
    <x v="6"/>
    <s v="SRILEKHA"/>
    <x v="0"/>
    <s v="Staff"/>
    <s v="GS"/>
    <d v="1899-12-30T08:53:29"/>
    <d v="1899-12-30T17:45:56"/>
    <n v="8.8699999999999992"/>
    <s v="00:06:31"/>
    <n v="0"/>
    <s v="00:15:56"/>
    <n v="0"/>
    <n v="0"/>
    <x v="4"/>
    <s v="P"/>
    <d v="2026-07-07T00:00:00"/>
    <n v="1"/>
    <n v="1"/>
    <n v="0"/>
    <n v="0"/>
    <n v="0"/>
  </r>
  <r>
    <x v="4"/>
    <n v="26.5"/>
    <n v="0.5"/>
    <n v="0"/>
    <n v="0"/>
    <s v="5, 12, 26"/>
    <x v="7"/>
    <s v="SRILEKHA"/>
    <x v="0"/>
    <s v="Staff"/>
    <s v="GS"/>
    <d v="1899-12-30T08:59:48"/>
    <d v="1899-12-30T18:28:39"/>
    <n v="9.48"/>
    <s v="00:00:12"/>
    <n v="0"/>
    <s v="00:58:39"/>
    <n v="0.98"/>
    <n v="0.98"/>
    <x v="4"/>
    <s v="P"/>
    <d v="2026-07-08T00:00:00"/>
    <n v="1"/>
    <n v="1"/>
    <n v="0"/>
    <n v="0"/>
    <n v="0"/>
  </r>
  <r>
    <x v="4"/>
    <n v="26.5"/>
    <n v="0.5"/>
    <n v="0"/>
    <n v="0"/>
    <s v="5, 12, 26"/>
    <x v="8"/>
    <s v="SRILEKHA"/>
    <x v="0"/>
    <s v="Staff"/>
    <s v="GS"/>
    <d v="1899-12-30T09:02:11"/>
    <d v="1899-12-30T17:39:53"/>
    <n v="8.6300000000000008"/>
    <s v="-00:02:11"/>
    <n v="0"/>
    <s v="00:09:53"/>
    <n v="0"/>
    <n v="0"/>
    <x v="4"/>
    <s v="P"/>
    <d v="2026-07-09T00:00:00"/>
    <n v="1"/>
    <n v="1"/>
    <n v="0"/>
    <n v="0"/>
    <n v="0"/>
  </r>
  <r>
    <x v="4"/>
    <n v="26.5"/>
    <n v="0.5"/>
    <n v="0"/>
    <n v="0"/>
    <s v="5, 12, 26"/>
    <x v="9"/>
    <s v="SRILEKHA"/>
    <x v="0"/>
    <s v="Staff"/>
    <s v="GS"/>
    <d v="1899-12-30T09:10:41"/>
    <d v="1899-12-30T17:35:20"/>
    <n v="8.41"/>
    <s v="-00:10:41"/>
    <n v="0"/>
    <s v="00:05:20"/>
    <n v="0"/>
    <n v="0"/>
    <x v="4"/>
    <s v="P"/>
    <d v="2026-07-10T00:00:00"/>
    <n v="1"/>
    <n v="1"/>
    <n v="0"/>
    <n v="0"/>
    <n v="0"/>
  </r>
  <r>
    <x v="4"/>
    <n v="26.5"/>
    <n v="0.5"/>
    <n v="0"/>
    <n v="0"/>
    <s v="5, 12, 26"/>
    <x v="10"/>
    <s v="SRILEKHA"/>
    <x v="0"/>
    <s v="Staff"/>
    <s v="GS"/>
    <d v="1899-12-30T09:04:36"/>
    <d v="1899-12-30T17:39:33"/>
    <n v="8.58"/>
    <s v="-00:04:36"/>
    <n v="0"/>
    <s v="00:09:33"/>
    <n v="0"/>
    <n v="0"/>
    <x v="4"/>
    <s v="P"/>
    <d v="2026-07-11T00:00:00"/>
    <n v="1"/>
    <n v="1"/>
    <n v="0"/>
    <n v="0"/>
    <n v="0"/>
  </r>
  <r>
    <x v="4"/>
    <n v="26.5"/>
    <n v="0.5"/>
    <n v="0"/>
    <n v="0"/>
    <s v="5, 12, 26"/>
    <x v="11"/>
    <s v="SRILEKHA"/>
    <x v="0"/>
    <s v="Staff"/>
    <s v="NA"/>
    <d v="1899-12-30T00:00:00"/>
    <d v="1899-12-30T00:00:00"/>
    <n v="0"/>
    <s v="09:00:00"/>
    <n v="9"/>
    <s v="-17:30:00"/>
    <n v="0"/>
    <n v="9"/>
    <x v="4"/>
    <s v="A"/>
    <d v="2026-07-12T00:00:00"/>
    <n v="0"/>
    <n v="0"/>
    <n v="0"/>
    <n v="0"/>
    <n v="0"/>
  </r>
  <r>
    <x v="4"/>
    <n v="26.5"/>
    <n v="0.5"/>
    <n v="0"/>
    <n v="0"/>
    <s v="5, 12, 26"/>
    <x v="12"/>
    <s v="SRILEKHA"/>
    <x v="0"/>
    <s v="Staff"/>
    <s v="GS"/>
    <d v="1899-12-30T09:00:00"/>
    <d v="1899-12-30T17:30:00"/>
    <n v="8.5"/>
    <s v="00:00:00"/>
    <n v="0"/>
    <s v="00:00:00"/>
    <n v="0"/>
    <n v="0"/>
    <x v="4"/>
    <s v="P"/>
    <d v="2026-07-13T00:00:00"/>
    <n v="1"/>
    <n v="1"/>
    <n v="0"/>
    <n v="0"/>
    <n v="0"/>
  </r>
  <r>
    <x v="4"/>
    <n v="26.5"/>
    <n v="0.5"/>
    <n v="0"/>
    <n v="0"/>
    <s v="5, 12, 26"/>
    <x v="13"/>
    <s v="SRILEKHA"/>
    <x v="0"/>
    <s v="Staff"/>
    <s v="GS"/>
    <d v="1899-12-30T09:00:00"/>
    <d v="1899-12-30T17:30:00"/>
    <n v="8.5"/>
    <s v="00:00:00"/>
    <n v="0"/>
    <s v="00:00:00"/>
    <n v="0"/>
    <n v="0"/>
    <x v="4"/>
    <s v="P"/>
    <d v="2026-07-14T00:00:00"/>
    <n v="1"/>
    <n v="1"/>
    <n v="0"/>
    <n v="0"/>
    <n v="0"/>
  </r>
  <r>
    <x v="4"/>
    <n v="26.5"/>
    <n v="0.5"/>
    <n v="0"/>
    <n v="0"/>
    <s v="5, 12, 26"/>
    <x v="14"/>
    <s v="SRILEKHA"/>
    <x v="0"/>
    <s v="Staff"/>
    <s v="GS"/>
    <d v="1899-12-30T09:00:00"/>
    <d v="1899-12-30T17:30:00"/>
    <n v="8.5"/>
    <s v="00:00:00"/>
    <n v="0"/>
    <s v="00:00:00"/>
    <n v="0"/>
    <n v="0"/>
    <x v="4"/>
    <s v="P"/>
    <d v="2026-07-15T00:00:00"/>
    <n v="1"/>
    <n v="1"/>
    <n v="0"/>
    <n v="0"/>
    <n v="0"/>
  </r>
  <r>
    <x v="4"/>
    <n v="26.5"/>
    <n v="0.5"/>
    <n v="0"/>
    <n v="0"/>
    <s v="5, 12, 26"/>
    <x v="15"/>
    <s v="SRILEKHA"/>
    <x v="0"/>
    <s v="Staff"/>
    <s v="GS"/>
    <d v="1899-12-30T09:02:48"/>
    <d v="1899-12-30T17:30:00"/>
    <n v="8.4499999999999993"/>
    <s v="-00:02:48"/>
    <n v="0"/>
    <s v="00:00:00"/>
    <n v="0"/>
    <n v="0"/>
    <x v="4"/>
    <s v="P"/>
    <d v="2026-07-16T00:00:00"/>
    <n v="1"/>
    <n v="1"/>
    <n v="0"/>
    <n v="0"/>
    <n v="0"/>
  </r>
  <r>
    <x v="4"/>
    <n v="26.5"/>
    <n v="0.5"/>
    <n v="0"/>
    <n v="0"/>
    <s v="5, 12, 26"/>
    <x v="16"/>
    <s v="SRILEKHA"/>
    <x v="0"/>
    <s v="Staff"/>
    <s v="GS"/>
    <d v="1899-12-30T09:00:00"/>
    <d v="1899-12-30T17:30:00"/>
    <n v="8.5"/>
    <s v="00:00:00"/>
    <n v="0"/>
    <s v="00:00:00"/>
    <n v="0"/>
    <n v="0"/>
    <x v="4"/>
    <s v="P"/>
    <d v="2026-07-17T00:00:00"/>
    <n v="1"/>
    <n v="1"/>
    <n v="0"/>
    <n v="0"/>
    <n v="0"/>
  </r>
  <r>
    <x v="4"/>
    <n v="26.5"/>
    <n v="0.5"/>
    <n v="0"/>
    <n v="0"/>
    <s v="5, 12, 26"/>
    <x v="17"/>
    <s v="SRILEKHA"/>
    <x v="0"/>
    <s v="Staff"/>
    <s v="GS"/>
    <d v="1899-12-30T08:57:13"/>
    <d v="1899-12-30T17:30:00"/>
    <n v="8.5500000000000007"/>
    <s v="00:02:47"/>
    <n v="0"/>
    <s v="00:00:00"/>
    <n v="0"/>
    <n v="0"/>
    <x v="4"/>
    <s v="P"/>
    <d v="2026-07-18T00:00:00"/>
    <n v="1"/>
    <n v="1"/>
    <n v="0"/>
    <n v="0"/>
    <n v="0"/>
  </r>
  <r>
    <x v="4"/>
    <n v="26.5"/>
    <n v="0.5"/>
    <n v="0"/>
    <n v="0"/>
    <s v="5, 12, 26"/>
    <x v="18"/>
    <s v="SRILEKHA"/>
    <x v="0"/>
    <s v="Staff"/>
    <s v="GS"/>
    <d v="1899-12-30T09:16:32"/>
    <d v="1899-12-30T16:03:38"/>
    <n v="6.78"/>
    <s v="-00:16:32"/>
    <n v="0"/>
    <s v="-01:26:22"/>
    <n v="0"/>
    <n v="0"/>
    <x v="4"/>
    <s v="P"/>
    <d v="2026-07-19T00:00:00"/>
    <n v="1"/>
    <n v="0"/>
    <n v="1"/>
    <n v="0"/>
    <n v="0"/>
  </r>
  <r>
    <x v="4"/>
    <n v="26.5"/>
    <n v="0.5"/>
    <n v="0"/>
    <n v="0"/>
    <s v="5, 12, 26"/>
    <x v="19"/>
    <s v="SRILEKHA"/>
    <x v="0"/>
    <s v="Staff"/>
    <s v="GS"/>
    <d v="1899-12-30T09:00:04"/>
    <d v="1899-12-30T17:38:04"/>
    <n v="8.6300000000000008"/>
    <s v="-00:00:04"/>
    <n v="0"/>
    <s v="00:08:04"/>
    <n v="0"/>
    <n v="0"/>
    <x v="4"/>
    <s v="P"/>
    <d v="2026-07-20T00:00:00"/>
    <n v="1"/>
    <n v="1"/>
    <n v="0"/>
    <n v="0"/>
    <n v="0"/>
  </r>
  <r>
    <x v="4"/>
    <n v="26.5"/>
    <n v="0.5"/>
    <n v="0"/>
    <n v="0"/>
    <s v="5, 12, 26"/>
    <x v="20"/>
    <s v="SRILEKHA"/>
    <x v="0"/>
    <s v="Staff"/>
    <s v="GS"/>
    <d v="1899-12-30T08:54:26"/>
    <d v="1899-12-30T17:37:08"/>
    <n v="8.7100000000000009"/>
    <s v="00:05:34"/>
    <n v="0"/>
    <s v="00:07:08"/>
    <n v="0"/>
    <n v="0"/>
    <x v="4"/>
    <s v="P"/>
    <d v="2026-07-21T00:00:00"/>
    <n v="1"/>
    <n v="1"/>
    <n v="0"/>
    <n v="0"/>
    <n v="0"/>
  </r>
  <r>
    <x v="4"/>
    <n v="26.5"/>
    <n v="0.5"/>
    <n v="0"/>
    <n v="0"/>
    <s v="5, 12, 26"/>
    <x v="21"/>
    <s v="SRILEKHA"/>
    <x v="0"/>
    <s v="Staff"/>
    <s v="GS"/>
    <d v="1899-12-30T09:00:17"/>
    <d v="1899-12-30T17:30:00"/>
    <n v="8.5"/>
    <s v="-00:00:17"/>
    <n v="0"/>
    <s v="00:00:00"/>
    <n v="0"/>
    <n v="0"/>
    <x v="4"/>
    <s v="P"/>
    <d v="2026-07-22T00:00:00"/>
    <n v="1"/>
    <n v="1"/>
    <n v="0"/>
    <n v="0"/>
    <n v="0"/>
  </r>
  <r>
    <x v="4"/>
    <n v="26.5"/>
    <n v="0.5"/>
    <n v="0"/>
    <n v="0"/>
    <s v="5, 12, 26"/>
    <x v="22"/>
    <s v="SRILEKHA"/>
    <x v="0"/>
    <s v="Staff"/>
    <s v="GS"/>
    <d v="1899-12-30T08:53:27"/>
    <d v="1899-12-30T17:45:47"/>
    <n v="8.8699999999999992"/>
    <s v="00:06:33"/>
    <n v="0"/>
    <s v="00:15:47"/>
    <n v="0"/>
    <n v="0"/>
    <x v="4"/>
    <s v="P"/>
    <d v="2026-07-23T00:00:00"/>
    <n v="1"/>
    <n v="1"/>
    <n v="0"/>
    <n v="0"/>
    <n v="0"/>
  </r>
  <r>
    <x v="4"/>
    <n v="26.5"/>
    <n v="0.5"/>
    <n v="0"/>
    <n v="0"/>
    <s v="5, 12, 26"/>
    <x v="23"/>
    <s v="SRILEKHA"/>
    <x v="0"/>
    <s v="Staff"/>
    <s v="GS"/>
    <d v="1899-12-30T17:37:18"/>
    <d v="1899-12-30T00:00:00"/>
    <n v="6.38"/>
    <s v="-08:37:18"/>
    <n v="0"/>
    <s v="-17:30:00"/>
    <n v="0"/>
    <n v="0"/>
    <x v="4"/>
    <s v="P"/>
    <d v="2026-07-24T00:00:00"/>
    <n v="1"/>
    <n v="1"/>
    <n v="0"/>
    <n v="0"/>
    <n v="0"/>
  </r>
  <r>
    <x v="4"/>
    <n v="26.5"/>
    <n v="0.5"/>
    <n v="0"/>
    <n v="0"/>
    <s v="5, 12, 26"/>
    <x v="24"/>
    <s v="SRILEKHA"/>
    <x v="0"/>
    <s v="Staff"/>
    <s v="GS"/>
    <d v="1899-12-30T17:29:18"/>
    <d v="1899-12-30T00:00:00"/>
    <n v="6.51"/>
    <s v="-08:29:18"/>
    <n v="0"/>
    <s v="-17:30:00"/>
    <n v="0"/>
    <n v="0"/>
    <x v="4"/>
    <s v="P"/>
    <d v="2026-07-25T00:00:00"/>
    <n v="1"/>
    <n v="1"/>
    <n v="0"/>
    <n v="0"/>
    <n v="0"/>
  </r>
  <r>
    <x v="4"/>
    <n v="26.5"/>
    <n v="0.5"/>
    <n v="0"/>
    <n v="0"/>
    <s v="5, 12, 26"/>
    <x v="25"/>
    <s v="SRILEKHA"/>
    <x v="0"/>
    <s v="Staff"/>
    <s v="NA"/>
    <d v="1899-12-30T00:00:00"/>
    <d v="1899-12-30T00:00:00"/>
    <n v="0"/>
    <s v="09:00:00"/>
    <n v="9"/>
    <s v="-17:30:00"/>
    <n v="0"/>
    <n v="9"/>
    <x v="4"/>
    <s v="A"/>
    <d v="2026-07-26T00:00:00"/>
    <n v="0"/>
    <n v="0"/>
    <n v="0"/>
    <n v="0"/>
    <n v="0"/>
  </r>
  <r>
    <x v="4"/>
    <n v="26.5"/>
    <n v="0.5"/>
    <n v="0"/>
    <n v="0"/>
    <s v="5, 12, 26"/>
    <x v="26"/>
    <s v="SRILEKHA"/>
    <x v="0"/>
    <s v="Staff"/>
    <s v="GS"/>
    <d v="1899-12-30T08:48:00"/>
    <d v="1899-12-30T17:37:13"/>
    <n v="8.82"/>
    <s v="00:12:00"/>
    <n v="0"/>
    <s v="00:07:13"/>
    <n v="0"/>
    <n v="0"/>
    <x v="4"/>
    <s v="P"/>
    <d v="2026-07-27T00:00:00"/>
    <n v="1"/>
    <n v="1"/>
    <n v="0"/>
    <n v="0"/>
    <n v="0"/>
  </r>
  <r>
    <x v="4"/>
    <n v="26.5"/>
    <n v="0.5"/>
    <n v="0"/>
    <n v="0"/>
    <s v="5, 12, 26"/>
    <x v="27"/>
    <s v="SRILEKHA"/>
    <x v="0"/>
    <s v="Staff"/>
    <s v="GS"/>
    <d v="1899-12-30T09:00:00"/>
    <d v="1899-12-30T17:31:40"/>
    <n v="8.5299999999999994"/>
    <s v="00:00:00"/>
    <n v="0"/>
    <s v="00:01:40"/>
    <n v="0"/>
    <n v="0"/>
    <x v="4"/>
    <s v="P"/>
    <d v="2026-07-28T00:00:00"/>
    <n v="1"/>
    <n v="1"/>
    <n v="0"/>
    <n v="0"/>
    <n v="0"/>
  </r>
  <r>
    <x v="4"/>
    <n v="26.5"/>
    <n v="0.5"/>
    <n v="0"/>
    <n v="0"/>
    <s v="5, 12, 26"/>
    <x v="28"/>
    <s v="SRILEKHA"/>
    <x v="0"/>
    <s v="Staff"/>
    <s v="GS"/>
    <d v="1899-12-30T09:01:24"/>
    <d v="1899-12-30T17:40:36"/>
    <n v="8.65"/>
    <s v="-00:01:24"/>
    <n v="0"/>
    <s v="00:10:36"/>
    <n v="0"/>
    <n v="0"/>
    <x v="4"/>
    <s v="P"/>
    <d v="2026-07-29T00:00:00"/>
    <n v="1"/>
    <n v="1"/>
    <n v="0"/>
    <n v="0"/>
    <n v="0"/>
  </r>
  <r>
    <x v="4"/>
    <n v="26.5"/>
    <n v="0.5"/>
    <n v="0"/>
    <n v="0"/>
    <s v="5, 12, 26"/>
    <x v="29"/>
    <s v="SRILEKHA"/>
    <x v="0"/>
    <s v="Staff"/>
    <s v="GS"/>
    <d v="1899-12-30T09:04:19"/>
    <d v="1899-12-30T17:35:22"/>
    <n v="8.52"/>
    <s v="-00:04:19"/>
    <n v="0"/>
    <s v="00:05:22"/>
    <n v="0"/>
    <n v="0"/>
    <x v="4"/>
    <s v="P"/>
    <d v="2026-07-30T00:00:00"/>
    <n v="1"/>
    <n v="1"/>
    <n v="0"/>
    <n v="0"/>
    <n v="0"/>
  </r>
  <r>
    <x v="4"/>
    <n v="26.5"/>
    <n v="0.5"/>
    <n v="0"/>
    <n v="0"/>
    <s v="5, 12, 26"/>
    <x v="30"/>
    <s v="SRILEKHA"/>
    <x v="0"/>
    <s v="Staff"/>
    <s v="GS"/>
    <d v="1899-12-30T08:59:22"/>
    <d v="1899-12-30T17:37:21"/>
    <n v="8.6300000000000008"/>
    <s v="00:00:38"/>
    <n v="0"/>
    <s v="00:07:21"/>
    <n v="0"/>
    <n v="0"/>
    <x v="4"/>
    <s v="P"/>
    <d v="2026-07-31T00:00:00"/>
    <n v="1"/>
    <n v="1"/>
    <n v="0"/>
    <n v="0"/>
    <n v="0"/>
  </r>
  <r>
    <x v="5"/>
    <n v="25.5"/>
    <n v="1.5"/>
    <n v="0"/>
    <n v="0"/>
    <s v="5, 12, 24, 26"/>
    <x v="0"/>
    <s v="KRISHNAIAH"/>
    <x v="0"/>
    <s v="Staff"/>
    <s v="GS"/>
    <d v="1899-12-30T08:51:39"/>
    <d v="1899-12-30T17:34:04"/>
    <n v="8.7100000000000009"/>
    <s v="00:08:21"/>
    <n v="0"/>
    <s v="00:04:04"/>
    <n v="0"/>
    <n v="0"/>
    <x v="5"/>
    <s v="P"/>
    <d v="2026-07-01T00:00:00"/>
    <n v="1"/>
    <n v="1"/>
    <n v="0"/>
    <n v="0"/>
    <n v="0"/>
  </r>
  <r>
    <x v="5"/>
    <n v="25.5"/>
    <n v="1.5"/>
    <n v="0"/>
    <n v="0"/>
    <s v="5, 12, 24, 26"/>
    <x v="1"/>
    <s v="KRISHNAIAH"/>
    <x v="0"/>
    <s v="Staff"/>
    <s v="GS"/>
    <d v="1899-12-30T09:03:16"/>
    <d v="1899-12-30T17:30:00"/>
    <n v="8.4499999999999993"/>
    <s v="-00:03:16"/>
    <n v="0"/>
    <s v="00:00:00"/>
    <n v="0"/>
    <n v="0"/>
    <x v="5"/>
    <s v="P"/>
    <d v="2026-07-02T00:00:00"/>
    <n v="1"/>
    <n v="1"/>
    <n v="0"/>
    <n v="0"/>
    <n v="0"/>
  </r>
  <r>
    <x v="5"/>
    <n v="25.5"/>
    <n v="1.5"/>
    <n v="0"/>
    <n v="0"/>
    <s v="5, 12, 24, 26"/>
    <x v="2"/>
    <s v="KRISHNAIAH"/>
    <x v="0"/>
    <s v="Staff"/>
    <s v="GS"/>
    <d v="1899-12-30T08:44:37"/>
    <d v="1899-12-30T13:38:48"/>
    <n v="4.9000000000000004"/>
    <s v="00:15:23"/>
    <n v="0"/>
    <s v="-03:51:12"/>
    <n v="0"/>
    <n v="0"/>
    <x v="5"/>
    <s v="H"/>
    <d v="2026-07-03T00:00:00"/>
    <n v="0.5"/>
    <n v="0.5"/>
    <n v="0"/>
    <n v="0"/>
    <n v="0"/>
  </r>
  <r>
    <x v="5"/>
    <n v="25.5"/>
    <n v="1.5"/>
    <n v="0"/>
    <n v="0"/>
    <s v="5, 12, 24, 26"/>
    <x v="3"/>
    <s v="KRISHNAIAH"/>
    <x v="0"/>
    <s v="Staff"/>
    <s v="GS"/>
    <d v="1899-12-30T09:13:17"/>
    <d v="1899-12-30T17:43:11"/>
    <n v="8.5"/>
    <s v="-00:13:17"/>
    <n v="0"/>
    <s v="00:13:11"/>
    <n v="0"/>
    <n v="0"/>
    <x v="5"/>
    <s v="P"/>
    <d v="2026-07-04T00:00:00"/>
    <n v="1"/>
    <n v="1"/>
    <n v="0"/>
    <n v="0"/>
    <n v="0"/>
  </r>
  <r>
    <x v="5"/>
    <n v="25.5"/>
    <n v="1.5"/>
    <n v="0"/>
    <n v="0"/>
    <s v="5, 12, 24, 26"/>
    <x v="4"/>
    <s v="KRISHNAIAH"/>
    <x v="0"/>
    <s v="Staff"/>
    <s v="NA"/>
    <d v="1899-12-30T00:00:00"/>
    <d v="1899-12-30T00:00:00"/>
    <n v="0"/>
    <s v="09:00:00"/>
    <n v="9"/>
    <s v="-17:30:00"/>
    <n v="0"/>
    <n v="9"/>
    <x v="5"/>
    <s v="A"/>
    <d v="2026-07-05T00:00:00"/>
    <n v="0"/>
    <n v="0"/>
    <n v="0"/>
    <n v="0"/>
    <n v="0"/>
  </r>
  <r>
    <x v="5"/>
    <n v="25.5"/>
    <n v="1.5"/>
    <n v="0"/>
    <n v="0"/>
    <s v="5, 12, 24, 26"/>
    <x v="5"/>
    <s v="KRISHNAIAH"/>
    <x v="0"/>
    <s v="Staff"/>
    <s v="GS"/>
    <d v="1899-12-30T08:44:59"/>
    <d v="1899-12-30T17:30:00"/>
    <n v="8.75"/>
    <s v="00:15:01"/>
    <n v="0"/>
    <s v="00:00:00"/>
    <n v="0"/>
    <n v="0"/>
    <x v="5"/>
    <s v="P"/>
    <d v="2026-07-06T00:00:00"/>
    <n v="1"/>
    <n v="1"/>
    <n v="0"/>
    <n v="0"/>
    <n v="0"/>
  </r>
  <r>
    <x v="5"/>
    <n v="25.5"/>
    <n v="1.5"/>
    <n v="0"/>
    <n v="0"/>
    <s v="5, 12, 24, 26"/>
    <x v="6"/>
    <s v="KRISHNAIAH"/>
    <x v="0"/>
    <s v="Staff"/>
    <s v="GS"/>
    <d v="1899-12-30T08:57:04"/>
    <d v="1899-12-30T17:30:00"/>
    <n v="8.5500000000000007"/>
    <s v="00:02:56"/>
    <n v="0"/>
    <s v="00:00:00"/>
    <n v="0"/>
    <n v="0"/>
    <x v="5"/>
    <s v="P"/>
    <d v="2026-07-07T00:00:00"/>
    <n v="1"/>
    <n v="1"/>
    <n v="0"/>
    <n v="0"/>
    <n v="0"/>
  </r>
  <r>
    <x v="5"/>
    <n v="25.5"/>
    <n v="1.5"/>
    <n v="0"/>
    <n v="0"/>
    <s v="5, 12, 24, 26"/>
    <x v="7"/>
    <s v="KRISHNAIAH"/>
    <x v="0"/>
    <s v="Staff"/>
    <s v="GS"/>
    <d v="1899-12-30T08:50:42"/>
    <d v="1899-12-30T18:30:55"/>
    <n v="9.67"/>
    <s v="00:09:18"/>
    <n v="0"/>
    <s v="01:00:55"/>
    <n v="1.02"/>
    <n v="1.02"/>
    <x v="5"/>
    <s v="P"/>
    <d v="2026-07-08T00:00:00"/>
    <n v="1"/>
    <n v="1"/>
    <n v="0"/>
    <n v="0"/>
    <n v="0"/>
  </r>
  <r>
    <x v="5"/>
    <n v="25.5"/>
    <n v="1.5"/>
    <n v="0"/>
    <n v="0"/>
    <s v="5, 12, 24, 26"/>
    <x v="8"/>
    <s v="KRISHNAIAH"/>
    <x v="0"/>
    <s v="Staff"/>
    <s v="GS"/>
    <d v="1899-12-30T08:56:40"/>
    <d v="1899-12-30T18:33:27"/>
    <n v="9.61"/>
    <s v="00:03:20"/>
    <n v="0"/>
    <s v="01:03:27"/>
    <n v="1.06"/>
    <n v="1.06"/>
    <x v="5"/>
    <s v="P"/>
    <d v="2026-07-09T00:00:00"/>
    <n v="1"/>
    <n v="1"/>
    <n v="0"/>
    <n v="0"/>
    <n v="0"/>
  </r>
  <r>
    <x v="5"/>
    <n v="25.5"/>
    <n v="1.5"/>
    <n v="0"/>
    <n v="0"/>
    <s v="5, 12, 24, 26"/>
    <x v="9"/>
    <s v="KRISHNAIAH"/>
    <x v="0"/>
    <s v="Staff"/>
    <s v="GS"/>
    <d v="1899-12-30T08:56:58"/>
    <d v="1899-12-30T18:28:33"/>
    <n v="9.5299999999999994"/>
    <s v="00:03:02"/>
    <n v="0"/>
    <s v="00:58:33"/>
    <n v="0.98"/>
    <n v="0.98"/>
    <x v="5"/>
    <s v="P"/>
    <d v="2026-07-10T00:00:00"/>
    <n v="1"/>
    <n v="1"/>
    <n v="0"/>
    <n v="0"/>
    <n v="0"/>
  </r>
  <r>
    <x v="5"/>
    <n v="25.5"/>
    <n v="1.5"/>
    <n v="0"/>
    <n v="0"/>
    <s v="5, 12, 24, 26"/>
    <x v="10"/>
    <s v="KRISHNAIAH"/>
    <x v="0"/>
    <s v="Staff"/>
    <s v="GS"/>
    <d v="1899-12-30T10:20:08"/>
    <d v="1899-12-30T18:31:09"/>
    <n v="8.18"/>
    <s v="-01:20:08"/>
    <n v="0"/>
    <s v="01:01:09"/>
    <n v="1.02"/>
    <n v="1.02"/>
    <x v="5"/>
    <s v="P"/>
    <d v="2026-07-11T00:00:00"/>
    <n v="1"/>
    <n v="1"/>
    <n v="0"/>
    <n v="0"/>
    <n v="0"/>
  </r>
  <r>
    <x v="5"/>
    <n v="25.5"/>
    <n v="1.5"/>
    <n v="0"/>
    <n v="0"/>
    <s v="5, 12, 24, 26"/>
    <x v="11"/>
    <s v="KRISHNAIAH"/>
    <x v="0"/>
    <s v="Staff"/>
    <s v="NA"/>
    <d v="1899-12-30T00:00:00"/>
    <d v="1899-12-30T00:00:00"/>
    <n v="0"/>
    <s v="09:00:00"/>
    <n v="9"/>
    <s v="-17:30:00"/>
    <n v="0"/>
    <n v="9"/>
    <x v="5"/>
    <s v="A"/>
    <d v="2026-07-12T00:00:00"/>
    <n v="0"/>
    <n v="0"/>
    <n v="0"/>
    <n v="0"/>
    <n v="0"/>
  </r>
  <r>
    <x v="5"/>
    <n v="25.5"/>
    <n v="1.5"/>
    <n v="0"/>
    <n v="0"/>
    <s v="5, 12, 24, 26"/>
    <x v="12"/>
    <s v="KRISHNAIAH"/>
    <x v="0"/>
    <s v="Staff"/>
    <s v="GS"/>
    <d v="1899-12-30T08:53:49"/>
    <d v="1899-12-30T18:00:38"/>
    <n v="9.11"/>
    <s v="00:06:11"/>
    <n v="0"/>
    <s v="00:30:38"/>
    <n v="0.5"/>
    <n v="0.5"/>
    <x v="5"/>
    <s v="P"/>
    <d v="2026-07-13T00:00:00"/>
    <n v="1"/>
    <n v="1"/>
    <n v="0"/>
    <n v="0"/>
    <n v="0"/>
  </r>
  <r>
    <x v="5"/>
    <n v="25.5"/>
    <n v="1.5"/>
    <n v="0"/>
    <n v="0"/>
    <s v="5, 12, 24, 26"/>
    <x v="13"/>
    <s v="KRISHNAIAH"/>
    <x v="0"/>
    <s v="Staff"/>
    <s v="GS"/>
    <d v="1899-12-30T08:54:08"/>
    <d v="1899-12-30T18:26:08"/>
    <n v="9.5299999999999994"/>
    <s v="00:05:52"/>
    <n v="0"/>
    <s v="00:56:08"/>
    <n v="0.94"/>
    <n v="0.94"/>
    <x v="5"/>
    <s v="P"/>
    <d v="2026-07-14T00:00:00"/>
    <n v="1"/>
    <n v="1"/>
    <n v="0"/>
    <n v="0"/>
    <n v="0"/>
  </r>
  <r>
    <x v="5"/>
    <n v="25.5"/>
    <n v="1.5"/>
    <n v="0"/>
    <n v="0"/>
    <s v="5, 12, 24, 26"/>
    <x v="14"/>
    <s v="KRISHNAIAH"/>
    <x v="0"/>
    <s v="Staff"/>
    <s v="GS"/>
    <d v="1899-12-30T08:52:39"/>
    <d v="1899-12-30T18:18:08"/>
    <n v="9.42"/>
    <s v="00:07:21"/>
    <n v="0"/>
    <s v="00:48:08"/>
    <n v="0.8"/>
    <n v="0.8"/>
    <x v="5"/>
    <s v="P"/>
    <d v="2026-07-15T00:00:00"/>
    <n v="1"/>
    <n v="1"/>
    <n v="0"/>
    <n v="0"/>
    <n v="0"/>
  </r>
  <r>
    <x v="5"/>
    <n v="25.5"/>
    <n v="1.5"/>
    <n v="0"/>
    <n v="0"/>
    <s v="5, 12, 24, 26"/>
    <x v="15"/>
    <s v="KRISHNAIAH"/>
    <x v="0"/>
    <s v="Staff"/>
    <s v="GS"/>
    <d v="1899-12-30T08:56:21"/>
    <d v="1899-12-30T15:01:04"/>
    <n v="6.08"/>
    <s v="00:03:39"/>
    <n v="0"/>
    <s v="-02:28:56"/>
    <n v="0"/>
    <n v="0"/>
    <x v="5"/>
    <s v="P"/>
    <d v="2026-07-16T00:00:00"/>
    <n v="1"/>
    <n v="1"/>
    <n v="0"/>
    <n v="0"/>
    <n v="0"/>
  </r>
  <r>
    <x v="5"/>
    <n v="25.5"/>
    <n v="1.5"/>
    <n v="0"/>
    <n v="0"/>
    <s v="5, 12, 24, 26"/>
    <x v="16"/>
    <s v="KRISHNAIAH"/>
    <x v="0"/>
    <s v="Staff"/>
    <s v="GS"/>
    <d v="1899-12-30T09:00:49"/>
    <d v="1899-12-30T17:30:00"/>
    <n v="8.49"/>
    <s v="-00:00:49"/>
    <n v="0"/>
    <s v="00:00:00"/>
    <n v="0"/>
    <n v="0"/>
    <x v="5"/>
    <s v="P"/>
    <d v="2026-07-17T00:00:00"/>
    <n v="1"/>
    <n v="1"/>
    <n v="0"/>
    <n v="0"/>
    <n v="0"/>
  </r>
  <r>
    <x v="5"/>
    <n v="25.5"/>
    <n v="1.5"/>
    <n v="0"/>
    <n v="0"/>
    <s v="5, 12, 24, 26"/>
    <x v="17"/>
    <s v="KRISHNAIAH"/>
    <x v="0"/>
    <s v="Staff"/>
    <s v="GS"/>
    <d v="1899-12-30T09:05:33"/>
    <d v="1899-12-30T17:35:35"/>
    <n v="8.5"/>
    <s v="-00:05:33"/>
    <n v="0"/>
    <s v="00:05:35"/>
    <n v="0"/>
    <n v="0"/>
    <x v="5"/>
    <s v="P"/>
    <d v="2026-07-18T00:00:00"/>
    <n v="1"/>
    <n v="1"/>
    <n v="0"/>
    <n v="0"/>
    <n v="0"/>
  </r>
  <r>
    <x v="5"/>
    <n v="25.5"/>
    <n v="1.5"/>
    <n v="0"/>
    <n v="0"/>
    <s v="5, 12, 24, 26"/>
    <x v="18"/>
    <s v="KRISHNAIAH"/>
    <x v="0"/>
    <s v="Staff"/>
    <s v="GS"/>
    <d v="1899-12-30T08:44:15"/>
    <d v="1899-12-30T16:31:38"/>
    <n v="7.79"/>
    <s v="00:15:45"/>
    <n v="0"/>
    <s v="-00:58:22"/>
    <n v="0"/>
    <n v="0"/>
    <x v="5"/>
    <s v="P"/>
    <d v="2026-07-19T00:00:00"/>
    <n v="1"/>
    <n v="0"/>
    <n v="1"/>
    <n v="0"/>
    <n v="0"/>
  </r>
  <r>
    <x v="5"/>
    <n v="25.5"/>
    <n v="1.5"/>
    <n v="0"/>
    <n v="0"/>
    <s v="5, 12, 24, 26"/>
    <x v="19"/>
    <s v="KRISHNAIAH"/>
    <x v="0"/>
    <s v="Staff"/>
    <s v="GS"/>
    <d v="1899-12-30T08:59:12"/>
    <d v="1899-12-30T18:31:13"/>
    <n v="9.5299999999999994"/>
    <s v="00:00:48"/>
    <n v="0"/>
    <s v="01:01:13"/>
    <n v="1.02"/>
    <n v="1.02"/>
    <x v="5"/>
    <s v="P"/>
    <d v="2026-07-20T00:00:00"/>
    <n v="1"/>
    <n v="1"/>
    <n v="0"/>
    <n v="0"/>
    <n v="0"/>
  </r>
  <r>
    <x v="5"/>
    <n v="25.5"/>
    <n v="1.5"/>
    <n v="0"/>
    <n v="0"/>
    <s v="5, 12, 24, 26"/>
    <x v="20"/>
    <s v="KRISHNAIAH"/>
    <x v="0"/>
    <s v="Staff"/>
    <s v="GS"/>
    <d v="1899-12-30T09:03:41"/>
    <d v="1899-12-30T17:34:23"/>
    <n v="8.51"/>
    <s v="-00:03:41"/>
    <n v="0"/>
    <s v="00:04:23"/>
    <n v="0"/>
    <n v="0"/>
    <x v="5"/>
    <s v="P"/>
    <d v="2026-07-21T00:00:00"/>
    <n v="1"/>
    <n v="1"/>
    <n v="0"/>
    <n v="0"/>
    <n v="0"/>
  </r>
  <r>
    <x v="5"/>
    <n v="25.5"/>
    <n v="1.5"/>
    <n v="0"/>
    <n v="0"/>
    <s v="5, 12, 24, 26"/>
    <x v="21"/>
    <s v="KRISHNAIAH"/>
    <x v="0"/>
    <s v="Staff"/>
    <s v="GS"/>
    <d v="1899-12-30T08:56:04"/>
    <d v="1899-12-30T18:29:19"/>
    <n v="9.5500000000000007"/>
    <s v="00:03:56"/>
    <n v="0"/>
    <s v="00:59:19"/>
    <n v="0.99"/>
    <n v="0.99"/>
    <x v="5"/>
    <s v="P"/>
    <d v="2026-07-22T00:00:00"/>
    <n v="1"/>
    <n v="1"/>
    <n v="0"/>
    <n v="0"/>
    <n v="0"/>
  </r>
  <r>
    <x v="5"/>
    <n v="25.5"/>
    <n v="1.5"/>
    <n v="0"/>
    <n v="0"/>
    <s v="5, 12, 24, 26"/>
    <x v="22"/>
    <s v="KRISHNAIAH"/>
    <x v="0"/>
    <s v="Staff"/>
    <s v="GS"/>
    <d v="1899-12-30T08:50:45"/>
    <d v="1899-12-30T18:30:09"/>
    <n v="9.66"/>
    <s v="00:09:15"/>
    <n v="0"/>
    <s v="01:00:09"/>
    <n v="1"/>
    <n v="1"/>
    <x v="5"/>
    <s v="P"/>
    <d v="2026-07-23T00:00:00"/>
    <n v="1"/>
    <n v="1"/>
    <n v="0"/>
    <n v="0"/>
    <n v="0"/>
  </r>
  <r>
    <x v="5"/>
    <n v="25.5"/>
    <n v="1.5"/>
    <n v="0"/>
    <n v="0"/>
    <s v="5, 12, 24, 26"/>
    <x v="23"/>
    <s v="KRISHNAIAH"/>
    <x v="0"/>
    <s v="Staff"/>
    <s v="NA"/>
    <d v="1899-12-30T00:00:00"/>
    <d v="1899-12-30T00:00:00"/>
    <n v="0"/>
    <s v="09:00:00"/>
    <n v="9"/>
    <s v="-17:30:00"/>
    <n v="0"/>
    <n v="9"/>
    <x v="5"/>
    <s v="A"/>
    <d v="2026-07-24T00:00:00"/>
    <n v="0"/>
    <n v="0"/>
    <n v="0"/>
    <n v="0"/>
    <n v="0"/>
  </r>
  <r>
    <x v="5"/>
    <n v="25.5"/>
    <n v="1.5"/>
    <n v="0"/>
    <n v="0"/>
    <s v="5, 12, 24, 26"/>
    <x v="24"/>
    <s v="KRISHNAIAH"/>
    <x v="0"/>
    <s v="Staff"/>
    <s v="GS"/>
    <d v="1899-12-30T09:00:02"/>
    <d v="1899-12-30T18:31:41"/>
    <n v="9.5299999999999994"/>
    <s v="-00:00:02"/>
    <n v="0"/>
    <s v="01:01:41"/>
    <n v="1.03"/>
    <n v="1.03"/>
    <x v="5"/>
    <s v="P"/>
    <d v="2026-07-25T00:00:00"/>
    <n v="1"/>
    <n v="1"/>
    <n v="0"/>
    <n v="0"/>
    <n v="0"/>
  </r>
  <r>
    <x v="5"/>
    <n v="25.5"/>
    <n v="1.5"/>
    <n v="0"/>
    <n v="0"/>
    <s v="5, 12, 24, 26"/>
    <x v="25"/>
    <s v="KRISHNAIAH"/>
    <x v="0"/>
    <s v="Staff"/>
    <s v="NA"/>
    <d v="1899-12-30T00:00:00"/>
    <d v="1899-12-30T00:00:00"/>
    <n v="0"/>
    <s v="09:00:00"/>
    <n v="9"/>
    <s v="-17:30:00"/>
    <n v="0"/>
    <n v="9"/>
    <x v="5"/>
    <s v="A"/>
    <d v="2026-07-26T00:00:00"/>
    <n v="0"/>
    <n v="0"/>
    <n v="0"/>
    <n v="0"/>
    <n v="0"/>
  </r>
  <r>
    <x v="5"/>
    <n v="25.5"/>
    <n v="1.5"/>
    <n v="0"/>
    <n v="0"/>
    <s v="5, 12, 24, 26"/>
    <x v="26"/>
    <s v="KRISHNAIAH"/>
    <x v="0"/>
    <s v="Staff"/>
    <s v="GS"/>
    <d v="1899-12-30T08:49:17"/>
    <d v="1899-12-30T18:30:11"/>
    <n v="9.68"/>
    <s v="00:10:43"/>
    <n v="0"/>
    <s v="01:00:11"/>
    <n v="1"/>
    <n v="1"/>
    <x v="5"/>
    <s v="P"/>
    <d v="2026-07-27T00:00:00"/>
    <n v="1"/>
    <n v="1"/>
    <n v="0"/>
    <n v="0"/>
    <n v="0"/>
  </r>
  <r>
    <x v="5"/>
    <n v="25.5"/>
    <n v="1.5"/>
    <n v="0"/>
    <n v="0"/>
    <s v="5, 12, 24, 26"/>
    <x v="27"/>
    <s v="KRISHNAIAH"/>
    <x v="0"/>
    <s v="Staff"/>
    <s v="GS"/>
    <d v="1899-12-30T09:33:47"/>
    <d v="1899-12-30T18:29:39"/>
    <n v="8.93"/>
    <s v="-00:33:47"/>
    <n v="0"/>
    <s v="00:59:39"/>
    <n v="0.99"/>
    <n v="0.99"/>
    <x v="5"/>
    <s v="P"/>
    <d v="2026-07-28T00:00:00"/>
    <n v="1"/>
    <n v="1"/>
    <n v="0"/>
    <n v="0"/>
    <n v="0"/>
  </r>
  <r>
    <x v="5"/>
    <n v="25.5"/>
    <n v="1.5"/>
    <n v="0"/>
    <n v="0"/>
    <s v="5, 12, 24, 26"/>
    <x v="28"/>
    <s v="KRISHNAIAH"/>
    <x v="0"/>
    <s v="Staff"/>
    <s v="GS"/>
    <d v="1899-12-30T09:01:31"/>
    <d v="1899-12-30T18:28:34"/>
    <n v="9.4499999999999993"/>
    <s v="-00:01:31"/>
    <n v="0"/>
    <s v="00:58:34"/>
    <n v="0.98"/>
    <n v="0.98"/>
    <x v="5"/>
    <s v="P"/>
    <d v="2026-07-29T00:00:00"/>
    <n v="1"/>
    <n v="1"/>
    <n v="0"/>
    <n v="0"/>
    <n v="0"/>
  </r>
  <r>
    <x v="5"/>
    <n v="25.5"/>
    <n v="1.5"/>
    <n v="0"/>
    <n v="0"/>
    <s v="5, 12, 24, 26"/>
    <x v="29"/>
    <s v="KRISHNAIAH"/>
    <x v="0"/>
    <s v="Staff"/>
    <s v="GS"/>
    <d v="1899-12-30T09:45:56"/>
    <d v="1899-12-30T18:29:40"/>
    <n v="8.73"/>
    <s v="-00:45:56"/>
    <n v="0"/>
    <s v="00:59:40"/>
    <n v="0.99"/>
    <n v="0.99"/>
    <x v="5"/>
    <s v="P"/>
    <d v="2026-07-30T00:00:00"/>
    <n v="1"/>
    <n v="1"/>
    <n v="0"/>
    <n v="0"/>
    <n v="0"/>
  </r>
  <r>
    <x v="5"/>
    <n v="25.5"/>
    <n v="1.5"/>
    <n v="0"/>
    <n v="0"/>
    <s v="5, 12, 24, 26"/>
    <x v="30"/>
    <s v="KRISHNAIAH"/>
    <x v="0"/>
    <s v="Staff"/>
    <s v="GS"/>
    <d v="1899-12-30T09:04:21"/>
    <d v="1899-12-30T17:42:24"/>
    <n v="8.6300000000000008"/>
    <s v="-00:04:21"/>
    <n v="0"/>
    <s v="00:12:24"/>
    <n v="0"/>
    <n v="0"/>
    <x v="5"/>
    <s v="P"/>
    <d v="2026-07-31T00:00:00"/>
    <n v="1"/>
    <n v="1"/>
    <n v="0"/>
    <n v="0"/>
    <n v="0"/>
  </r>
  <r>
    <x v="6"/>
    <n v="27"/>
    <n v="0"/>
    <n v="0"/>
    <n v="0"/>
    <s v="5, 12, 26"/>
    <x v="0"/>
    <s v="SIVARANJANI"/>
    <x v="0"/>
    <s v="Staff"/>
    <s v="GS"/>
    <d v="1899-12-30T08:59:01"/>
    <d v="1899-12-30T17:34:34"/>
    <n v="8.59"/>
    <s v="00:00:59"/>
    <n v="0"/>
    <s v="00:04:34"/>
    <n v="0"/>
    <n v="0"/>
    <x v="6"/>
    <s v="P"/>
    <d v="2026-07-01T00:00:00"/>
    <n v="1"/>
    <n v="1"/>
    <n v="0"/>
    <n v="0"/>
    <n v="0"/>
  </r>
  <r>
    <x v="6"/>
    <n v="27"/>
    <n v="0"/>
    <n v="0"/>
    <n v="0"/>
    <s v="5, 12, 26"/>
    <x v="1"/>
    <s v="SIVARANJANI"/>
    <x v="0"/>
    <s v="Staff"/>
    <s v="GS"/>
    <d v="1899-12-30T09:09:14"/>
    <d v="1899-12-30T17:35:37"/>
    <n v="8.44"/>
    <s v="-00:09:14"/>
    <n v="0"/>
    <s v="00:05:37"/>
    <n v="0"/>
    <n v="0"/>
    <x v="6"/>
    <s v="P"/>
    <d v="2026-07-02T00:00:00"/>
    <n v="1"/>
    <n v="1"/>
    <n v="0"/>
    <n v="0"/>
    <n v="0"/>
  </r>
  <r>
    <x v="6"/>
    <n v="27"/>
    <n v="0"/>
    <n v="0"/>
    <n v="0"/>
    <s v="5, 12, 26"/>
    <x v="2"/>
    <s v="SIVARANJANI"/>
    <x v="0"/>
    <s v="Staff"/>
    <s v="GS"/>
    <d v="1899-12-30T08:58:22"/>
    <d v="1899-12-30T17:38:11"/>
    <n v="8.66"/>
    <s v="00:01:38"/>
    <n v="0"/>
    <s v="00:08:11"/>
    <n v="0"/>
    <n v="0"/>
    <x v="6"/>
    <s v="P"/>
    <d v="2026-07-03T00:00:00"/>
    <n v="1"/>
    <n v="1"/>
    <n v="0"/>
    <n v="0"/>
    <n v="0"/>
  </r>
  <r>
    <x v="6"/>
    <n v="27"/>
    <n v="0"/>
    <n v="0"/>
    <n v="0"/>
    <s v="5, 12, 26"/>
    <x v="3"/>
    <s v="SIVARANJANI"/>
    <x v="0"/>
    <s v="Staff"/>
    <s v="GS"/>
    <d v="1899-12-30T08:56:05"/>
    <d v="1899-12-30T17:32:51"/>
    <n v="8.61"/>
    <s v="00:03:55"/>
    <n v="0"/>
    <s v="00:02:51"/>
    <n v="0"/>
    <n v="0"/>
    <x v="6"/>
    <s v="P"/>
    <d v="2026-07-04T00:00:00"/>
    <n v="1"/>
    <n v="1"/>
    <n v="0"/>
    <n v="0"/>
    <n v="0"/>
  </r>
  <r>
    <x v="6"/>
    <n v="27"/>
    <n v="0"/>
    <n v="0"/>
    <n v="0"/>
    <s v="5, 12, 26"/>
    <x v="4"/>
    <s v="SIVARANJANI"/>
    <x v="0"/>
    <s v="Staff"/>
    <s v="NA"/>
    <d v="1899-12-30T00:00:00"/>
    <d v="1899-12-30T00:00:00"/>
    <n v="0"/>
    <s v="09:00:00"/>
    <n v="9"/>
    <s v="-17:30:00"/>
    <n v="0"/>
    <n v="9"/>
    <x v="6"/>
    <s v="A"/>
    <d v="2026-07-05T00:00:00"/>
    <n v="0"/>
    <n v="0"/>
    <n v="0"/>
    <n v="0"/>
    <n v="0"/>
  </r>
  <r>
    <x v="6"/>
    <n v="27"/>
    <n v="0"/>
    <n v="0"/>
    <n v="0"/>
    <s v="5, 12, 26"/>
    <x v="5"/>
    <s v="SIVARANJANI"/>
    <x v="0"/>
    <s v="Staff"/>
    <s v="GS"/>
    <d v="1899-12-30T09:06:02"/>
    <d v="1899-12-30T17:36:33"/>
    <n v="8.51"/>
    <s v="-00:06:02"/>
    <n v="0"/>
    <s v="00:06:33"/>
    <n v="0"/>
    <n v="0"/>
    <x v="6"/>
    <s v="P"/>
    <d v="2026-07-06T00:00:00"/>
    <n v="1"/>
    <n v="1"/>
    <n v="0"/>
    <n v="0"/>
    <n v="0"/>
  </r>
  <r>
    <x v="6"/>
    <n v="27"/>
    <n v="0"/>
    <n v="0"/>
    <n v="0"/>
    <s v="5, 12, 26"/>
    <x v="6"/>
    <s v="SIVARANJANI"/>
    <x v="0"/>
    <s v="Staff"/>
    <s v="GS"/>
    <d v="1899-12-30T09:01:09"/>
    <d v="1899-12-30T18:27:39"/>
    <n v="9.44"/>
    <s v="-00:01:09"/>
    <n v="0"/>
    <s v="00:57:39"/>
    <n v="0.96"/>
    <n v="0.96"/>
    <x v="6"/>
    <s v="P"/>
    <d v="2026-07-07T00:00:00"/>
    <n v="1"/>
    <n v="1"/>
    <n v="0"/>
    <n v="0"/>
    <n v="0"/>
  </r>
  <r>
    <x v="6"/>
    <n v="27"/>
    <n v="0"/>
    <n v="0"/>
    <n v="0"/>
    <s v="5, 12, 26"/>
    <x v="7"/>
    <s v="SIVARANJANI"/>
    <x v="0"/>
    <s v="Staff"/>
    <s v="GS"/>
    <d v="1899-12-30T09:00:43"/>
    <d v="1899-12-30T18:30:31"/>
    <n v="9.5"/>
    <s v="-00:00:43"/>
    <n v="0"/>
    <s v="01:00:31"/>
    <n v="1.01"/>
    <n v="1.01"/>
    <x v="6"/>
    <s v="P"/>
    <d v="2026-07-08T00:00:00"/>
    <n v="1"/>
    <n v="1"/>
    <n v="0"/>
    <n v="0"/>
    <n v="0"/>
  </r>
  <r>
    <x v="6"/>
    <n v="27"/>
    <n v="0"/>
    <n v="0"/>
    <n v="0"/>
    <s v="5, 12, 26"/>
    <x v="8"/>
    <s v="SIVARANJANI"/>
    <x v="0"/>
    <s v="Staff"/>
    <s v="GS"/>
    <d v="1899-12-30T09:00:26"/>
    <d v="1899-12-30T18:31:49"/>
    <n v="9.52"/>
    <s v="-00:00:26"/>
    <n v="0"/>
    <s v="01:01:49"/>
    <n v="1.03"/>
    <n v="1.03"/>
    <x v="6"/>
    <s v="P"/>
    <d v="2026-07-09T00:00:00"/>
    <n v="1"/>
    <n v="1"/>
    <n v="0"/>
    <n v="0"/>
    <n v="0"/>
  </r>
  <r>
    <x v="6"/>
    <n v="27"/>
    <n v="0"/>
    <n v="0"/>
    <n v="0"/>
    <s v="5, 12, 26"/>
    <x v="9"/>
    <s v="SIVARANJANI"/>
    <x v="0"/>
    <s v="Staff"/>
    <s v="GS"/>
    <d v="1899-12-30T09:02:00"/>
    <d v="1899-12-30T18:32:54"/>
    <n v="9.52"/>
    <s v="-00:02:00"/>
    <n v="0"/>
    <s v="01:02:54"/>
    <n v="1.05"/>
    <n v="1.05"/>
    <x v="6"/>
    <s v="P"/>
    <d v="2026-07-10T00:00:00"/>
    <n v="1"/>
    <n v="1"/>
    <n v="0"/>
    <n v="0"/>
    <n v="0"/>
  </r>
  <r>
    <x v="6"/>
    <n v="27"/>
    <n v="0"/>
    <n v="0"/>
    <n v="0"/>
    <s v="5, 12, 26"/>
    <x v="10"/>
    <s v="SIVARANJANI"/>
    <x v="0"/>
    <s v="Staff"/>
    <s v="GS"/>
    <d v="1899-12-30T08:56:31"/>
    <d v="1899-12-30T18:30:53"/>
    <n v="9.57"/>
    <s v="00:03:29"/>
    <n v="0"/>
    <s v="01:00:53"/>
    <n v="1.01"/>
    <n v="1.01"/>
    <x v="6"/>
    <s v="P"/>
    <d v="2026-07-11T00:00:00"/>
    <n v="1"/>
    <n v="1"/>
    <n v="0"/>
    <n v="0"/>
    <n v="0"/>
  </r>
  <r>
    <x v="6"/>
    <n v="27"/>
    <n v="0"/>
    <n v="0"/>
    <n v="0"/>
    <s v="5, 12, 26"/>
    <x v="11"/>
    <s v="SIVARANJANI"/>
    <x v="0"/>
    <s v="Staff"/>
    <s v="NA"/>
    <d v="1899-12-30T00:00:00"/>
    <d v="1899-12-30T00:00:00"/>
    <n v="0"/>
    <s v="09:00:00"/>
    <n v="9"/>
    <s v="-17:30:00"/>
    <n v="0"/>
    <n v="9"/>
    <x v="6"/>
    <s v="A"/>
    <d v="2026-07-12T00:00:00"/>
    <n v="0"/>
    <n v="0"/>
    <n v="0"/>
    <n v="0"/>
    <n v="0"/>
  </r>
  <r>
    <x v="6"/>
    <n v="27"/>
    <n v="0"/>
    <n v="0"/>
    <n v="0"/>
    <s v="5, 12, 26"/>
    <x v="12"/>
    <s v="SIVARANJANI"/>
    <x v="0"/>
    <s v="Staff"/>
    <s v="GS"/>
    <d v="1899-12-30T08:52:10"/>
    <d v="1899-12-30T17:44:11"/>
    <n v="8.8699999999999992"/>
    <s v="00:07:50"/>
    <n v="0"/>
    <s v="00:14:11"/>
    <n v="0"/>
    <n v="0"/>
    <x v="6"/>
    <s v="P"/>
    <d v="2026-07-13T00:00:00"/>
    <n v="1"/>
    <n v="1"/>
    <n v="0"/>
    <n v="0"/>
    <n v="0"/>
  </r>
  <r>
    <x v="6"/>
    <n v="27"/>
    <n v="0"/>
    <n v="0"/>
    <n v="0"/>
    <s v="5, 12, 26"/>
    <x v="13"/>
    <s v="SIVARANJANI"/>
    <x v="0"/>
    <s v="Staff"/>
    <s v="GS"/>
    <d v="1899-12-30T08:54:59"/>
    <d v="1899-12-30T18:31:20"/>
    <n v="9.61"/>
    <s v="00:05:01"/>
    <n v="0"/>
    <s v="01:01:20"/>
    <n v="1.02"/>
    <n v="1.02"/>
    <x v="6"/>
    <s v="P"/>
    <d v="2026-07-14T00:00:00"/>
    <n v="1"/>
    <n v="1"/>
    <n v="0"/>
    <n v="0"/>
    <n v="0"/>
  </r>
  <r>
    <x v="6"/>
    <n v="27"/>
    <n v="0"/>
    <n v="0"/>
    <n v="0"/>
    <s v="5, 12, 26"/>
    <x v="14"/>
    <s v="SIVARANJANI"/>
    <x v="0"/>
    <s v="Staff"/>
    <s v="GS"/>
    <d v="1899-12-30T08:57:59"/>
    <d v="1899-12-30T18:20:44"/>
    <n v="9.3800000000000008"/>
    <s v="00:02:01"/>
    <n v="0"/>
    <s v="00:50:44"/>
    <n v="0.85"/>
    <n v="0.85"/>
    <x v="6"/>
    <s v="P"/>
    <d v="2026-07-15T00:00:00"/>
    <n v="1"/>
    <n v="1"/>
    <n v="0"/>
    <n v="0"/>
    <n v="0"/>
  </r>
  <r>
    <x v="6"/>
    <n v="27"/>
    <n v="0"/>
    <n v="0"/>
    <n v="0"/>
    <s v="5, 12, 26"/>
    <x v="15"/>
    <s v="SIVARANJANI"/>
    <x v="0"/>
    <s v="Staff"/>
    <s v="GS"/>
    <d v="1899-12-30T08:55:04"/>
    <d v="1899-12-30T18:28:32"/>
    <n v="9.56"/>
    <s v="00:04:56"/>
    <n v="0"/>
    <s v="00:58:32"/>
    <n v="0.98"/>
    <n v="0.98"/>
    <x v="6"/>
    <s v="P"/>
    <d v="2026-07-16T00:00:00"/>
    <n v="1"/>
    <n v="1"/>
    <n v="0"/>
    <n v="0"/>
    <n v="0"/>
  </r>
  <r>
    <x v="6"/>
    <n v="27"/>
    <n v="0"/>
    <n v="0"/>
    <n v="0"/>
    <s v="5, 12, 26"/>
    <x v="16"/>
    <s v="SIVARANJANI"/>
    <x v="0"/>
    <s v="Staff"/>
    <s v="GS"/>
    <d v="1899-12-30T08:55:15"/>
    <d v="1899-12-30T18:27:11"/>
    <n v="9.5299999999999994"/>
    <s v="00:04:45"/>
    <n v="0"/>
    <s v="00:57:11"/>
    <n v="0.95"/>
    <n v="0.95"/>
    <x v="6"/>
    <s v="P"/>
    <d v="2026-07-17T00:00:00"/>
    <n v="1"/>
    <n v="1"/>
    <n v="0"/>
    <n v="0"/>
    <n v="0"/>
  </r>
  <r>
    <x v="6"/>
    <n v="27"/>
    <n v="0"/>
    <n v="0"/>
    <n v="0"/>
    <s v="5, 12, 26"/>
    <x v="17"/>
    <s v="SIVARANJANI"/>
    <x v="0"/>
    <s v="Staff"/>
    <s v="GS"/>
    <d v="1899-12-30T09:16:20"/>
    <d v="1899-12-30T17:34:29"/>
    <n v="8.3000000000000007"/>
    <s v="-00:16:20"/>
    <n v="0"/>
    <s v="00:04:29"/>
    <n v="0"/>
    <n v="0"/>
    <x v="6"/>
    <s v="P"/>
    <d v="2026-07-18T00:00:00"/>
    <n v="1"/>
    <n v="1"/>
    <n v="0"/>
    <n v="0"/>
    <n v="0"/>
  </r>
  <r>
    <x v="6"/>
    <n v="27"/>
    <n v="0"/>
    <n v="0"/>
    <n v="0"/>
    <s v="5, 12, 26"/>
    <x v="18"/>
    <s v="SIVARANJANI"/>
    <x v="0"/>
    <s v="Staff"/>
    <s v="GS"/>
    <d v="1899-12-30T09:25:43"/>
    <d v="1899-12-30T16:36:40"/>
    <n v="7.18"/>
    <s v="-00:25:43"/>
    <n v="0"/>
    <s v="-00:53:20"/>
    <n v="0"/>
    <n v="0"/>
    <x v="6"/>
    <s v="P"/>
    <d v="2026-07-19T00:00:00"/>
    <n v="1"/>
    <n v="0"/>
    <n v="1"/>
    <n v="0"/>
    <n v="0"/>
  </r>
  <r>
    <x v="6"/>
    <n v="27"/>
    <n v="0"/>
    <n v="0"/>
    <n v="0"/>
    <s v="5, 12, 26"/>
    <x v="19"/>
    <s v="SIVARANJANI"/>
    <x v="0"/>
    <s v="Staff"/>
    <s v="GS"/>
    <d v="1899-12-30T08:58:12"/>
    <d v="1899-12-30T17:39:31"/>
    <n v="8.69"/>
    <s v="00:01:48"/>
    <n v="0"/>
    <s v="00:09:31"/>
    <n v="0"/>
    <n v="0"/>
    <x v="6"/>
    <s v="P"/>
    <d v="2026-07-20T00:00:00"/>
    <n v="1"/>
    <n v="1"/>
    <n v="0"/>
    <n v="0"/>
    <n v="0"/>
  </r>
  <r>
    <x v="6"/>
    <n v="27"/>
    <n v="0"/>
    <n v="0"/>
    <n v="0"/>
    <s v="5, 12, 26"/>
    <x v="20"/>
    <s v="SIVARANJANI"/>
    <x v="0"/>
    <s v="Staff"/>
    <s v="GS"/>
    <d v="1899-12-30T08:58:43"/>
    <d v="1899-12-30T17:30:00"/>
    <n v="8.52"/>
    <s v="00:01:17"/>
    <n v="0"/>
    <s v="00:00:00"/>
    <n v="0"/>
    <n v="0"/>
    <x v="6"/>
    <s v="P"/>
    <d v="2026-07-21T00:00:00"/>
    <n v="1"/>
    <n v="1"/>
    <n v="0"/>
    <n v="0"/>
    <n v="0"/>
  </r>
  <r>
    <x v="6"/>
    <n v="27"/>
    <n v="0"/>
    <n v="0"/>
    <n v="0"/>
    <s v="5, 12, 26"/>
    <x v="21"/>
    <s v="SIVARANJANI"/>
    <x v="0"/>
    <s v="Staff"/>
    <s v="GS"/>
    <d v="1899-12-30T09:10:20"/>
    <d v="1899-12-30T17:30:00"/>
    <n v="8.33"/>
    <s v="-00:10:20"/>
    <n v="0"/>
    <s v="00:00:00"/>
    <n v="0"/>
    <n v="0"/>
    <x v="6"/>
    <s v="P"/>
    <d v="2026-07-22T00:00:00"/>
    <n v="1"/>
    <n v="1"/>
    <n v="0"/>
    <n v="0"/>
    <n v="0"/>
  </r>
  <r>
    <x v="6"/>
    <n v="27"/>
    <n v="0"/>
    <n v="0"/>
    <n v="0"/>
    <s v="5, 12, 26"/>
    <x v="22"/>
    <s v="SIVARANJANI"/>
    <x v="0"/>
    <s v="Staff"/>
    <s v="GS"/>
    <d v="1899-12-30T08:55:18"/>
    <d v="1899-12-30T18:32:10"/>
    <n v="9.61"/>
    <s v="00:04:42"/>
    <n v="0"/>
    <s v="01:02:10"/>
    <n v="1.04"/>
    <n v="1.04"/>
    <x v="6"/>
    <s v="P"/>
    <d v="2026-07-23T00:00:00"/>
    <n v="1"/>
    <n v="1"/>
    <n v="0"/>
    <n v="0"/>
    <n v="0"/>
  </r>
  <r>
    <x v="6"/>
    <n v="27"/>
    <n v="0"/>
    <n v="0"/>
    <n v="0"/>
    <s v="5, 12, 26"/>
    <x v="23"/>
    <s v="SIVARANJANI"/>
    <x v="0"/>
    <s v="Staff"/>
    <s v="GS"/>
    <d v="1899-12-30T08:57:00"/>
    <d v="1899-12-30T18:35:58"/>
    <n v="9.65"/>
    <s v="00:03:00"/>
    <n v="0"/>
    <s v="01:05:58"/>
    <n v="1.1000000000000001"/>
    <n v="1.1000000000000001"/>
    <x v="6"/>
    <s v="P"/>
    <d v="2026-07-24T00:00:00"/>
    <n v="1"/>
    <n v="1"/>
    <n v="0"/>
    <n v="0"/>
    <n v="0"/>
  </r>
  <r>
    <x v="6"/>
    <n v="27"/>
    <n v="0"/>
    <n v="0"/>
    <n v="0"/>
    <s v="5, 12, 26"/>
    <x v="24"/>
    <s v="SIVARANJANI"/>
    <x v="0"/>
    <s v="Staff"/>
    <s v="GS"/>
    <d v="1899-12-30T08:56:43"/>
    <d v="1899-12-30T18:32:51"/>
    <n v="9.6"/>
    <s v="00:03:17"/>
    <n v="0"/>
    <s v="01:02:51"/>
    <n v="1.05"/>
    <n v="1.05"/>
    <x v="6"/>
    <s v="P"/>
    <d v="2026-07-25T00:00:00"/>
    <n v="1"/>
    <n v="1"/>
    <n v="0"/>
    <n v="0"/>
    <n v="0"/>
  </r>
  <r>
    <x v="6"/>
    <n v="27"/>
    <n v="0"/>
    <n v="0"/>
    <n v="0"/>
    <s v="5, 12, 26"/>
    <x v="25"/>
    <s v="SIVARANJANI"/>
    <x v="0"/>
    <s v="Staff"/>
    <s v="NA"/>
    <d v="1899-12-30T00:00:00"/>
    <d v="1899-12-30T00:00:00"/>
    <n v="0"/>
    <s v="09:00:00"/>
    <n v="9"/>
    <s v="-17:30:00"/>
    <n v="0"/>
    <n v="9"/>
    <x v="6"/>
    <s v="A"/>
    <d v="2026-07-26T00:00:00"/>
    <n v="0"/>
    <n v="0"/>
    <n v="0"/>
    <n v="0"/>
    <n v="0"/>
  </r>
  <r>
    <x v="6"/>
    <n v="27"/>
    <n v="0"/>
    <n v="0"/>
    <n v="0"/>
    <s v="5, 12, 26"/>
    <x v="26"/>
    <s v="SIVARANJANI"/>
    <x v="0"/>
    <s v="Staff"/>
    <s v="GS"/>
    <d v="1899-12-30T08:54:44"/>
    <d v="1899-12-30T18:34:22"/>
    <n v="9.66"/>
    <s v="00:05:16"/>
    <n v="0"/>
    <s v="01:04:22"/>
    <n v="1.07"/>
    <n v="1.07"/>
    <x v="6"/>
    <s v="P"/>
    <d v="2026-07-27T00:00:00"/>
    <n v="1"/>
    <n v="1"/>
    <n v="0"/>
    <n v="0"/>
    <n v="0"/>
  </r>
  <r>
    <x v="6"/>
    <n v="27"/>
    <n v="0"/>
    <n v="0"/>
    <n v="0"/>
    <s v="5, 12, 26"/>
    <x v="27"/>
    <s v="SIVARANJANI"/>
    <x v="0"/>
    <s v="Staff"/>
    <s v="GS"/>
    <d v="1899-12-30T08:54:17"/>
    <d v="1899-12-30T18:27:26"/>
    <n v="9.5500000000000007"/>
    <s v="00:05:43"/>
    <n v="0"/>
    <s v="00:57:26"/>
    <n v="0.96"/>
    <n v="0.96"/>
    <x v="6"/>
    <s v="P"/>
    <d v="2026-07-28T00:00:00"/>
    <n v="1"/>
    <n v="1"/>
    <n v="0"/>
    <n v="0"/>
    <n v="0"/>
  </r>
  <r>
    <x v="6"/>
    <n v="27"/>
    <n v="0"/>
    <n v="0"/>
    <n v="0"/>
    <s v="5, 12, 26"/>
    <x v="28"/>
    <s v="SIVARANJANI"/>
    <x v="0"/>
    <s v="Staff"/>
    <s v="GS"/>
    <d v="1899-12-30T08:57:10"/>
    <d v="1899-12-30T18:28:49"/>
    <n v="9.5299999999999994"/>
    <s v="00:02:50"/>
    <n v="0"/>
    <s v="00:58:49"/>
    <n v="0.98"/>
    <n v="0.98"/>
    <x v="6"/>
    <s v="P"/>
    <d v="2026-07-29T00:00:00"/>
    <n v="1"/>
    <n v="1"/>
    <n v="0"/>
    <n v="0"/>
    <n v="0"/>
  </r>
  <r>
    <x v="6"/>
    <n v="27"/>
    <n v="0"/>
    <n v="0"/>
    <n v="0"/>
    <s v="5, 12, 26"/>
    <x v="29"/>
    <s v="SIVARANJANI"/>
    <x v="0"/>
    <s v="Staff"/>
    <s v="GS"/>
    <d v="1899-12-30T08:59:01"/>
    <d v="1899-12-30T17:30:00"/>
    <n v="8.52"/>
    <s v="00:00:59"/>
    <n v="0"/>
    <s v="00:00:00"/>
    <n v="0"/>
    <n v="0"/>
    <x v="6"/>
    <s v="P"/>
    <d v="2026-07-30T00:00:00"/>
    <n v="1"/>
    <n v="1"/>
    <n v="0"/>
    <n v="0"/>
    <n v="0"/>
  </r>
  <r>
    <x v="6"/>
    <n v="27"/>
    <n v="0"/>
    <n v="0"/>
    <n v="0"/>
    <s v="5, 12, 26"/>
    <x v="30"/>
    <s v="SIVARANJANI"/>
    <x v="0"/>
    <s v="Staff"/>
    <s v="GS"/>
    <d v="1899-12-30T08:58:40"/>
    <d v="1899-12-30T18:29:15"/>
    <n v="9.51"/>
    <s v="00:01:20"/>
    <n v="0"/>
    <s v="00:59:15"/>
    <n v="0.99"/>
    <n v="0.99"/>
    <x v="6"/>
    <s v="P"/>
    <d v="2026-07-31T00:00:00"/>
    <n v="1"/>
    <n v="1"/>
    <n v="0"/>
    <n v="0"/>
    <n v="0"/>
  </r>
  <r>
    <x v="7"/>
    <n v="26.5"/>
    <n v="0.5"/>
    <n v="0"/>
    <n v="0"/>
    <s v="5, 12, 19, 26"/>
    <x v="0"/>
    <s v="SUGANYA"/>
    <x v="1"/>
    <s v="Company"/>
    <s v="GS"/>
    <d v="1899-12-30T08:53:23"/>
    <d v="1899-12-30T17:26:51"/>
    <n v="8.56"/>
    <s v="00:06:37"/>
    <n v="0"/>
    <s v="-00:03:09"/>
    <n v="0"/>
    <n v="0"/>
    <x v="7"/>
    <s v="P"/>
    <d v="2026-07-01T00:00:00"/>
    <n v="1"/>
    <n v="1"/>
    <n v="0"/>
    <n v="0"/>
    <n v="0"/>
  </r>
  <r>
    <x v="7"/>
    <n v="26.5"/>
    <n v="0.5"/>
    <n v="0"/>
    <n v="0"/>
    <s v="5, 12, 19, 26"/>
    <x v="1"/>
    <s v="SUGANYA"/>
    <x v="1"/>
    <s v="Company"/>
    <s v="GS"/>
    <d v="1899-12-30T08:59:36"/>
    <d v="1899-12-30T17:25:58"/>
    <n v="8.44"/>
    <s v="00:00:24"/>
    <n v="0"/>
    <s v="-00:04:02"/>
    <n v="0"/>
    <n v="0"/>
    <x v="7"/>
    <s v="P"/>
    <d v="2026-07-02T00:00:00"/>
    <n v="1"/>
    <n v="1"/>
    <n v="0"/>
    <n v="0"/>
    <n v="0"/>
  </r>
  <r>
    <x v="7"/>
    <n v="26.5"/>
    <n v="0.5"/>
    <n v="0"/>
    <n v="0"/>
    <s v="5, 12, 19, 26"/>
    <x v="2"/>
    <s v="SUGANYA"/>
    <x v="1"/>
    <s v="Company"/>
    <s v="GS"/>
    <d v="1899-12-30T08:54:39"/>
    <d v="1899-12-30T17:28:26"/>
    <n v="8.56"/>
    <s v="00:05:21"/>
    <n v="0"/>
    <s v="-00:01:34"/>
    <n v="0"/>
    <n v="0"/>
    <x v="7"/>
    <s v="P"/>
    <d v="2026-07-03T00:00:00"/>
    <n v="1"/>
    <n v="1"/>
    <n v="0"/>
    <n v="0"/>
    <n v="0"/>
  </r>
  <r>
    <x v="7"/>
    <n v="26.5"/>
    <n v="0.5"/>
    <n v="0"/>
    <n v="0"/>
    <s v="5, 12, 19, 26"/>
    <x v="3"/>
    <s v="SUGANYA"/>
    <x v="1"/>
    <s v="Company"/>
    <s v="GS"/>
    <d v="1899-12-30T08:50:48"/>
    <d v="1899-12-30T17:26:05"/>
    <n v="8.59"/>
    <s v="00:09:12"/>
    <n v="0"/>
    <s v="-00:03:55"/>
    <n v="0"/>
    <n v="0"/>
    <x v="7"/>
    <s v="P"/>
    <d v="2026-07-04T00:00:00"/>
    <n v="1"/>
    <n v="1"/>
    <n v="0"/>
    <n v="0"/>
    <n v="0"/>
  </r>
  <r>
    <x v="7"/>
    <n v="26.5"/>
    <n v="0.5"/>
    <n v="0"/>
    <n v="0"/>
    <s v="5, 12, 19, 26"/>
    <x v="4"/>
    <s v="SUGANYA"/>
    <x v="1"/>
    <s v="Company"/>
    <s v="NA"/>
    <d v="1899-12-30T00:00:00"/>
    <d v="1899-12-30T00:00:00"/>
    <n v="0"/>
    <s v="09:00:00"/>
    <n v="9"/>
    <s v="-17:30:00"/>
    <n v="0"/>
    <n v="9"/>
    <x v="7"/>
    <s v="A"/>
    <d v="2026-07-05T00:00:00"/>
    <n v="0"/>
    <n v="0"/>
    <n v="0"/>
    <n v="0"/>
    <n v="0"/>
  </r>
  <r>
    <x v="7"/>
    <n v="26.5"/>
    <n v="0.5"/>
    <n v="0"/>
    <n v="0"/>
    <s v="5, 12, 19, 26"/>
    <x v="5"/>
    <s v="SUGANYA"/>
    <x v="1"/>
    <s v="Company"/>
    <s v="GS"/>
    <d v="1899-12-30T09:01:46"/>
    <d v="1899-12-30T17:27:09"/>
    <n v="8.42"/>
    <s v="-00:01:46"/>
    <n v="0"/>
    <s v="-00:02:51"/>
    <n v="0"/>
    <n v="0"/>
    <x v="7"/>
    <s v="P"/>
    <d v="2026-07-06T00:00:00"/>
    <n v="1"/>
    <n v="1"/>
    <n v="0"/>
    <n v="0"/>
    <n v="0"/>
  </r>
  <r>
    <x v="7"/>
    <n v="26.5"/>
    <n v="0.5"/>
    <n v="0"/>
    <n v="0"/>
    <s v="5, 12, 19, 26"/>
    <x v="6"/>
    <s v="SUGANYA"/>
    <x v="1"/>
    <s v="Company"/>
    <s v="GS"/>
    <d v="1899-12-30T08:56:05"/>
    <d v="1899-12-30T18:25:50"/>
    <n v="9.5"/>
    <s v="00:03:55"/>
    <n v="0"/>
    <s v="00:55:50"/>
    <n v="0.93"/>
    <n v="0.93"/>
    <x v="7"/>
    <s v="P"/>
    <d v="2026-07-07T00:00:00"/>
    <n v="1"/>
    <n v="1"/>
    <n v="0"/>
    <n v="0"/>
    <n v="0"/>
  </r>
  <r>
    <x v="7"/>
    <n v="26.5"/>
    <n v="0.5"/>
    <n v="0"/>
    <n v="0"/>
    <s v="5, 12, 19, 26"/>
    <x v="7"/>
    <s v="SUGANYA"/>
    <x v="1"/>
    <s v="Company"/>
    <s v="GS"/>
    <d v="1899-12-30T08:55:34"/>
    <d v="1899-12-30T18:25:57"/>
    <n v="9.51"/>
    <s v="00:04:26"/>
    <n v="0"/>
    <s v="00:55:57"/>
    <n v="0.93"/>
    <n v="0.93"/>
    <x v="7"/>
    <s v="P"/>
    <d v="2026-07-08T00:00:00"/>
    <n v="1"/>
    <n v="1"/>
    <n v="0"/>
    <n v="0"/>
    <n v="0"/>
  </r>
  <r>
    <x v="7"/>
    <n v="26.5"/>
    <n v="0.5"/>
    <n v="0"/>
    <n v="0"/>
    <s v="5, 12, 19, 26"/>
    <x v="8"/>
    <s v="SUGANYA"/>
    <x v="1"/>
    <s v="Company"/>
    <s v="GS"/>
    <d v="1899-12-30T08:55:24"/>
    <d v="1899-12-30T18:26:22"/>
    <n v="9.52"/>
    <s v="00:04:36"/>
    <n v="0"/>
    <s v="00:56:22"/>
    <n v="0.94"/>
    <n v="0.94"/>
    <x v="7"/>
    <s v="P"/>
    <d v="2026-07-09T00:00:00"/>
    <n v="1"/>
    <n v="1"/>
    <n v="0"/>
    <n v="0"/>
    <n v="0"/>
  </r>
  <r>
    <x v="7"/>
    <n v="26.5"/>
    <n v="0.5"/>
    <n v="0"/>
    <n v="0"/>
    <s v="5, 12, 19, 26"/>
    <x v="9"/>
    <s v="SUGANYA"/>
    <x v="1"/>
    <s v="Company"/>
    <s v="GS"/>
    <d v="1899-12-30T08:57:40"/>
    <d v="1899-12-30T18:25:57"/>
    <n v="9.4700000000000006"/>
    <s v="00:02:20"/>
    <n v="0"/>
    <s v="00:55:57"/>
    <n v="0.93"/>
    <n v="0.93"/>
    <x v="7"/>
    <s v="P"/>
    <d v="2026-07-10T00:00:00"/>
    <n v="1"/>
    <n v="1"/>
    <n v="0"/>
    <n v="0"/>
    <n v="0"/>
  </r>
  <r>
    <x v="7"/>
    <n v="26.5"/>
    <n v="0.5"/>
    <n v="0"/>
    <n v="0"/>
    <s v="5, 12, 19, 26"/>
    <x v="10"/>
    <s v="SUGANYA"/>
    <x v="1"/>
    <s v="Company"/>
    <s v="GS"/>
    <d v="1899-12-30T08:51:08"/>
    <d v="1899-12-30T18:26:06"/>
    <n v="9.58"/>
    <s v="00:08:52"/>
    <n v="0"/>
    <s v="00:56:06"/>
    <n v="0.94"/>
    <n v="0.94"/>
    <x v="7"/>
    <s v="P"/>
    <d v="2026-07-11T00:00:00"/>
    <n v="1"/>
    <n v="1"/>
    <n v="0"/>
    <n v="0"/>
    <n v="0"/>
  </r>
  <r>
    <x v="7"/>
    <n v="26.5"/>
    <n v="0.5"/>
    <n v="0"/>
    <n v="0"/>
    <s v="5, 12, 19, 26"/>
    <x v="11"/>
    <s v="SUGANYA"/>
    <x v="1"/>
    <s v="Company"/>
    <s v="NA"/>
    <d v="1899-12-30T00:00:00"/>
    <d v="1899-12-30T00:00:00"/>
    <n v="0"/>
    <s v="09:00:00"/>
    <n v="9"/>
    <s v="-17:30:00"/>
    <n v="0"/>
    <n v="9"/>
    <x v="7"/>
    <s v="A"/>
    <d v="2026-07-12T00:00:00"/>
    <n v="0"/>
    <n v="0"/>
    <n v="0"/>
    <n v="0"/>
    <n v="0"/>
  </r>
  <r>
    <x v="7"/>
    <n v="26.5"/>
    <n v="0.5"/>
    <n v="0"/>
    <n v="0"/>
    <s v="5, 12, 19, 26"/>
    <x v="12"/>
    <s v="SUGANYA"/>
    <x v="1"/>
    <s v="Company"/>
    <s v="GS"/>
    <d v="1899-12-30T08:46:54"/>
    <d v="1899-12-30T18:26:19"/>
    <n v="9.66"/>
    <s v="00:13:06"/>
    <n v="0"/>
    <s v="00:56:19"/>
    <n v="0.94"/>
    <n v="0.94"/>
    <x v="7"/>
    <s v="P"/>
    <d v="2026-07-13T00:00:00"/>
    <n v="1"/>
    <n v="1"/>
    <n v="0"/>
    <n v="0"/>
    <n v="0"/>
  </r>
  <r>
    <x v="7"/>
    <n v="26.5"/>
    <n v="0.5"/>
    <n v="0"/>
    <n v="0"/>
    <s v="5, 12, 19, 26"/>
    <x v="13"/>
    <s v="SUGANYA"/>
    <x v="1"/>
    <s v="Company"/>
    <s v="GS"/>
    <d v="1899-12-30T08:49:55"/>
    <d v="1899-12-30T18:26:27"/>
    <n v="9.61"/>
    <s v="00:10:05"/>
    <n v="0"/>
    <s v="00:56:27"/>
    <n v="0.94"/>
    <n v="0.94"/>
    <x v="7"/>
    <s v="P"/>
    <d v="2026-07-14T00:00:00"/>
    <n v="1"/>
    <n v="1"/>
    <n v="0"/>
    <n v="0"/>
    <n v="0"/>
  </r>
  <r>
    <x v="7"/>
    <n v="26.5"/>
    <n v="0.5"/>
    <n v="0"/>
    <n v="0"/>
    <s v="5, 12, 19, 26"/>
    <x v="14"/>
    <s v="SUGANYA"/>
    <x v="1"/>
    <s v="Company"/>
    <s v="GS"/>
    <d v="1899-12-30T08:52:48"/>
    <d v="1899-12-30T13:00:00"/>
    <n v="4.12"/>
    <s v="00:07:12"/>
    <n v="0"/>
    <s v="-04:30:00"/>
    <n v="0"/>
    <n v="0"/>
    <x v="7"/>
    <s v="H"/>
    <d v="2026-07-15T00:00:00"/>
    <n v="0.5"/>
    <n v="0.5"/>
    <n v="0"/>
    <n v="0"/>
    <n v="0"/>
  </r>
  <r>
    <x v="7"/>
    <n v="26.5"/>
    <n v="0.5"/>
    <n v="0"/>
    <n v="0"/>
    <s v="5, 12, 19, 26"/>
    <x v="15"/>
    <s v="SUGANYA"/>
    <x v="1"/>
    <s v="Company"/>
    <s v="GS"/>
    <d v="1899-12-30T08:49:21"/>
    <d v="1899-12-30T18:26:29"/>
    <n v="9.6199999999999992"/>
    <s v="00:10:39"/>
    <n v="0"/>
    <s v="00:56:29"/>
    <n v="0.94"/>
    <n v="0.94"/>
    <x v="7"/>
    <s v="P"/>
    <d v="2026-07-16T00:00:00"/>
    <n v="1"/>
    <n v="1"/>
    <n v="0"/>
    <n v="0"/>
    <n v="0"/>
  </r>
  <r>
    <x v="7"/>
    <n v="26.5"/>
    <n v="0.5"/>
    <n v="0"/>
    <n v="0"/>
    <s v="5, 12, 19, 26"/>
    <x v="16"/>
    <s v="SUGANYA"/>
    <x v="1"/>
    <s v="Company"/>
    <s v="GS"/>
    <d v="1899-12-30T08:50:05"/>
    <d v="1899-12-30T18:26:04"/>
    <n v="9.6"/>
    <s v="00:09:55"/>
    <n v="0"/>
    <s v="00:56:04"/>
    <n v="0.93"/>
    <n v="0.93"/>
    <x v="7"/>
    <s v="P"/>
    <d v="2026-07-17T00:00:00"/>
    <n v="1"/>
    <n v="1"/>
    <n v="0"/>
    <n v="0"/>
    <n v="0"/>
  </r>
  <r>
    <x v="7"/>
    <n v="26.5"/>
    <n v="0.5"/>
    <n v="0"/>
    <n v="0"/>
    <s v="5, 12, 19, 26"/>
    <x v="17"/>
    <s v="SUGANYA"/>
    <x v="1"/>
    <s v="Company"/>
    <s v="GS"/>
    <d v="1899-12-30T08:55:17"/>
    <d v="1899-12-30T17:28:18"/>
    <n v="8.5500000000000007"/>
    <s v="00:04:43"/>
    <n v="0"/>
    <s v="-00:01:42"/>
    <n v="0"/>
    <n v="0"/>
    <x v="7"/>
    <s v="P"/>
    <d v="2026-07-18T00:00:00"/>
    <n v="1"/>
    <n v="1"/>
    <n v="0"/>
    <n v="0"/>
    <n v="0"/>
  </r>
  <r>
    <x v="7"/>
    <n v="26.5"/>
    <n v="0.5"/>
    <n v="0"/>
    <n v="0"/>
    <s v="5, 12, 19, 26"/>
    <x v="18"/>
    <s v="SUGANYA"/>
    <x v="1"/>
    <s v="Company"/>
    <s v="NA"/>
    <d v="1899-12-30T00:00:00"/>
    <d v="1899-12-30T00:00:00"/>
    <n v="0"/>
    <s v="09:00:00"/>
    <n v="9"/>
    <s v="-17:30:00"/>
    <n v="0"/>
    <n v="9"/>
    <x v="7"/>
    <s v="A"/>
    <d v="2026-07-19T00:00:00"/>
    <n v="0"/>
    <n v="0"/>
    <n v="0"/>
    <n v="0"/>
    <n v="0"/>
  </r>
  <r>
    <x v="7"/>
    <n v="26.5"/>
    <n v="0.5"/>
    <n v="0"/>
    <n v="0"/>
    <s v="5, 12, 19, 26"/>
    <x v="19"/>
    <s v="SUGANYA"/>
    <x v="1"/>
    <s v="Company"/>
    <s v="GS"/>
    <d v="1899-12-30T08:53:13"/>
    <d v="1899-12-30T18:25:47"/>
    <n v="9.5399999999999991"/>
    <s v="00:06:47"/>
    <n v="0"/>
    <s v="00:55:47"/>
    <n v="0.93"/>
    <n v="0.93"/>
    <x v="7"/>
    <s v="P"/>
    <d v="2026-07-20T00:00:00"/>
    <n v="1"/>
    <n v="1"/>
    <n v="0"/>
    <n v="0"/>
    <n v="0"/>
  </r>
  <r>
    <x v="7"/>
    <n v="26.5"/>
    <n v="0.5"/>
    <n v="0"/>
    <n v="0"/>
    <s v="5, 12, 19, 26"/>
    <x v="20"/>
    <s v="SUGANYA"/>
    <x v="1"/>
    <s v="Company"/>
    <s v="GS"/>
    <d v="1899-12-30T08:53:39"/>
    <d v="1899-12-30T17:27:07"/>
    <n v="8.56"/>
    <s v="00:06:21"/>
    <n v="0"/>
    <s v="-00:02:53"/>
    <n v="0"/>
    <n v="0"/>
    <x v="7"/>
    <s v="P"/>
    <d v="2026-07-21T00:00:00"/>
    <n v="1"/>
    <n v="1"/>
    <n v="0"/>
    <n v="0"/>
    <n v="0"/>
  </r>
  <r>
    <x v="7"/>
    <n v="26.5"/>
    <n v="0.5"/>
    <n v="0"/>
    <n v="0"/>
    <s v="5, 12, 19, 26"/>
    <x v="21"/>
    <s v="SUGANYA"/>
    <x v="1"/>
    <s v="Company"/>
    <s v="GS"/>
    <d v="1899-12-30T08:51:08"/>
    <d v="1899-12-30T18:27:12"/>
    <n v="9.6"/>
    <s v="00:08:52"/>
    <n v="0"/>
    <s v="00:57:12"/>
    <n v="0.95"/>
    <n v="0.95"/>
    <x v="7"/>
    <s v="P"/>
    <d v="2026-07-22T00:00:00"/>
    <n v="1"/>
    <n v="1"/>
    <n v="0"/>
    <n v="0"/>
    <n v="0"/>
  </r>
  <r>
    <x v="7"/>
    <n v="26.5"/>
    <n v="0.5"/>
    <n v="0"/>
    <n v="0"/>
    <s v="5, 12, 19, 26"/>
    <x v="22"/>
    <s v="SUGANYA"/>
    <x v="1"/>
    <s v="Company"/>
    <s v="GS"/>
    <d v="1899-12-30T08:50:22"/>
    <d v="1899-12-30T18:26:35"/>
    <n v="9.6"/>
    <s v="00:09:38"/>
    <n v="0"/>
    <s v="00:56:35"/>
    <n v="0.94"/>
    <n v="0.94"/>
    <x v="7"/>
    <s v="P"/>
    <d v="2026-07-23T00:00:00"/>
    <n v="1"/>
    <n v="1"/>
    <n v="0"/>
    <n v="0"/>
    <n v="0"/>
  </r>
  <r>
    <x v="7"/>
    <n v="26.5"/>
    <n v="0.5"/>
    <n v="0"/>
    <n v="0"/>
    <s v="5, 12, 19, 26"/>
    <x v="23"/>
    <s v="SUGANYA"/>
    <x v="1"/>
    <s v="Company"/>
    <s v="GS"/>
    <d v="1899-12-30T08:51:37"/>
    <d v="1899-12-30T18:26:19"/>
    <n v="9.58"/>
    <s v="00:08:23"/>
    <n v="0"/>
    <s v="00:56:19"/>
    <n v="0.94"/>
    <n v="0.94"/>
    <x v="7"/>
    <s v="P"/>
    <d v="2026-07-24T00:00:00"/>
    <n v="1"/>
    <n v="1"/>
    <n v="0"/>
    <n v="0"/>
    <n v="0"/>
  </r>
  <r>
    <x v="7"/>
    <n v="26.5"/>
    <n v="0.5"/>
    <n v="0"/>
    <n v="0"/>
    <s v="5, 12, 19, 26"/>
    <x v="24"/>
    <s v="SUGANYA"/>
    <x v="1"/>
    <s v="Company"/>
    <s v="GS"/>
    <d v="1899-12-30T08:52:42"/>
    <d v="1899-12-30T18:25:25"/>
    <n v="9.5500000000000007"/>
    <s v="00:07:18"/>
    <n v="0"/>
    <s v="00:55:25"/>
    <n v="0.92"/>
    <n v="0.92"/>
    <x v="7"/>
    <s v="P"/>
    <d v="2026-07-25T00:00:00"/>
    <n v="1"/>
    <n v="1"/>
    <n v="0"/>
    <n v="0"/>
    <n v="0"/>
  </r>
  <r>
    <x v="7"/>
    <n v="26.5"/>
    <n v="0.5"/>
    <n v="0"/>
    <n v="0"/>
    <s v="5, 12, 19, 26"/>
    <x v="25"/>
    <s v="SUGANYA"/>
    <x v="1"/>
    <s v="Company"/>
    <s v="NA"/>
    <d v="1899-12-30T00:00:00"/>
    <d v="1899-12-30T00:00:00"/>
    <n v="0"/>
    <s v="09:00:00"/>
    <n v="9"/>
    <s v="-17:30:00"/>
    <n v="0"/>
    <n v="9"/>
    <x v="7"/>
    <s v="A"/>
    <d v="2026-07-26T00:00:00"/>
    <n v="0"/>
    <n v="0"/>
    <n v="0"/>
    <n v="0"/>
    <n v="0"/>
  </r>
  <r>
    <x v="7"/>
    <n v="26.5"/>
    <n v="0.5"/>
    <n v="0"/>
    <n v="0"/>
    <s v="5, 12, 19, 26"/>
    <x v="26"/>
    <s v="SUGANYA"/>
    <x v="1"/>
    <s v="Company"/>
    <s v="GS"/>
    <d v="1899-12-30T08:49:13"/>
    <d v="1899-12-30T18:26:10"/>
    <n v="9.6199999999999992"/>
    <s v="00:10:47"/>
    <n v="0"/>
    <s v="00:56:10"/>
    <n v="0.94"/>
    <n v="0.94"/>
    <x v="7"/>
    <s v="P"/>
    <d v="2026-07-27T00:00:00"/>
    <n v="1"/>
    <n v="1"/>
    <n v="0"/>
    <n v="0"/>
    <n v="0"/>
  </r>
  <r>
    <x v="7"/>
    <n v="26.5"/>
    <n v="0.5"/>
    <n v="0"/>
    <n v="0"/>
    <s v="5, 12, 19, 26"/>
    <x v="27"/>
    <s v="SUGANYA"/>
    <x v="1"/>
    <s v="Company"/>
    <s v="GS"/>
    <d v="1899-12-30T08:49:15"/>
    <d v="1899-12-30T18:25:11"/>
    <n v="9.6"/>
    <s v="00:10:45"/>
    <n v="0"/>
    <s v="00:55:11"/>
    <n v="0.92"/>
    <n v="0.92"/>
    <x v="7"/>
    <s v="P"/>
    <d v="2026-07-28T00:00:00"/>
    <n v="1"/>
    <n v="1"/>
    <n v="0"/>
    <n v="0"/>
    <n v="0"/>
  </r>
  <r>
    <x v="7"/>
    <n v="26.5"/>
    <n v="0.5"/>
    <n v="0"/>
    <n v="0"/>
    <s v="5, 12, 19, 26"/>
    <x v="28"/>
    <s v="SUGANYA"/>
    <x v="1"/>
    <s v="Company"/>
    <s v="GS"/>
    <d v="1899-12-30T08:51:06"/>
    <d v="1899-12-30T18:24:44"/>
    <n v="9.56"/>
    <s v="00:08:54"/>
    <n v="0"/>
    <s v="00:54:44"/>
    <n v="0.91"/>
    <n v="0.91"/>
    <x v="7"/>
    <s v="P"/>
    <d v="2026-07-29T00:00:00"/>
    <n v="1"/>
    <n v="1"/>
    <n v="0"/>
    <n v="0"/>
    <n v="0"/>
  </r>
  <r>
    <x v="7"/>
    <n v="26.5"/>
    <n v="0.5"/>
    <n v="0"/>
    <n v="0"/>
    <s v="5, 12, 19, 26"/>
    <x v="29"/>
    <s v="SUGANYA"/>
    <x v="1"/>
    <s v="Company"/>
    <s v="GS"/>
    <d v="1899-12-30T08:53:23"/>
    <d v="1899-12-30T18:24:30"/>
    <n v="9.52"/>
    <s v="00:06:37"/>
    <n v="0"/>
    <s v="00:54:30"/>
    <n v="0.91"/>
    <n v="0.91"/>
    <x v="7"/>
    <s v="P"/>
    <d v="2026-07-30T00:00:00"/>
    <n v="1"/>
    <n v="1"/>
    <n v="0"/>
    <n v="0"/>
    <n v="0"/>
  </r>
  <r>
    <x v="7"/>
    <n v="26.5"/>
    <n v="0.5"/>
    <n v="0"/>
    <n v="0"/>
    <s v="5, 12, 19, 26"/>
    <x v="30"/>
    <s v="SUGANYA"/>
    <x v="1"/>
    <s v="Company"/>
    <s v="GS"/>
    <d v="1899-12-30T08:51:15"/>
    <d v="1899-12-30T18:24:12"/>
    <n v="9.5500000000000007"/>
    <s v="00:08:45"/>
    <n v="0"/>
    <s v="00:54:12"/>
    <n v="0.9"/>
    <n v="0.9"/>
    <x v="7"/>
    <s v="P"/>
    <d v="2026-07-31T00:00:00"/>
    <n v="1"/>
    <n v="1"/>
    <n v="0"/>
    <n v="0"/>
    <n v="0"/>
  </r>
  <r>
    <x v="8"/>
    <n v="25"/>
    <n v="2"/>
    <n v="0"/>
    <n v="0"/>
    <s v="5, 12, 14, 19, 21, 26"/>
    <x v="0"/>
    <s v="VALLI"/>
    <x v="2"/>
    <s v="Company"/>
    <s v="GS"/>
    <d v="1899-12-30T08:57:57"/>
    <d v="1899-12-30T17:31:43"/>
    <n v="8.56"/>
    <s v="00:02:03"/>
    <n v="0"/>
    <s v="00:01:43"/>
    <n v="0"/>
    <n v="0"/>
    <x v="8"/>
    <s v="P"/>
    <d v="2026-07-01T00:00:00"/>
    <n v="1"/>
    <n v="1"/>
    <n v="0"/>
    <n v="0"/>
    <n v="0"/>
  </r>
  <r>
    <x v="8"/>
    <n v="25"/>
    <n v="2"/>
    <n v="0"/>
    <n v="0"/>
    <s v="5, 12, 14, 19, 21, 26"/>
    <x v="1"/>
    <s v="VALLI"/>
    <x v="2"/>
    <s v="Company"/>
    <s v="GS"/>
    <d v="1899-12-30T09:03:26"/>
    <d v="1899-12-30T17:29:56"/>
    <n v="8.44"/>
    <s v="-00:03:26"/>
    <n v="0"/>
    <s v="-00:00:04"/>
    <n v="0"/>
    <n v="0"/>
    <x v="8"/>
    <s v="P"/>
    <d v="2026-07-02T00:00:00"/>
    <n v="1"/>
    <n v="1"/>
    <n v="0"/>
    <n v="0"/>
    <n v="0"/>
  </r>
  <r>
    <x v="8"/>
    <n v="25"/>
    <n v="2"/>
    <n v="0"/>
    <n v="0"/>
    <s v="5, 12, 14, 19, 21, 26"/>
    <x v="2"/>
    <s v="VALLI"/>
    <x v="2"/>
    <s v="Company"/>
    <s v="GS"/>
    <d v="1899-12-30T08:58:04"/>
    <d v="1899-12-30T17:28:36"/>
    <n v="8.51"/>
    <s v="00:01:56"/>
    <n v="0"/>
    <s v="-00:01:24"/>
    <n v="0"/>
    <n v="0"/>
    <x v="8"/>
    <s v="P"/>
    <d v="2026-07-03T00:00:00"/>
    <n v="1"/>
    <n v="1"/>
    <n v="0"/>
    <n v="0"/>
    <n v="0"/>
  </r>
  <r>
    <x v="8"/>
    <n v="25"/>
    <n v="2"/>
    <n v="0"/>
    <n v="0"/>
    <s v="5, 12, 14, 19, 21, 26"/>
    <x v="3"/>
    <s v="VALLI"/>
    <x v="2"/>
    <s v="Company"/>
    <s v="GS"/>
    <d v="1899-12-30T08:56:16"/>
    <d v="1899-12-30T17:25:58"/>
    <n v="8.5"/>
    <s v="00:03:44"/>
    <n v="0"/>
    <s v="-00:04:02"/>
    <n v="0"/>
    <n v="0"/>
    <x v="8"/>
    <s v="P"/>
    <d v="2026-07-04T00:00:00"/>
    <n v="1"/>
    <n v="1"/>
    <n v="0"/>
    <n v="0"/>
    <n v="0"/>
  </r>
  <r>
    <x v="8"/>
    <n v="25"/>
    <n v="2"/>
    <n v="0"/>
    <n v="0"/>
    <s v="5, 12, 14, 19, 21, 26"/>
    <x v="4"/>
    <s v="VALLI"/>
    <x v="2"/>
    <s v="Company"/>
    <s v="NA"/>
    <d v="1899-12-30T00:00:00"/>
    <d v="1899-12-30T00:00:00"/>
    <n v="0"/>
    <s v="09:00:00"/>
    <n v="9"/>
    <s v="-17:30:00"/>
    <n v="0"/>
    <n v="9"/>
    <x v="8"/>
    <s v="A"/>
    <d v="2026-07-05T00:00:00"/>
    <n v="0"/>
    <n v="0"/>
    <n v="0"/>
    <n v="0"/>
    <n v="0"/>
  </r>
  <r>
    <x v="8"/>
    <n v="25"/>
    <n v="2"/>
    <n v="0"/>
    <n v="0"/>
    <s v="5, 12, 14, 19, 21, 26"/>
    <x v="5"/>
    <s v="VALLI"/>
    <x v="2"/>
    <s v="Company"/>
    <s v="GS"/>
    <d v="1899-12-30T09:06:14"/>
    <d v="1899-12-30T17:32:07"/>
    <n v="8.43"/>
    <s v="-00:06:14"/>
    <n v="0"/>
    <s v="00:02:07"/>
    <n v="0"/>
    <n v="0"/>
    <x v="8"/>
    <s v="P"/>
    <d v="2026-07-06T00:00:00"/>
    <n v="1"/>
    <n v="1"/>
    <n v="0"/>
    <n v="0"/>
    <n v="0"/>
  </r>
  <r>
    <x v="8"/>
    <n v="25"/>
    <n v="2"/>
    <n v="0"/>
    <n v="0"/>
    <s v="5, 12, 14, 19, 21, 26"/>
    <x v="6"/>
    <s v="VALLI"/>
    <x v="2"/>
    <s v="Company"/>
    <s v="GS"/>
    <d v="1899-12-30T09:00:43"/>
    <d v="1899-12-30T18:30:52"/>
    <n v="9.5"/>
    <s v="-00:00:43"/>
    <n v="0"/>
    <s v="01:00:52"/>
    <n v="1.01"/>
    <n v="1.01"/>
    <x v="8"/>
    <s v="P"/>
    <d v="2026-07-07T00:00:00"/>
    <n v="1"/>
    <n v="1"/>
    <n v="0"/>
    <n v="0"/>
    <n v="0"/>
  </r>
  <r>
    <x v="8"/>
    <n v="25"/>
    <n v="2"/>
    <n v="0"/>
    <n v="0"/>
    <s v="5, 12, 14, 19, 21, 26"/>
    <x v="7"/>
    <s v="VALLI"/>
    <x v="2"/>
    <s v="Company"/>
    <s v="GS"/>
    <d v="1899-12-30T09:00:36"/>
    <d v="1899-12-30T18:31:48"/>
    <n v="9.52"/>
    <s v="-00:00:36"/>
    <n v="0"/>
    <s v="01:01:48"/>
    <n v="1.03"/>
    <n v="1.03"/>
    <x v="8"/>
    <s v="P"/>
    <d v="2026-07-08T00:00:00"/>
    <n v="1"/>
    <n v="1"/>
    <n v="0"/>
    <n v="0"/>
    <n v="0"/>
  </r>
  <r>
    <x v="8"/>
    <n v="25"/>
    <n v="2"/>
    <n v="0"/>
    <n v="0"/>
    <s v="5, 12, 14, 19, 21, 26"/>
    <x v="8"/>
    <s v="VALLI"/>
    <x v="2"/>
    <s v="Company"/>
    <s v="GS"/>
    <d v="1899-12-30T09:01:31"/>
    <d v="1899-12-30T18:30:35"/>
    <n v="9.48"/>
    <s v="-00:01:31"/>
    <n v="0"/>
    <s v="01:00:35"/>
    <n v="1.01"/>
    <n v="1.01"/>
    <x v="8"/>
    <s v="P"/>
    <d v="2026-07-09T00:00:00"/>
    <n v="1"/>
    <n v="1"/>
    <n v="0"/>
    <n v="0"/>
    <n v="0"/>
  </r>
  <r>
    <x v="8"/>
    <n v="25"/>
    <n v="2"/>
    <n v="0"/>
    <n v="0"/>
    <s v="5, 12, 14, 19, 21, 26"/>
    <x v="9"/>
    <s v="VALLI"/>
    <x v="2"/>
    <s v="Company"/>
    <s v="GS"/>
    <d v="1899-12-30T09:19:19"/>
    <d v="1899-12-30T18:30:39"/>
    <n v="9.19"/>
    <s v="-00:19:19"/>
    <n v="0"/>
    <s v="01:00:39"/>
    <n v="1.01"/>
    <n v="1.01"/>
    <x v="8"/>
    <s v="P"/>
    <d v="2026-07-10T00:00:00"/>
    <n v="1"/>
    <n v="1"/>
    <n v="0"/>
    <n v="0"/>
    <n v="0"/>
  </r>
  <r>
    <x v="8"/>
    <n v="25"/>
    <n v="2"/>
    <n v="0"/>
    <n v="0"/>
    <s v="5, 12, 14, 19, 21, 26"/>
    <x v="10"/>
    <s v="VALLI"/>
    <x v="2"/>
    <s v="Company"/>
    <s v="GS"/>
    <d v="1899-12-30T08:55:57"/>
    <d v="1899-12-30T18:31:06"/>
    <n v="9.59"/>
    <s v="00:04:03"/>
    <n v="0"/>
    <s v="01:01:06"/>
    <n v="1.02"/>
    <n v="1.02"/>
    <x v="8"/>
    <s v="P"/>
    <d v="2026-07-11T00:00:00"/>
    <n v="1"/>
    <n v="1"/>
    <n v="0"/>
    <n v="0"/>
    <n v="0"/>
  </r>
  <r>
    <x v="8"/>
    <n v="25"/>
    <n v="2"/>
    <n v="0"/>
    <n v="0"/>
    <s v="5, 12, 14, 19, 21, 26"/>
    <x v="11"/>
    <s v="VALLI"/>
    <x v="2"/>
    <s v="Company"/>
    <s v="NA"/>
    <d v="1899-12-30T00:00:00"/>
    <d v="1899-12-30T00:00:00"/>
    <n v="0"/>
    <s v="09:00:00"/>
    <n v="9"/>
    <s v="-17:30:00"/>
    <n v="0"/>
    <n v="9"/>
    <x v="8"/>
    <s v="A"/>
    <d v="2026-07-12T00:00:00"/>
    <n v="0"/>
    <n v="0"/>
    <n v="0"/>
    <n v="0"/>
    <n v="0"/>
  </r>
  <r>
    <x v="8"/>
    <n v="25"/>
    <n v="2"/>
    <n v="0"/>
    <n v="0"/>
    <s v="5, 12, 14, 19, 21, 26"/>
    <x v="12"/>
    <s v="VALLI"/>
    <x v="2"/>
    <s v="Company"/>
    <s v="GS"/>
    <d v="1899-12-30T08:51:42"/>
    <d v="1899-12-30T18:32:12"/>
    <n v="9.68"/>
    <s v="00:08:18"/>
    <n v="0"/>
    <s v="01:02:12"/>
    <n v="1.04"/>
    <n v="1.04"/>
    <x v="8"/>
    <s v="P"/>
    <d v="2026-07-13T00:00:00"/>
    <n v="1"/>
    <n v="1"/>
    <n v="0"/>
    <n v="0"/>
    <n v="0"/>
  </r>
  <r>
    <x v="8"/>
    <n v="25"/>
    <n v="2"/>
    <n v="0"/>
    <n v="0"/>
    <s v="5, 12, 14, 19, 21, 26"/>
    <x v="13"/>
    <s v="VALLI"/>
    <x v="2"/>
    <s v="Company"/>
    <s v="NA"/>
    <d v="1899-12-30T00:00:00"/>
    <d v="1899-12-30T00:00:00"/>
    <n v="0"/>
    <s v="09:00:00"/>
    <n v="9"/>
    <s v="-17:30:00"/>
    <n v="0"/>
    <n v="9"/>
    <x v="8"/>
    <s v="A"/>
    <d v="2026-07-14T00:00:00"/>
    <n v="0"/>
    <n v="0"/>
    <n v="0"/>
    <n v="0"/>
    <n v="0"/>
  </r>
  <r>
    <x v="8"/>
    <n v="25"/>
    <n v="2"/>
    <n v="0"/>
    <n v="0"/>
    <s v="5, 12, 14, 19, 21, 26"/>
    <x v="14"/>
    <s v="VALLI"/>
    <x v="2"/>
    <s v="Company"/>
    <s v="GS"/>
    <d v="1899-12-30T08:57:32"/>
    <d v="1899-12-30T18:26:42"/>
    <n v="9.49"/>
    <s v="00:02:28"/>
    <n v="0"/>
    <s v="00:56:42"/>
    <n v="0.94"/>
    <n v="0.94"/>
    <x v="8"/>
    <s v="P"/>
    <d v="2026-07-15T00:00:00"/>
    <n v="1"/>
    <n v="1"/>
    <n v="0"/>
    <n v="0"/>
    <n v="0"/>
  </r>
  <r>
    <x v="8"/>
    <n v="25"/>
    <n v="2"/>
    <n v="0"/>
    <n v="0"/>
    <s v="5, 12, 14, 19, 21, 26"/>
    <x v="15"/>
    <s v="VALLI"/>
    <x v="2"/>
    <s v="Company"/>
    <s v="GS"/>
    <d v="1899-12-30T08:54:21"/>
    <d v="1899-12-30T18:32:08"/>
    <n v="9.6300000000000008"/>
    <s v="00:05:39"/>
    <n v="0"/>
    <s v="01:02:08"/>
    <n v="1.04"/>
    <n v="1.04"/>
    <x v="8"/>
    <s v="P"/>
    <d v="2026-07-16T00:00:00"/>
    <n v="1"/>
    <n v="1"/>
    <n v="0"/>
    <n v="0"/>
    <n v="0"/>
  </r>
  <r>
    <x v="8"/>
    <n v="25"/>
    <n v="2"/>
    <n v="0"/>
    <n v="0"/>
    <s v="5, 12, 14, 19, 21, 26"/>
    <x v="16"/>
    <s v="VALLI"/>
    <x v="2"/>
    <s v="Company"/>
    <s v="GS"/>
    <d v="1899-12-30T08:54:44"/>
    <d v="1899-12-30T18:29:32"/>
    <n v="9.58"/>
    <s v="00:05:16"/>
    <n v="0"/>
    <s v="00:59:32"/>
    <n v="0.99"/>
    <n v="0.99"/>
    <x v="8"/>
    <s v="P"/>
    <d v="2026-07-17T00:00:00"/>
    <n v="1"/>
    <n v="1"/>
    <n v="0"/>
    <n v="0"/>
    <n v="0"/>
  </r>
  <r>
    <x v="8"/>
    <n v="25"/>
    <n v="2"/>
    <n v="0"/>
    <n v="0"/>
    <s v="5, 12, 14, 19, 21, 26"/>
    <x v="17"/>
    <s v="VALLI"/>
    <x v="2"/>
    <s v="Company"/>
    <s v="GS"/>
    <d v="1899-12-30T08:58:40"/>
    <d v="1899-12-30T16:36:11"/>
    <n v="7.63"/>
    <s v="00:01:20"/>
    <n v="0"/>
    <s v="-00:53:49"/>
    <n v="0"/>
    <n v="0"/>
    <x v="8"/>
    <s v="P"/>
    <d v="2026-07-18T00:00:00"/>
    <n v="1"/>
    <n v="1"/>
    <n v="0"/>
    <n v="0"/>
    <n v="0"/>
  </r>
  <r>
    <x v="8"/>
    <n v="25"/>
    <n v="2"/>
    <n v="0"/>
    <n v="0"/>
    <s v="5, 12, 14, 19, 21, 26"/>
    <x v="18"/>
    <s v="VALLI"/>
    <x v="2"/>
    <s v="Company"/>
    <s v="NA"/>
    <d v="1899-12-30T00:00:00"/>
    <d v="1899-12-30T00:00:00"/>
    <n v="0"/>
    <s v="09:00:00"/>
    <n v="9"/>
    <s v="-17:30:00"/>
    <n v="0"/>
    <n v="9"/>
    <x v="8"/>
    <s v="A"/>
    <d v="2026-07-19T00:00:00"/>
    <n v="0"/>
    <n v="0"/>
    <n v="0"/>
    <n v="0"/>
    <n v="0"/>
  </r>
  <r>
    <x v="8"/>
    <n v="25"/>
    <n v="2"/>
    <n v="0"/>
    <n v="0"/>
    <s v="5, 12, 14, 19, 21, 26"/>
    <x v="19"/>
    <s v="VALLI"/>
    <x v="2"/>
    <s v="Company"/>
    <s v="GS"/>
    <d v="1899-12-30T08:57:57"/>
    <d v="1899-12-30T18:32:50"/>
    <n v="9.58"/>
    <s v="00:02:03"/>
    <n v="0"/>
    <s v="01:02:50"/>
    <n v="1.05"/>
    <n v="1.05"/>
    <x v="8"/>
    <s v="P"/>
    <d v="2026-07-20T00:00:00"/>
    <n v="1"/>
    <n v="1"/>
    <n v="0"/>
    <n v="0"/>
    <n v="0"/>
  </r>
  <r>
    <x v="8"/>
    <n v="25"/>
    <n v="2"/>
    <n v="0"/>
    <n v="0"/>
    <s v="5, 12, 14, 19, 21, 26"/>
    <x v="20"/>
    <s v="VALLI"/>
    <x v="2"/>
    <s v="Company"/>
    <s v="NA"/>
    <d v="1899-12-30T00:00:00"/>
    <d v="1899-12-30T00:00:00"/>
    <n v="0"/>
    <s v="09:00:00"/>
    <n v="9"/>
    <s v="-17:30:00"/>
    <n v="0"/>
    <n v="9"/>
    <x v="8"/>
    <s v="A"/>
    <d v="2026-07-21T00:00:00"/>
    <n v="0"/>
    <n v="0"/>
    <n v="0"/>
    <n v="0"/>
    <n v="0"/>
  </r>
  <r>
    <x v="8"/>
    <n v="25"/>
    <n v="2"/>
    <n v="0"/>
    <n v="0"/>
    <s v="5, 12, 14, 19, 21, 26"/>
    <x v="21"/>
    <s v="VALLI"/>
    <x v="2"/>
    <s v="Company"/>
    <s v="GS"/>
    <d v="1899-12-30T08:57:34"/>
    <d v="1899-12-30T18:31:02"/>
    <n v="9.56"/>
    <s v="00:02:26"/>
    <n v="0"/>
    <s v="01:01:02"/>
    <n v="1.02"/>
    <n v="1.02"/>
    <x v="8"/>
    <s v="P"/>
    <d v="2026-07-22T00:00:00"/>
    <n v="1"/>
    <n v="1"/>
    <n v="0"/>
    <n v="0"/>
    <n v="0"/>
  </r>
  <r>
    <x v="8"/>
    <n v="25"/>
    <n v="2"/>
    <n v="0"/>
    <n v="0"/>
    <s v="5, 12, 14, 19, 21, 26"/>
    <x v="22"/>
    <s v="VALLI"/>
    <x v="2"/>
    <s v="Company"/>
    <s v="GS"/>
    <d v="1899-12-30T08:55:09"/>
    <d v="1899-12-30T18:30:32"/>
    <n v="9.59"/>
    <s v="00:04:51"/>
    <n v="0"/>
    <s v="01:00:32"/>
    <n v="1.01"/>
    <n v="1.01"/>
    <x v="8"/>
    <s v="P"/>
    <d v="2026-07-23T00:00:00"/>
    <n v="1"/>
    <n v="1"/>
    <n v="0"/>
    <n v="0"/>
    <n v="0"/>
  </r>
  <r>
    <x v="8"/>
    <n v="25"/>
    <n v="2"/>
    <n v="0"/>
    <n v="0"/>
    <s v="5, 12, 14, 19, 21, 26"/>
    <x v="23"/>
    <s v="VALLI"/>
    <x v="2"/>
    <s v="Company"/>
    <s v="GS"/>
    <d v="1899-12-30T08:56:27"/>
    <d v="1899-12-30T18:31:55"/>
    <n v="9.59"/>
    <s v="00:03:33"/>
    <n v="0"/>
    <s v="01:01:55"/>
    <n v="1.03"/>
    <n v="1.03"/>
    <x v="8"/>
    <s v="P"/>
    <d v="2026-07-24T00:00:00"/>
    <n v="1"/>
    <n v="1"/>
    <n v="0"/>
    <n v="0"/>
    <n v="0"/>
  </r>
  <r>
    <x v="8"/>
    <n v="25"/>
    <n v="2"/>
    <n v="0"/>
    <n v="0"/>
    <s v="5, 12, 14, 19, 21, 26"/>
    <x v="24"/>
    <s v="VALLI"/>
    <x v="2"/>
    <s v="Company"/>
    <s v="GS"/>
    <d v="1899-12-30T08:57:08"/>
    <d v="1899-12-30T18:26:01"/>
    <n v="9.48"/>
    <s v="00:02:52"/>
    <n v="0"/>
    <s v="00:56:01"/>
    <n v="0.93"/>
    <n v="0.93"/>
    <x v="8"/>
    <s v="P"/>
    <d v="2026-07-25T00:00:00"/>
    <n v="1"/>
    <n v="1"/>
    <n v="0"/>
    <n v="0"/>
    <n v="0"/>
  </r>
  <r>
    <x v="8"/>
    <n v="25"/>
    <n v="2"/>
    <n v="0"/>
    <n v="0"/>
    <s v="5, 12, 14, 19, 21, 26"/>
    <x v="25"/>
    <s v="VALLI"/>
    <x v="2"/>
    <s v="Company"/>
    <s v="NA"/>
    <d v="1899-12-30T00:00:00"/>
    <d v="1899-12-30T00:00:00"/>
    <n v="0"/>
    <s v="09:00:00"/>
    <n v="9"/>
    <s v="-17:30:00"/>
    <n v="0"/>
    <n v="9"/>
    <x v="8"/>
    <s v="A"/>
    <d v="2026-07-26T00:00:00"/>
    <n v="0"/>
    <n v="0"/>
    <n v="0"/>
    <n v="0"/>
    <n v="0"/>
  </r>
  <r>
    <x v="8"/>
    <n v="25"/>
    <n v="2"/>
    <n v="0"/>
    <n v="0"/>
    <s v="5, 12, 14, 19, 21, 26"/>
    <x v="26"/>
    <s v="VALLI"/>
    <x v="2"/>
    <s v="Company"/>
    <s v="GS"/>
    <d v="1899-12-30T08:53:01"/>
    <d v="1899-12-30T18:27:28"/>
    <n v="9.57"/>
    <s v="00:06:59"/>
    <n v="0"/>
    <s v="00:57:28"/>
    <n v="0.96"/>
    <n v="0.96"/>
    <x v="8"/>
    <s v="P"/>
    <d v="2026-07-27T00:00:00"/>
    <n v="1"/>
    <n v="1"/>
    <n v="0"/>
    <n v="0"/>
    <n v="0"/>
  </r>
  <r>
    <x v="8"/>
    <n v="25"/>
    <n v="2"/>
    <n v="0"/>
    <n v="0"/>
    <s v="5, 12, 14, 19, 21, 26"/>
    <x v="27"/>
    <s v="VALLI"/>
    <x v="2"/>
    <s v="Company"/>
    <s v="GS"/>
    <d v="1899-12-30T08:54:40"/>
    <d v="1899-12-30T16:25:53"/>
    <n v="7.52"/>
    <s v="00:05:20"/>
    <n v="0"/>
    <s v="-01:04:07"/>
    <n v="0"/>
    <n v="0"/>
    <x v="8"/>
    <s v="P"/>
    <d v="2026-07-28T00:00:00"/>
    <n v="1"/>
    <n v="1"/>
    <n v="0"/>
    <n v="0"/>
    <n v="0"/>
  </r>
  <r>
    <x v="8"/>
    <n v="25"/>
    <n v="2"/>
    <n v="0"/>
    <n v="0"/>
    <s v="5, 12, 14, 19, 21, 26"/>
    <x v="28"/>
    <s v="VALLI"/>
    <x v="2"/>
    <s v="Company"/>
    <s v="GS"/>
    <d v="1899-12-30T10:31:18"/>
    <d v="1899-12-30T18:30:19"/>
    <n v="7.98"/>
    <s v="-01:31:18"/>
    <n v="0"/>
    <s v="01:00:19"/>
    <n v="1.01"/>
    <n v="1.01"/>
    <x v="8"/>
    <s v="P"/>
    <d v="2026-07-29T00:00:00"/>
    <n v="1"/>
    <n v="1"/>
    <n v="0"/>
    <n v="0"/>
    <n v="0"/>
  </r>
  <r>
    <x v="8"/>
    <n v="25"/>
    <n v="2"/>
    <n v="0"/>
    <n v="0"/>
    <s v="5, 12, 14, 19, 21, 26"/>
    <x v="29"/>
    <s v="VALLI"/>
    <x v="2"/>
    <s v="Company"/>
    <s v="GS"/>
    <d v="1899-12-30T08:58:01"/>
    <d v="1899-12-30T18:29:21"/>
    <n v="9.52"/>
    <s v="00:01:59"/>
    <n v="0"/>
    <s v="00:59:21"/>
    <n v="0.99"/>
    <n v="0.99"/>
    <x v="8"/>
    <s v="P"/>
    <d v="2026-07-30T00:00:00"/>
    <n v="1"/>
    <n v="1"/>
    <n v="0"/>
    <n v="0"/>
    <n v="0"/>
  </r>
  <r>
    <x v="8"/>
    <n v="25"/>
    <n v="2"/>
    <n v="0"/>
    <n v="0"/>
    <s v="5, 12, 14, 19, 21, 26"/>
    <x v="30"/>
    <s v="VALLI"/>
    <x v="2"/>
    <s v="Company"/>
    <s v="GS"/>
    <d v="1899-12-30T08:58:14"/>
    <d v="1899-12-30T18:28:55"/>
    <n v="9.51"/>
    <s v="00:01:46"/>
    <n v="0"/>
    <s v="00:58:55"/>
    <n v="0.98"/>
    <n v="0.98"/>
    <x v="8"/>
    <s v="P"/>
    <d v="2026-07-31T00:00:00"/>
    <n v="1"/>
    <n v="1"/>
    <n v="0"/>
    <n v="0"/>
    <n v="0"/>
  </r>
  <r>
    <x v="9"/>
    <n v="27"/>
    <n v="0"/>
    <n v="0"/>
    <n v="0"/>
    <s v="5, 12, 19, 26"/>
    <x v="0"/>
    <s v="ROOPA .M"/>
    <x v="1"/>
    <s v="Company"/>
    <s v="GS"/>
    <d v="1899-12-30T08:53:36"/>
    <d v="1899-12-30T17:26:54"/>
    <n v="8.56"/>
    <s v="00:06:24"/>
    <n v="0"/>
    <s v="-00:03:06"/>
    <n v="0"/>
    <n v="0"/>
    <x v="9"/>
    <s v="P"/>
    <d v="2026-07-01T00:00:00"/>
    <n v="1"/>
    <n v="1"/>
    <n v="0"/>
    <n v="0"/>
    <n v="0"/>
  </r>
  <r>
    <x v="9"/>
    <n v="27"/>
    <n v="0"/>
    <n v="0"/>
    <n v="0"/>
    <s v="5, 12, 19, 26"/>
    <x v="1"/>
    <s v="ROOPA .M"/>
    <x v="1"/>
    <s v="Company"/>
    <s v="GS"/>
    <d v="1899-12-30T08:59:40"/>
    <d v="1899-12-30T17:26:05"/>
    <n v="8.44"/>
    <s v="00:00:20"/>
    <n v="0"/>
    <s v="-00:03:55"/>
    <n v="0"/>
    <n v="0"/>
    <x v="9"/>
    <s v="P"/>
    <d v="2026-07-02T00:00:00"/>
    <n v="1"/>
    <n v="1"/>
    <n v="0"/>
    <n v="0"/>
    <n v="0"/>
  </r>
  <r>
    <x v="9"/>
    <n v="27"/>
    <n v="0"/>
    <n v="0"/>
    <n v="0"/>
    <s v="5, 12, 19, 26"/>
    <x v="2"/>
    <s v="ROOPA .M"/>
    <x v="1"/>
    <s v="Company"/>
    <s v="GS"/>
    <d v="1899-12-30T08:52:41"/>
    <d v="1899-12-30T17:28:20"/>
    <n v="8.59"/>
    <s v="00:07:19"/>
    <n v="0"/>
    <s v="-00:01:40"/>
    <n v="0"/>
    <n v="0"/>
    <x v="9"/>
    <s v="P"/>
    <d v="2026-07-03T00:00:00"/>
    <n v="1"/>
    <n v="1"/>
    <n v="0"/>
    <n v="0"/>
    <n v="0"/>
  </r>
  <r>
    <x v="9"/>
    <n v="27"/>
    <n v="0"/>
    <n v="0"/>
    <n v="0"/>
    <s v="5, 12, 19, 26"/>
    <x v="3"/>
    <s v="ROOPA .M"/>
    <x v="1"/>
    <s v="Company"/>
    <s v="GS"/>
    <d v="1899-12-30T08:50:54"/>
    <d v="1899-12-30T17:26:13"/>
    <n v="8.59"/>
    <s v="00:09:06"/>
    <n v="0"/>
    <s v="-00:03:47"/>
    <n v="0"/>
    <n v="0"/>
    <x v="9"/>
    <s v="P"/>
    <d v="2026-07-04T00:00:00"/>
    <n v="1"/>
    <n v="1"/>
    <n v="0"/>
    <n v="0"/>
    <n v="0"/>
  </r>
  <r>
    <x v="9"/>
    <n v="27"/>
    <n v="0"/>
    <n v="0"/>
    <n v="0"/>
    <s v="5, 12, 19, 26"/>
    <x v="4"/>
    <s v="ROOPA .M"/>
    <x v="1"/>
    <s v="Company"/>
    <s v="NA"/>
    <d v="1899-12-30T00:00:00"/>
    <d v="1899-12-30T00:00:00"/>
    <n v="0"/>
    <s v="09:00:00"/>
    <n v="9"/>
    <s v="-17:30:00"/>
    <n v="0"/>
    <n v="9"/>
    <x v="9"/>
    <s v="A"/>
    <d v="2026-07-05T00:00:00"/>
    <n v="0"/>
    <n v="0"/>
    <n v="0"/>
    <n v="0"/>
    <n v="0"/>
  </r>
  <r>
    <x v="9"/>
    <n v="27"/>
    <n v="0"/>
    <n v="0"/>
    <n v="0"/>
    <s v="5, 12, 19, 26"/>
    <x v="5"/>
    <s v="ROOPA .M"/>
    <x v="1"/>
    <s v="Company"/>
    <s v="GS"/>
    <d v="1899-12-30T09:01:37"/>
    <d v="1899-12-30T17:27:12"/>
    <n v="8.43"/>
    <s v="-00:01:37"/>
    <n v="0"/>
    <s v="-00:02:48"/>
    <n v="0"/>
    <n v="0"/>
    <x v="9"/>
    <s v="P"/>
    <d v="2026-07-06T00:00:00"/>
    <n v="1"/>
    <n v="1"/>
    <n v="0"/>
    <n v="0"/>
    <n v="0"/>
  </r>
  <r>
    <x v="9"/>
    <n v="27"/>
    <n v="0"/>
    <n v="0"/>
    <n v="0"/>
    <s v="5, 12, 19, 26"/>
    <x v="6"/>
    <s v="ROOPA .M"/>
    <x v="1"/>
    <s v="Company"/>
    <s v="GS"/>
    <d v="1899-12-30T08:55:57"/>
    <d v="1899-12-30T18:25:54"/>
    <n v="9.5"/>
    <s v="00:04:03"/>
    <n v="0"/>
    <s v="00:55:54"/>
    <n v="0.93"/>
    <n v="0.93"/>
    <x v="9"/>
    <s v="P"/>
    <d v="2026-07-07T00:00:00"/>
    <n v="1"/>
    <n v="1"/>
    <n v="0"/>
    <n v="0"/>
    <n v="0"/>
  </r>
  <r>
    <x v="9"/>
    <n v="27"/>
    <n v="0"/>
    <n v="0"/>
    <n v="0"/>
    <s v="5, 12, 19, 26"/>
    <x v="7"/>
    <s v="ROOPA .M"/>
    <x v="1"/>
    <s v="Company"/>
    <s v="GS"/>
    <d v="1899-12-30T08:55:43"/>
    <d v="1899-12-30T18:26:00"/>
    <n v="9.5"/>
    <s v="00:04:17"/>
    <n v="0"/>
    <s v="00:56:00"/>
    <n v="0.93"/>
    <n v="0.93"/>
    <x v="9"/>
    <s v="P"/>
    <d v="2026-07-08T00:00:00"/>
    <n v="1"/>
    <n v="1"/>
    <n v="0"/>
    <n v="0"/>
    <n v="0"/>
  </r>
  <r>
    <x v="9"/>
    <n v="27"/>
    <n v="0"/>
    <n v="0"/>
    <n v="0"/>
    <s v="5, 12, 19, 26"/>
    <x v="8"/>
    <s v="ROOPA .M"/>
    <x v="1"/>
    <s v="Company"/>
    <s v="GS"/>
    <d v="1899-12-30T08:55:27"/>
    <d v="1899-12-30T18:26:24"/>
    <n v="9.52"/>
    <s v="00:04:33"/>
    <n v="0"/>
    <s v="00:56:24"/>
    <n v="0.94"/>
    <n v="0.94"/>
    <x v="9"/>
    <s v="P"/>
    <d v="2026-07-09T00:00:00"/>
    <n v="1"/>
    <n v="1"/>
    <n v="0"/>
    <n v="0"/>
    <n v="0"/>
  </r>
  <r>
    <x v="9"/>
    <n v="27"/>
    <n v="0"/>
    <n v="0"/>
    <n v="0"/>
    <s v="5, 12, 19, 26"/>
    <x v="9"/>
    <s v="ROOPA .M"/>
    <x v="1"/>
    <s v="Company"/>
    <s v="GS"/>
    <d v="1899-12-30T08:57:27"/>
    <d v="1899-12-30T18:26:11"/>
    <n v="9.48"/>
    <s v="00:02:33"/>
    <n v="0"/>
    <s v="00:56:11"/>
    <n v="0.94"/>
    <n v="0.94"/>
    <x v="9"/>
    <s v="P"/>
    <d v="2026-07-10T00:00:00"/>
    <n v="1"/>
    <n v="1"/>
    <n v="0"/>
    <n v="0"/>
    <n v="0"/>
  </r>
  <r>
    <x v="9"/>
    <n v="27"/>
    <n v="0"/>
    <n v="0"/>
    <n v="0"/>
    <s v="5, 12, 19, 26"/>
    <x v="10"/>
    <s v="ROOPA .M"/>
    <x v="1"/>
    <s v="Company"/>
    <s v="GS"/>
    <d v="1899-12-30T08:51:24"/>
    <d v="1899-12-30T18:26:09"/>
    <n v="9.58"/>
    <s v="00:08:36"/>
    <n v="0"/>
    <s v="00:56:09"/>
    <n v="0.94"/>
    <n v="0.94"/>
    <x v="9"/>
    <s v="P"/>
    <d v="2026-07-11T00:00:00"/>
    <n v="1"/>
    <n v="1"/>
    <n v="0"/>
    <n v="0"/>
    <n v="0"/>
  </r>
  <r>
    <x v="9"/>
    <n v="27"/>
    <n v="0"/>
    <n v="0"/>
    <n v="0"/>
    <s v="5, 12, 19, 26"/>
    <x v="11"/>
    <s v="ROOPA .M"/>
    <x v="1"/>
    <s v="Company"/>
    <s v="NA"/>
    <d v="1899-12-30T00:00:00"/>
    <d v="1899-12-30T00:00:00"/>
    <n v="0"/>
    <s v="09:00:00"/>
    <n v="9"/>
    <s v="-17:30:00"/>
    <n v="0"/>
    <n v="9"/>
    <x v="9"/>
    <s v="A"/>
    <d v="2026-07-12T00:00:00"/>
    <n v="0"/>
    <n v="0"/>
    <n v="0"/>
    <n v="0"/>
    <n v="0"/>
  </r>
  <r>
    <x v="9"/>
    <n v="27"/>
    <n v="0"/>
    <n v="0"/>
    <n v="0"/>
    <s v="5, 12, 19, 26"/>
    <x v="12"/>
    <s v="ROOPA .M"/>
    <x v="1"/>
    <s v="Company"/>
    <s v="GS"/>
    <d v="1899-12-30T08:46:59"/>
    <d v="1899-12-30T18:26:21"/>
    <n v="9.66"/>
    <s v="00:13:01"/>
    <n v="0"/>
    <s v="00:56:21"/>
    <n v="0.94"/>
    <n v="0.94"/>
    <x v="9"/>
    <s v="P"/>
    <d v="2026-07-13T00:00:00"/>
    <n v="1"/>
    <n v="1"/>
    <n v="0"/>
    <n v="0"/>
    <n v="0"/>
  </r>
  <r>
    <x v="9"/>
    <n v="27"/>
    <n v="0"/>
    <n v="0"/>
    <n v="0"/>
    <s v="5, 12, 19, 26"/>
    <x v="13"/>
    <s v="ROOPA .M"/>
    <x v="1"/>
    <s v="Company"/>
    <s v="GS"/>
    <d v="1899-12-30T08:49:11"/>
    <d v="1899-12-30T18:26:37"/>
    <n v="9.6199999999999992"/>
    <s v="00:10:49"/>
    <n v="0"/>
    <s v="00:56:37"/>
    <n v="0.94"/>
    <n v="0.94"/>
    <x v="9"/>
    <s v="P"/>
    <d v="2026-07-14T00:00:00"/>
    <n v="1"/>
    <n v="1"/>
    <n v="0"/>
    <n v="0"/>
    <n v="0"/>
  </r>
  <r>
    <x v="9"/>
    <n v="27"/>
    <n v="0"/>
    <n v="0"/>
    <n v="0"/>
    <s v="5, 12, 19, 26"/>
    <x v="14"/>
    <s v="ROOPA .M"/>
    <x v="1"/>
    <s v="Company"/>
    <s v="GS"/>
    <d v="1899-12-30T08:52:42"/>
    <d v="1899-12-30T18:26:55"/>
    <n v="9.57"/>
    <s v="00:07:18"/>
    <n v="0"/>
    <s v="00:56:55"/>
    <n v="0.95"/>
    <n v="0.95"/>
    <x v="9"/>
    <s v="P"/>
    <d v="2026-07-15T00:00:00"/>
    <n v="1"/>
    <n v="1"/>
    <n v="0"/>
    <n v="0"/>
    <n v="0"/>
  </r>
  <r>
    <x v="9"/>
    <n v="27"/>
    <n v="0"/>
    <n v="0"/>
    <n v="0"/>
    <s v="5, 12, 19, 26"/>
    <x v="15"/>
    <s v="ROOPA .M"/>
    <x v="1"/>
    <s v="Company"/>
    <s v="GS"/>
    <d v="1899-12-30T08:49:18"/>
    <d v="1899-12-30T18:26:32"/>
    <n v="9.6199999999999992"/>
    <s v="00:10:42"/>
    <n v="0"/>
    <s v="00:56:32"/>
    <n v="0.94"/>
    <n v="0.94"/>
    <x v="9"/>
    <s v="P"/>
    <d v="2026-07-16T00:00:00"/>
    <n v="1"/>
    <n v="1"/>
    <n v="0"/>
    <n v="0"/>
    <n v="0"/>
  </r>
  <r>
    <x v="9"/>
    <n v="27"/>
    <n v="0"/>
    <n v="0"/>
    <n v="0"/>
    <s v="5, 12, 19, 26"/>
    <x v="16"/>
    <s v="ROOPA .M"/>
    <x v="1"/>
    <s v="Company"/>
    <s v="GS"/>
    <d v="1899-12-30T08:55:41"/>
    <d v="1899-12-30T18:26:09"/>
    <n v="9.51"/>
    <s v="00:04:19"/>
    <n v="0"/>
    <s v="00:56:09"/>
    <n v="0.94"/>
    <n v="0.94"/>
    <x v="9"/>
    <s v="P"/>
    <d v="2026-07-17T00:00:00"/>
    <n v="1"/>
    <n v="1"/>
    <n v="0"/>
    <n v="0"/>
    <n v="0"/>
  </r>
  <r>
    <x v="9"/>
    <n v="27"/>
    <n v="0"/>
    <n v="0"/>
    <n v="0"/>
    <s v="5, 12, 19, 26"/>
    <x v="17"/>
    <s v="ROOPA .M"/>
    <x v="1"/>
    <s v="Company"/>
    <s v="GS"/>
    <d v="1899-12-30T08:55:21"/>
    <d v="1899-12-30T17:28:22"/>
    <n v="8.5500000000000007"/>
    <s v="00:04:39"/>
    <n v="0"/>
    <s v="-00:01:38"/>
    <n v="0"/>
    <n v="0"/>
    <x v="9"/>
    <s v="P"/>
    <d v="2026-07-18T00:00:00"/>
    <n v="1"/>
    <n v="1"/>
    <n v="0"/>
    <n v="0"/>
    <n v="0"/>
  </r>
  <r>
    <x v="9"/>
    <n v="27"/>
    <n v="0"/>
    <n v="0"/>
    <n v="0"/>
    <s v="5, 12, 19, 26"/>
    <x v="18"/>
    <s v="ROOPA .M"/>
    <x v="1"/>
    <s v="Company"/>
    <s v="NA"/>
    <d v="1899-12-30T00:00:00"/>
    <d v="1899-12-30T00:00:00"/>
    <n v="0"/>
    <s v="09:00:00"/>
    <n v="9"/>
    <s v="-17:30:00"/>
    <n v="0"/>
    <n v="9"/>
    <x v="9"/>
    <s v="A"/>
    <d v="2026-07-19T00:00:00"/>
    <n v="0"/>
    <n v="0"/>
    <n v="0"/>
    <n v="0"/>
    <n v="0"/>
  </r>
  <r>
    <x v="9"/>
    <n v="27"/>
    <n v="0"/>
    <n v="0"/>
    <n v="0"/>
    <s v="5, 12, 19, 26"/>
    <x v="19"/>
    <s v="ROOPA .M"/>
    <x v="1"/>
    <s v="Company"/>
    <s v="GS"/>
    <d v="1899-12-30T08:53:22"/>
    <d v="1899-12-30T18:25:51"/>
    <n v="9.5399999999999991"/>
    <s v="00:06:38"/>
    <n v="0"/>
    <s v="00:55:51"/>
    <n v="0.93"/>
    <n v="0.93"/>
    <x v="9"/>
    <s v="P"/>
    <d v="2026-07-20T00:00:00"/>
    <n v="1"/>
    <n v="1"/>
    <n v="0"/>
    <n v="0"/>
    <n v="0"/>
  </r>
  <r>
    <x v="9"/>
    <n v="27"/>
    <n v="0"/>
    <n v="0"/>
    <n v="0"/>
    <s v="5, 12, 19, 26"/>
    <x v="20"/>
    <s v="ROOPA .M"/>
    <x v="1"/>
    <s v="Company"/>
    <s v="GS"/>
    <d v="1899-12-30T08:53:46"/>
    <d v="1899-12-30T17:27:11"/>
    <n v="8.56"/>
    <s v="00:06:14"/>
    <n v="0"/>
    <s v="-00:02:49"/>
    <n v="0"/>
    <n v="0"/>
    <x v="9"/>
    <s v="P"/>
    <d v="2026-07-21T00:00:00"/>
    <n v="1"/>
    <n v="1"/>
    <n v="0"/>
    <n v="0"/>
    <n v="0"/>
  </r>
  <r>
    <x v="9"/>
    <n v="27"/>
    <n v="0"/>
    <n v="0"/>
    <n v="0"/>
    <s v="5, 12, 19, 26"/>
    <x v="21"/>
    <s v="ROOPA .M"/>
    <x v="1"/>
    <s v="Company"/>
    <s v="GS"/>
    <d v="1899-12-30T08:50:55"/>
    <d v="1899-12-30T18:27:15"/>
    <n v="9.61"/>
    <s v="00:09:05"/>
    <n v="0"/>
    <s v="00:57:15"/>
    <n v="0.95"/>
    <n v="0.95"/>
    <x v="9"/>
    <s v="P"/>
    <d v="2026-07-22T00:00:00"/>
    <n v="1"/>
    <n v="1"/>
    <n v="0"/>
    <n v="0"/>
    <n v="0"/>
  </r>
  <r>
    <x v="9"/>
    <n v="27"/>
    <n v="0"/>
    <n v="0"/>
    <n v="0"/>
    <s v="5, 12, 19, 26"/>
    <x v="22"/>
    <s v="ROOPA .M"/>
    <x v="1"/>
    <s v="Company"/>
    <s v="GS"/>
    <d v="1899-12-30T08:50:25"/>
    <d v="1899-12-30T18:26:44"/>
    <n v="9.61"/>
    <s v="00:09:35"/>
    <n v="0"/>
    <s v="00:56:44"/>
    <n v="0.95"/>
    <n v="0.95"/>
    <x v="9"/>
    <s v="P"/>
    <d v="2026-07-23T00:00:00"/>
    <n v="1"/>
    <n v="1"/>
    <n v="0"/>
    <n v="0"/>
    <n v="0"/>
  </r>
  <r>
    <x v="9"/>
    <n v="27"/>
    <n v="0"/>
    <n v="0"/>
    <n v="0"/>
    <s v="5, 12, 19, 26"/>
    <x v="23"/>
    <s v="ROOPA .M"/>
    <x v="1"/>
    <s v="Company"/>
    <s v="GS"/>
    <d v="1899-12-30T08:56:36"/>
    <d v="1899-12-30T18:26:42"/>
    <n v="9.5"/>
    <s v="00:03:24"/>
    <n v="0"/>
    <s v="00:56:42"/>
    <n v="0.94"/>
    <n v="0.94"/>
    <x v="9"/>
    <s v="P"/>
    <d v="2026-07-24T00:00:00"/>
    <n v="1"/>
    <n v="1"/>
    <n v="0"/>
    <n v="0"/>
    <n v="0"/>
  </r>
  <r>
    <x v="9"/>
    <n v="27"/>
    <n v="0"/>
    <n v="0"/>
    <n v="0"/>
    <s v="5, 12, 19, 26"/>
    <x v="24"/>
    <s v="ROOPA .M"/>
    <x v="1"/>
    <s v="Company"/>
    <s v="GS"/>
    <d v="1899-12-30T08:52:22"/>
    <d v="1899-12-30T18:25:32"/>
    <n v="9.5500000000000007"/>
    <s v="00:07:38"/>
    <n v="0"/>
    <s v="00:55:32"/>
    <n v="0.93"/>
    <n v="0.93"/>
    <x v="9"/>
    <s v="P"/>
    <d v="2026-07-25T00:00:00"/>
    <n v="1"/>
    <n v="1"/>
    <n v="0"/>
    <n v="0"/>
    <n v="0"/>
  </r>
  <r>
    <x v="9"/>
    <n v="27"/>
    <n v="0"/>
    <n v="0"/>
    <n v="0"/>
    <s v="5, 12, 19, 26"/>
    <x v="25"/>
    <s v="ROOPA .M"/>
    <x v="1"/>
    <s v="Company"/>
    <s v="NA"/>
    <d v="1899-12-30T00:00:00"/>
    <d v="1899-12-30T00:00:00"/>
    <n v="0"/>
    <s v="09:00:00"/>
    <n v="9"/>
    <s v="-17:30:00"/>
    <n v="0"/>
    <n v="9"/>
    <x v="9"/>
    <s v="A"/>
    <d v="2026-07-26T00:00:00"/>
    <n v="0"/>
    <n v="0"/>
    <n v="0"/>
    <n v="0"/>
    <n v="0"/>
  </r>
  <r>
    <x v="9"/>
    <n v="27"/>
    <n v="0"/>
    <n v="0"/>
    <n v="0"/>
    <s v="5, 12, 19, 26"/>
    <x v="26"/>
    <s v="ROOPA .M"/>
    <x v="1"/>
    <s v="Company"/>
    <s v="GS"/>
    <d v="1899-12-30T08:49:18"/>
    <d v="1899-12-30T18:27:18"/>
    <n v="9.6300000000000008"/>
    <s v="00:10:42"/>
    <n v="0"/>
    <s v="00:57:18"/>
    <n v="0.96"/>
    <n v="0.96"/>
    <x v="9"/>
    <s v="P"/>
    <d v="2026-07-27T00:00:00"/>
    <n v="1"/>
    <n v="1"/>
    <n v="0"/>
    <n v="0"/>
    <n v="0"/>
  </r>
  <r>
    <x v="9"/>
    <n v="27"/>
    <n v="0"/>
    <n v="0"/>
    <n v="0"/>
    <s v="5, 12, 19, 26"/>
    <x v="27"/>
    <s v="ROOPA .M"/>
    <x v="1"/>
    <s v="Company"/>
    <s v="GS"/>
    <d v="1899-12-30T08:48:55"/>
    <d v="1899-12-30T18:26:25"/>
    <n v="9.6199999999999992"/>
    <s v="00:11:05"/>
    <n v="0"/>
    <s v="00:56:25"/>
    <n v="0.94"/>
    <n v="0.94"/>
    <x v="9"/>
    <s v="P"/>
    <d v="2026-07-28T00:00:00"/>
    <n v="1"/>
    <n v="1"/>
    <n v="0"/>
    <n v="0"/>
    <n v="0"/>
  </r>
  <r>
    <x v="9"/>
    <n v="27"/>
    <n v="0"/>
    <n v="0"/>
    <n v="0"/>
    <s v="5, 12, 19, 26"/>
    <x v="28"/>
    <s v="ROOPA .M"/>
    <x v="1"/>
    <s v="Company"/>
    <s v="GS"/>
    <d v="1899-12-30T08:51:17"/>
    <d v="1899-12-30T18:24:47"/>
    <n v="9.56"/>
    <s v="00:08:43"/>
    <n v="0"/>
    <s v="00:54:47"/>
    <n v="0.91"/>
    <n v="0.91"/>
    <x v="9"/>
    <s v="P"/>
    <d v="2026-07-29T00:00:00"/>
    <n v="1"/>
    <n v="1"/>
    <n v="0"/>
    <n v="0"/>
    <n v="0"/>
  </r>
  <r>
    <x v="9"/>
    <n v="27"/>
    <n v="0"/>
    <n v="0"/>
    <n v="0"/>
    <s v="5, 12, 19, 26"/>
    <x v="29"/>
    <s v="ROOPA .M"/>
    <x v="1"/>
    <s v="Company"/>
    <s v="GS"/>
    <d v="1899-12-30T08:53:15"/>
    <d v="1899-12-30T18:25:38"/>
    <n v="9.5399999999999991"/>
    <s v="00:06:45"/>
    <n v="0"/>
    <s v="00:55:38"/>
    <n v="0.93"/>
    <n v="0.93"/>
    <x v="9"/>
    <s v="P"/>
    <d v="2026-07-30T00:00:00"/>
    <n v="1"/>
    <n v="1"/>
    <n v="0"/>
    <n v="0"/>
    <n v="0"/>
  </r>
  <r>
    <x v="9"/>
    <n v="27"/>
    <n v="0"/>
    <n v="0"/>
    <n v="0"/>
    <s v="5, 12, 19, 26"/>
    <x v="30"/>
    <s v="ROOPA .M"/>
    <x v="1"/>
    <s v="Company"/>
    <s v="GS"/>
    <d v="1899-12-30T08:52:15"/>
    <d v="1899-12-30T18:25:06"/>
    <n v="9.5500000000000007"/>
    <s v="00:07:45"/>
    <n v="0"/>
    <s v="00:55:06"/>
    <n v="0.92"/>
    <n v="0.92"/>
    <x v="9"/>
    <s v="P"/>
    <d v="2026-07-31T00:00:00"/>
    <n v="1"/>
    <n v="1"/>
    <n v="0"/>
    <n v="0"/>
    <n v="0"/>
  </r>
  <r>
    <x v="10"/>
    <n v="24.5"/>
    <n v="2.5"/>
    <n v="0"/>
    <n v="0"/>
    <s v="5, 11, 12, 19, 24, 26"/>
    <x v="0"/>
    <s v="RAJESHWARI"/>
    <x v="2"/>
    <s v="Company"/>
    <s v="GS"/>
    <d v="1899-12-30T09:07:19"/>
    <d v="1899-12-30T12:40:39"/>
    <n v="3.56"/>
    <s v="-00:07:19"/>
    <n v="0"/>
    <s v="-04:49:21"/>
    <n v="0"/>
    <n v="0"/>
    <x v="10"/>
    <s v="H"/>
    <d v="2026-07-01T00:00:00"/>
    <n v="0.5"/>
    <n v="0.5"/>
    <n v="0"/>
    <n v="0"/>
    <n v="0"/>
  </r>
  <r>
    <x v="10"/>
    <n v="24.5"/>
    <n v="2.5"/>
    <n v="0"/>
    <n v="0"/>
    <s v="5, 11, 12, 19, 24, 26"/>
    <x v="1"/>
    <s v="RAJESHWARI"/>
    <x v="2"/>
    <s v="Company"/>
    <s v="GS"/>
    <d v="1899-12-30T09:04:46"/>
    <d v="1899-12-30T17:30:34"/>
    <n v="8.43"/>
    <s v="-00:04:46"/>
    <n v="0"/>
    <s v="00:00:34"/>
    <n v="0"/>
    <n v="0"/>
    <x v="10"/>
    <s v="P"/>
    <d v="2026-07-02T00:00:00"/>
    <n v="1"/>
    <n v="1"/>
    <n v="0"/>
    <n v="0"/>
    <n v="0"/>
  </r>
  <r>
    <x v="10"/>
    <n v="24.5"/>
    <n v="2.5"/>
    <n v="0"/>
    <n v="0"/>
    <s v="5, 11, 12, 19, 24, 26"/>
    <x v="2"/>
    <s v="RAJESHWARI"/>
    <x v="2"/>
    <s v="Company"/>
    <s v="GS"/>
    <d v="1899-12-30T09:06:27"/>
    <d v="1899-12-30T17:33:20"/>
    <n v="8.4499999999999993"/>
    <s v="-00:06:27"/>
    <n v="0"/>
    <s v="00:03:20"/>
    <n v="0"/>
    <n v="0"/>
    <x v="10"/>
    <s v="P"/>
    <d v="2026-07-03T00:00:00"/>
    <n v="1"/>
    <n v="1"/>
    <n v="0"/>
    <n v="0"/>
    <n v="0"/>
  </r>
  <r>
    <x v="10"/>
    <n v="24.5"/>
    <n v="2.5"/>
    <n v="0"/>
    <n v="0"/>
    <s v="5, 11, 12, 19, 24, 26"/>
    <x v="3"/>
    <s v="RAJESHWARI"/>
    <x v="2"/>
    <s v="Company"/>
    <s v="GS"/>
    <d v="1899-12-30T09:07:26"/>
    <d v="1899-12-30T17:31:09"/>
    <n v="8.4"/>
    <s v="-00:07:26"/>
    <n v="0"/>
    <s v="00:01:09"/>
    <n v="0"/>
    <n v="0"/>
    <x v="10"/>
    <s v="P"/>
    <d v="2026-07-04T00:00:00"/>
    <n v="1"/>
    <n v="1"/>
    <n v="0"/>
    <n v="0"/>
    <n v="0"/>
  </r>
  <r>
    <x v="10"/>
    <n v="24.5"/>
    <n v="2.5"/>
    <n v="0"/>
    <n v="0"/>
    <s v="5, 11, 12, 19, 24, 26"/>
    <x v="4"/>
    <s v="RAJESHWARI"/>
    <x v="2"/>
    <s v="Company"/>
    <s v="NA"/>
    <d v="1899-12-30T00:00:00"/>
    <d v="1899-12-30T00:00:00"/>
    <n v="0"/>
    <s v="09:00:00"/>
    <n v="9"/>
    <s v="-17:30:00"/>
    <n v="0"/>
    <n v="9"/>
    <x v="10"/>
    <s v="A"/>
    <d v="2026-07-05T00:00:00"/>
    <n v="0"/>
    <n v="0"/>
    <n v="0"/>
    <n v="0"/>
    <n v="0"/>
  </r>
  <r>
    <x v="10"/>
    <n v="24.5"/>
    <n v="2.5"/>
    <n v="0"/>
    <n v="0"/>
    <s v="5, 11, 12, 19, 24, 26"/>
    <x v="5"/>
    <s v="RAJESHWARI"/>
    <x v="2"/>
    <s v="Company"/>
    <s v="GS"/>
    <d v="1899-12-30T09:10:41"/>
    <d v="1899-12-30T17:32:26"/>
    <n v="8.36"/>
    <s v="-00:10:41"/>
    <n v="0"/>
    <s v="00:02:26"/>
    <n v="0"/>
    <n v="0"/>
    <x v="10"/>
    <s v="P"/>
    <d v="2026-07-06T00:00:00"/>
    <n v="1"/>
    <n v="1"/>
    <n v="0"/>
    <n v="0"/>
    <n v="0"/>
  </r>
  <r>
    <x v="10"/>
    <n v="24.5"/>
    <n v="2.5"/>
    <n v="0"/>
    <n v="0"/>
    <s v="5, 11, 12, 19, 24, 26"/>
    <x v="6"/>
    <s v="RAJESHWARI"/>
    <x v="2"/>
    <s v="Company"/>
    <s v="GS"/>
    <d v="1899-12-30T08:58:56"/>
    <d v="1899-12-30T17:34:07"/>
    <n v="8.59"/>
    <s v="00:01:04"/>
    <n v="0"/>
    <s v="00:04:07"/>
    <n v="0"/>
    <n v="0"/>
    <x v="10"/>
    <s v="P"/>
    <d v="2026-07-07T00:00:00"/>
    <n v="1"/>
    <n v="1"/>
    <n v="0"/>
    <n v="0"/>
    <n v="0"/>
  </r>
  <r>
    <x v="10"/>
    <n v="24.5"/>
    <n v="2.5"/>
    <n v="0"/>
    <n v="0"/>
    <s v="5, 11, 12, 19, 24, 26"/>
    <x v="7"/>
    <s v="RAJESHWARI"/>
    <x v="2"/>
    <s v="Company"/>
    <s v="GS"/>
    <d v="1899-12-30T09:03:48"/>
    <d v="1899-12-30T17:34:42"/>
    <n v="8.52"/>
    <s v="-00:03:48"/>
    <n v="0"/>
    <s v="00:04:42"/>
    <n v="0"/>
    <n v="0"/>
    <x v="10"/>
    <s v="P"/>
    <d v="2026-07-08T00:00:00"/>
    <n v="1"/>
    <n v="1"/>
    <n v="0"/>
    <n v="0"/>
    <n v="0"/>
  </r>
  <r>
    <x v="10"/>
    <n v="24.5"/>
    <n v="2.5"/>
    <n v="0"/>
    <n v="0"/>
    <s v="5, 11, 12, 19, 24, 26"/>
    <x v="8"/>
    <s v="RAJESHWARI"/>
    <x v="2"/>
    <s v="Company"/>
    <s v="GS"/>
    <d v="1899-12-30T09:02:58"/>
    <d v="1899-12-30T17:34:10"/>
    <n v="8.52"/>
    <s v="-00:02:58"/>
    <n v="0"/>
    <s v="00:04:10"/>
    <n v="0"/>
    <n v="0"/>
    <x v="10"/>
    <s v="P"/>
    <d v="2026-07-09T00:00:00"/>
    <n v="1"/>
    <n v="1"/>
    <n v="0"/>
    <n v="0"/>
    <n v="0"/>
  </r>
  <r>
    <x v="10"/>
    <n v="24.5"/>
    <n v="2.5"/>
    <n v="0"/>
    <n v="0"/>
    <s v="5, 11, 12, 19, 24, 26"/>
    <x v="9"/>
    <s v="RAJESHWARI"/>
    <x v="2"/>
    <s v="Company"/>
    <s v="GS"/>
    <d v="1899-12-30T09:02:41"/>
    <d v="1899-12-30T17:35:42"/>
    <n v="8.5500000000000007"/>
    <s v="-00:02:41"/>
    <n v="0"/>
    <s v="00:05:42"/>
    <n v="0"/>
    <n v="0"/>
    <x v="10"/>
    <s v="P"/>
    <d v="2026-07-10T00:00:00"/>
    <n v="1"/>
    <n v="1"/>
    <n v="0"/>
    <n v="0"/>
    <n v="0"/>
  </r>
  <r>
    <x v="10"/>
    <n v="24.5"/>
    <n v="2.5"/>
    <n v="0"/>
    <n v="0"/>
    <s v="5, 11, 12, 19, 24, 26"/>
    <x v="10"/>
    <s v="RAJESHWARI"/>
    <x v="2"/>
    <s v="Company"/>
    <s v="NA"/>
    <d v="1899-12-30T00:00:00"/>
    <d v="1899-12-30T00:00:00"/>
    <n v="0"/>
    <s v="09:00:00"/>
    <n v="9"/>
    <s v="-17:30:00"/>
    <n v="0"/>
    <n v="9"/>
    <x v="10"/>
    <s v="A"/>
    <d v="2026-07-11T00:00:00"/>
    <n v="0"/>
    <n v="0"/>
    <n v="0"/>
    <n v="0"/>
    <n v="0"/>
  </r>
  <r>
    <x v="10"/>
    <n v="24.5"/>
    <n v="2.5"/>
    <n v="0"/>
    <n v="0"/>
    <s v="5, 11, 12, 19, 24, 26"/>
    <x v="11"/>
    <s v="RAJESHWARI"/>
    <x v="2"/>
    <s v="Company"/>
    <s v="NA"/>
    <d v="1899-12-30T00:00:00"/>
    <d v="1899-12-30T00:00:00"/>
    <n v="0"/>
    <s v="09:00:00"/>
    <n v="9"/>
    <s v="-17:30:00"/>
    <n v="0"/>
    <n v="9"/>
    <x v="10"/>
    <s v="A"/>
    <d v="2026-07-12T00:00:00"/>
    <n v="0"/>
    <n v="0"/>
    <n v="0"/>
    <n v="0"/>
    <n v="0"/>
  </r>
  <r>
    <x v="10"/>
    <n v="24.5"/>
    <n v="2.5"/>
    <n v="0"/>
    <n v="0"/>
    <s v="5, 11, 12, 19, 24, 26"/>
    <x v="12"/>
    <s v="RAJESHWARI"/>
    <x v="2"/>
    <s v="Company"/>
    <s v="GS"/>
    <d v="1899-12-30T09:11:32"/>
    <d v="1899-12-30T17:33:34"/>
    <n v="8.3699999999999992"/>
    <s v="-00:11:32"/>
    <n v="0"/>
    <s v="00:03:34"/>
    <n v="0"/>
    <n v="0"/>
    <x v="10"/>
    <s v="P"/>
    <d v="2026-07-13T00:00:00"/>
    <n v="1"/>
    <n v="1"/>
    <n v="0"/>
    <n v="0"/>
    <n v="0"/>
  </r>
  <r>
    <x v="10"/>
    <n v="24.5"/>
    <n v="2.5"/>
    <n v="0"/>
    <n v="0"/>
    <s v="5, 11, 12, 19, 24, 26"/>
    <x v="13"/>
    <s v="RAJESHWARI"/>
    <x v="2"/>
    <s v="Company"/>
    <s v="GS"/>
    <d v="1899-12-30T09:16:25"/>
    <d v="1899-12-30T17:32:43"/>
    <n v="8.27"/>
    <s v="-00:16:25"/>
    <n v="0"/>
    <s v="00:02:43"/>
    <n v="0"/>
    <n v="0"/>
    <x v="10"/>
    <s v="P"/>
    <d v="2026-07-14T00:00:00"/>
    <n v="1"/>
    <n v="1"/>
    <n v="0"/>
    <n v="0"/>
    <n v="0"/>
  </r>
  <r>
    <x v="10"/>
    <n v="24.5"/>
    <n v="2.5"/>
    <n v="0"/>
    <n v="0"/>
    <s v="5, 11, 12, 19, 24, 26"/>
    <x v="14"/>
    <s v="RAJESHWARI"/>
    <x v="2"/>
    <s v="Company"/>
    <s v="GS"/>
    <d v="1899-12-30T09:02:12"/>
    <d v="1899-12-30T17:31:52"/>
    <n v="8.49"/>
    <s v="-00:02:12"/>
    <n v="0"/>
    <s v="00:01:52"/>
    <n v="0"/>
    <n v="0"/>
    <x v="10"/>
    <s v="P"/>
    <d v="2026-07-15T00:00:00"/>
    <n v="1"/>
    <n v="1"/>
    <n v="0"/>
    <n v="0"/>
    <n v="0"/>
  </r>
  <r>
    <x v="10"/>
    <n v="24.5"/>
    <n v="2.5"/>
    <n v="0"/>
    <n v="0"/>
    <s v="5, 11, 12, 19, 24, 26"/>
    <x v="15"/>
    <s v="RAJESHWARI"/>
    <x v="2"/>
    <s v="Company"/>
    <s v="GS"/>
    <d v="1899-12-30T09:08:08"/>
    <d v="1899-12-30T17:31:57"/>
    <n v="8.4"/>
    <s v="-00:08:08"/>
    <n v="0"/>
    <s v="00:01:57"/>
    <n v="0"/>
    <n v="0"/>
    <x v="10"/>
    <s v="P"/>
    <d v="2026-07-16T00:00:00"/>
    <n v="1"/>
    <n v="1"/>
    <n v="0"/>
    <n v="0"/>
    <n v="0"/>
  </r>
  <r>
    <x v="10"/>
    <n v="24.5"/>
    <n v="2.5"/>
    <n v="0"/>
    <n v="0"/>
    <s v="5, 11, 12, 19, 24, 26"/>
    <x v="16"/>
    <s v="RAJESHWARI"/>
    <x v="2"/>
    <s v="Company"/>
    <s v="GS"/>
    <d v="1899-12-30T09:07:15"/>
    <d v="1899-12-30T17:31:44"/>
    <n v="8.41"/>
    <s v="-00:07:15"/>
    <n v="0"/>
    <s v="00:01:44"/>
    <n v="0"/>
    <n v="0"/>
    <x v="10"/>
    <s v="P"/>
    <d v="2026-07-17T00:00:00"/>
    <n v="1"/>
    <n v="1"/>
    <n v="0"/>
    <n v="0"/>
    <n v="0"/>
  </r>
  <r>
    <x v="10"/>
    <n v="24.5"/>
    <n v="2.5"/>
    <n v="0"/>
    <n v="0"/>
    <s v="5, 11, 12, 19, 24, 26"/>
    <x v="17"/>
    <s v="RAJESHWARI"/>
    <x v="2"/>
    <s v="Company"/>
    <s v="GS"/>
    <d v="1899-12-30T09:10:10"/>
    <d v="1899-12-30T17:32:29"/>
    <n v="8.3699999999999992"/>
    <s v="-00:10:10"/>
    <n v="0"/>
    <s v="00:02:29"/>
    <n v="0"/>
    <n v="0"/>
    <x v="10"/>
    <s v="P"/>
    <d v="2026-07-18T00:00:00"/>
    <n v="1"/>
    <n v="1"/>
    <n v="0"/>
    <n v="0"/>
    <n v="0"/>
  </r>
  <r>
    <x v="10"/>
    <n v="24.5"/>
    <n v="2.5"/>
    <n v="0"/>
    <n v="0"/>
    <s v="5, 11, 12, 19, 24, 26"/>
    <x v="18"/>
    <s v="RAJESHWARI"/>
    <x v="2"/>
    <s v="Company"/>
    <s v="NA"/>
    <d v="1899-12-30T00:00:00"/>
    <d v="1899-12-30T00:00:00"/>
    <n v="0"/>
    <s v="09:00:00"/>
    <n v="9"/>
    <s v="-17:30:00"/>
    <n v="0"/>
    <n v="9"/>
    <x v="10"/>
    <s v="A"/>
    <d v="2026-07-19T00:00:00"/>
    <n v="0"/>
    <n v="0"/>
    <n v="0"/>
    <n v="0"/>
    <n v="0"/>
  </r>
  <r>
    <x v="10"/>
    <n v="24.5"/>
    <n v="2.5"/>
    <n v="0"/>
    <n v="0"/>
    <s v="5, 11, 12, 19, 24, 26"/>
    <x v="19"/>
    <s v="RAJESHWARI"/>
    <x v="2"/>
    <s v="Company"/>
    <s v="GS"/>
    <d v="1899-12-30T09:01:23"/>
    <d v="1899-12-30T17:33:07"/>
    <n v="8.5299999999999994"/>
    <s v="-00:01:23"/>
    <n v="0"/>
    <s v="00:03:07"/>
    <n v="0"/>
    <n v="0"/>
    <x v="10"/>
    <s v="P"/>
    <d v="2026-07-20T00:00:00"/>
    <n v="1"/>
    <n v="1"/>
    <n v="0"/>
    <n v="0"/>
    <n v="0"/>
  </r>
  <r>
    <x v="10"/>
    <n v="24.5"/>
    <n v="2.5"/>
    <n v="0"/>
    <n v="0"/>
    <s v="5, 11, 12, 19, 24, 26"/>
    <x v="20"/>
    <s v="RAJESHWARI"/>
    <x v="2"/>
    <s v="Company"/>
    <s v="GS"/>
    <d v="1899-12-30T09:04:42"/>
    <d v="1899-12-30T17:31:55"/>
    <n v="8.4499999999999993"/>
    <s v="-00:04:42"/>
    <n v="0"/>
    <s v="00:01:55"/>
    <n v="0"/>
    <n v="0"/>
    <x v="10"/>
    <s v="P"/>
    <d v="2026-07-21T00:00:00"/>
    <n v="1"/>
    <n v="1"/>
    <n v="0"/>
    <n v="0"/>
    <n v="0"/>
  </r>
  <r>
    <x v="10"/>
    <n v="24.5"/>
    <n v="2.5"/>
    <n v="0"/>
    <n v="0"/>
    <s v="5, 11, 12, 19, 24, 26"/>
    <x v="21"/>
    <s v="RAJESHWARI"/>
    <x v="2"/>
    <s v="Company"/>
    <s v="GS"/>
    <d v="1899-12-30T09:07:40"/>
    <d v="1899-12-30T17:32:21"/>
    <n v="8.41"/>
    <s v="-00:07:40"/>
    <n v="0"/>
    <s v="00:02:21"/>
    <n v="0"/>
    <n v="0"/>
    <x v="10"/>
    <s v="P"/>
    <d v="2026-07-22T00:00:00"/>
    <n v="1"/>
    <n v="1"/>
    <n v="0"/>
    <n v="0"/>
    <n v="0"/>
  </r>
  <r>
    <x v="10"/>
    <n v="24.5"/>
    <n v="2.5"/>
    <n v="0"/>
    <n v="0"/>
    <s v="5, 11, 12, 19, 24, 26"/>
    <x v="22"/>
    <s v="RAJESHWARI"/>
    <x v="2"/>
    <s v="Company"/>
    <s v="GS"/>
    <d v="1899-12-30T09:04:41"/>
    <d v="1899-12-30T16:29:47"/>
    <n v="7.42"/>
    <s v="-00:04:41"/>
    <n v="0"/>
    <s v="-01:00:13"/>
    <n v="0"/>
    <n v="0"/>
    <x v="10"/>
    <s v="P"/>
    <d v="2026-07-23T00:00:00"/>
    <n v="1"/>
    <n v="1"/>
    <n v="0"/>
    <n v="0"/>
    <n v="0"/>
  </r>
  <r>
    <x v="10"/>
    <n v="24.5"/>
    <n v="2.5"/>
    <n v="0"/>
    <n v="0"/>
    <s v="5, 11, 12, 19, 24, 26"/>
    <x v="23"/>
    <s v="RAJESHWARI"/>
    <x v="2"/>
    <s v="Company"/>
    <s v="NA"/>
    <d v="1899-12-30T00:00:00"/>
    <d v="1899-12-30T00:00:00"/>
    <n v="0"/>
    <s v="09:00:00"/>
    <n v="9"/>
    <s v="-17:30:00"/>
    <n v="0"/>
    <n v="9"/>
    <x v="10"/>
    <s v="A"/>
    <d v="2026-07-24T00:00:00"/>
    <n v="0"/>
    <n v="0"/>
    <n v="0"/>
    <n v="0"/>
    <n v="0"/>
  </r>
  <r>
    <x v="10"/>
    <n v="24.5"/>
    <n v="2.5"/>
    <n v="0"/>
    <n v="0"/>
    <s v="5, 11, 12, 19, 24, 26"/>
    <x v="24"/>
    <s v="RAJESHWARI"/>
    <x v="2"/>
    <s v="Company"/>
    <s v="GS"/>
    <d v="1899-12-30T09:12:40"/>
    <d v="1899-12-30T17:32:17"/>
    <n v="8.33"/>
    <s v="-00:12:40"/>
    <n v="0"/>
    <s v="00:02:17"/>
    <n v="0"/>
    <n v="0"/>
    <x v="10"/>
    <s v="P"/>
    <d v="2026-07-25T00:00:00"/>
    <n v="1"/>
    <n v="1"/>
    <n v="0"/>
    <n v="0"/>
    <n v="0"/>
  </r>
  <r>
    <x v="10"/>
    <n v="24.5"/>
    <n v="2.5"/>
    <n v="0"/>
    <n v="0"/>
    <s v="5, 11, 12, 19, 24, 26"/>
    <x v="25"/>
    <s v="RAJESHWARI"/>
    <x v="2"/>
    <s v="Company"/>
    <s v="NA"/>
    <d v="1899-12-30T00:00:00"/>
    <d v="1899-12-30T00:00:00"/>
    <n v="0"/>
    <s v="09:00:00"/>
    <n v="9"/>
    <s v="-17:30:00"/>
    <n v="0"/>
    <n v="9"/>
    <x v="10"/>
    <s v="A"/>
    <d v="2026-07-26T00:00:00"/>
    <n v="0"/>
    <n v="0"/>
    <n v="0"/>
    <n v="0"/>
    <n v="0"/>
  </r>
  <r>
    <x v="10"/>
    <n v="24.5"/>
    <n v="2.5"/>
    <n v="0"/>
    <n v="0"/>
    <s v="5, 11, 12, 19, 24, 26"/>
    <x v="26"/>
    <s v="RAJESHWARI"/>
    <x v="2"/>
    <s v="Company"/>
    <s v="GS"/>
    <d v="1899-12-30T09:02:55"/>
    <d v="1899-12-30T17:32:42"/>
    <n v="8.5"/>
    <s v="-00:02:55"/>
    <n v="0"/>
    <s v="00:02:42"/>
    <n v="0"/>
    <n v="0"/>
    <x v="10"/>
    <s v="P"/>
    <d v="2026-07-27T00:00:00"/>
    <n v="1"/>
    <n v="1"/>
    <n v="0"/>
    <n v="0"/>
    <n v="0"/>
  </r>
  <r>
    <x v="10"/>
    <n v="24.5"/>
    <n v="2.5"/>
    <n v="0"/>
    <n v="0"/>
    <s v="5, 11, 12, 19, 24, 26"/>
    <x v="27"/>
    <s v="RAJESHWARI"/>
    <x v="2"/>
    <s v="Company"/>
    <s v="GS"/>
    <d v="1899-12-30T09:00:12"/>
    <d v="1899-12-30T17:32:21"/>
    <n v="8.5399999999999991"/>
    <s v="-00:00:12"/>
    <n v="0"/>
    <s v="00:02:21"/>
    <n v="0"/>
    <n v="0"/>
    <x v="10"/>
    <s v="P"/>
    <d v="2026-07-28T00:00:00"/>
    <n v="1"/>
    <n v="1"/>
    <n v="0"/>
    <n v="0"/>
    <n v="0"/>
  </r>
  <r>
    <x v="10"/>
    <n v="24.5"/>
    <n v="2.5"/>
    <n v="0"/>
    <n v="0"/>
    <s v="5, 11, 12, 19, 24, 26"/>
    <x v="28"/>
    <s v="RAJESHWARI"/>
    <x v="2"/>
    <s v="Company"/>
    <s v="GS"/>
    <d v="1899-12-30T09:12:12"/>
    <d v="1899-12-30T17:34:06"/>
    <n v="8.36"/>
    <s v="-00:12:12"/>
    <n v="0"/>
    <s v="00:04:06"/>
    <n v="0"/>
    <n v="0"/>
    <x v="10"/>
    <s v="P"/>
    <d v="2026-07-29T00:00:00"/>
    <n v="1"/>
    <n v="1"/>
    <n v="0"/>
    <n v="0"/>
    <n v="0"/>
  </r>
  <r>
    <x v="10"/>
    <n v="24.5"/>
    <n v="2.5"/>
    <n v="0"/>
    <n v="0"/>
    <s v="5, 11, 12, 19, 24, 26"/>
    <x v="29"/>
    <s v="RAJESHWARI"/>
    <x v="2"/>
    <s v="Company"/>
    <s v="GS"/>
    <d v="1899-12-30T08:56:38"/>
    <d v="1899-12-30T17:33:05"/>
    <n v="8.61"/>
    <s v="00:03:22"/>
    <n v="0"/>
    <s v="00:03:05"/>
    <n v="0"/>
    <n v="0"/>
    <x v="10"/>
    <s v="P"/>
    <d v="2026-07-30T00:00:00"/>
    <n v="1"/>
    <n v="1"/>
    <n v="0"/>
    <n v="0"/>
    <n v="0"/>
  </r>
  <r>
    <x v="10"/>
    <n v="24.5"/>
    <n v="2.5"/>
    <n v="0"/>
    <n v="0"/>
    <s v="5, 11, 12, 19, 24, 26"/>
    <x v="30"/>
    <s v="RAJESHWARI"/>
    <x v="2"/>
    <s v="Company"/>
    <s v="GS"/>
    <d v="1899-12-30T09:08:37"/>
    <d v="1899-12-30T17:34:49"/>
    <n v="8.44"/>
    <s v="-00:08:37"/>
    <n v="0"/>
    <s v="00:04:49"/>
    <n v="0"/>
    <n v="0"/>
    <x v="10"/>
    <s v="P"/>
    <d v="2026-07-31T00:00:00"/>
    <n v="1"/>
    <n v="1"/>
    <n v="0"/>
    <n v="0"/>
    <n v="0"/>
  </r>
  <r>
    <x v="11"/>
    <n v="25.5"/>
    <n v="1.5"/>
    <n v="0"/>
    <n v="0"/>
    <s v="5, 12, 16, 19, 26"/>
    <x v="0"/>
    <s v="NETHRAVATHI"/>
    <x v="2"/>
    <s v="Company"/>
    <s v="GS"/>
    <d v="1899-12-30T08:54:13"/>
    <d v="1899-12-30T17:27:38"/>
    <n v="8.56"/>
    <s v="00:05:47"/>
    <n v="0"/>
    <s v="-00:02:22"/>
    <n v="0"/>
    <n v="0"/>
    <x v="11"/>
    <s v="P"/>
    <d v="2026-07-01T00:00:00"/>
    <n v="1"/>
    <n v="1"/>
    <n v="0"/>
    <n v="0"/>
    <n v="0"/>
  </r>
  <r>
    <x v="11"/>
    <n v="25.5"/>
    <n v="1.5"/>
    <n v="0"/>
    <n v="0"/>
    <s v="5, 12, 16, 19, 26"/>
    <x v="1"/>
    <s v="NETHRAVATHI"/>
    <x v="2"/>
    <s v="Company"/>
    <s v="GS"/>
    <d v="1899-12-30T08:58:39"/>
    <d v="1899-12-30T17:26:14"/>
    <n v="8.4600000000000009"/>
    <s v="00:01:21"/>
    <n v="0"/>
    <s v="-00:03:46"/>
    <n v="0"/>
    <n v="0"/>
    <x v="11"/>
    <s v="P"/>
    <d v="2026-07-02T00:00:00"/>
    <n v="1"/>
    <n v="1"/>
    <n v="0"/>
    <n v="0"/>
    <n v="0"/>
  </r>
  <r>
    <x v="11"/>
    <n v="25.5"/>
    <n v="1.5"/>
    <n v="0"/>
    <n v="0"/>
    <s v="5, 12, 16, 19, 26"/>
    <x v="2"/>
    <s v="NETHRAVATHI"/>
    <x v="2"/>
    <s v="Company"/>
    <s v="GS"/>
    <d v="1899-12-30T08:54:36"/>
    <d v="1899-12-30T17:28:22"/>
    <n v="8.56"/>
    <s v="00:05:24"/>
    <n v="0"/>
    <s v="-00:01:38"/>
    <n v="0"/>
    <n v="0"/>
    <x v="11"/>
    <s v="P"/>
    <d v="2026-07-03T00:00:00"/>
    <n v="1"/>
    <n v="1"/>
    <n v="0"/>
    <n v="0"/>
    <n v="0"/>
  </r>
  <r>
    <x v="11"/>
    <n v="25.5"/>
    <n v="1.5"/>
    <n v="0"/>
    <n v="0"/>
    <s v="5, 12, 16, 19, 26"/>
    <x v="3"/>
    <s v="NETHRAVATHI"/>
    <x v="2"/>
    <s v="Company"/>
    <s v="GS"/>
    <d v="1899-12-30T08:51:02"/>
    <d v="1899-12-30T17:26:02"/>
    <n v="8.58"/>
    <s v="00:08:58"/>
    <n v="0"/>
    <s v="-00:03:58"/>
    <n v="0"/>
    <n v="0"/>
    <x v="11"/>
    <s v="P"/>
    <d v="2026-07-04T00:00:00"/>
    <n v="1"/>
    <n v="1"/>
    <n v="0"/>
    <n v="0"/>
    <n v="0"/>
  </r>
  <r>
    <x v="11"/>
    <n v="25.5"/>
    <n v="1.5"/>
    <n v="0"/>
    <n v="0"/>
    <s v="5, 12, 16, 19, 26"/>
    <x v="4"/>
    <s v="NETHRAVATHI"/>
    <x v="2"/>
    <s v="Company"/>
    <s v="NA"/>
    <d v="1899-12-30T00:00:00"/>
    <d v="1899-12-30T00:00:00"/>
    <n v="0"/>
    <s v="09:00:00"/>
    <n v="9"/>
    <s v="-17:30:00"/>
    <n v="0"/>
    <n v="9"/>
    <x v="11"/>
    <s v="A"/>
    <d v="2026-07-05T00:00:00"/>
    <n v="0"/>
    <n v="0"/>
    <n v="0"/>
    <n v="0"/>
    <n v="0"/>
  </r>
  <r>
    <x v="11"/>
    <n v="25.5"/>
    <n v="1.5"/>
    <n v="0"/>
    <n v="0"/>
    <s v="5, 12, 16, 19, 26"/>
    <x v="5"/>
    <s v="NETHRAVATHI"/>
    <x v="2"/>
    <s v="Company"/>
    <s v="GS"/>
    <d v="1899-12-30T09:03:20"/>
    <d v="1899-12-30T17:28:15"/>
    <n v="8.42"/>
    <s v="-00:03:20"/>
    <n v="0"/>
    <s v="-00:01:45"/>
    <n v="0"/>
    <n v="0"/>
    <x v="11"/>
    <s v="P"/>
    <d v="2026-07-06T00:00:00"/>
    <n v="1"/>
    <n v="1"/>
    <n v="0"/>
    <n v="0"/>
    <n v="0"/>
  </r>
  <r>
    <x v="11"/>
    <n v="25.5"/>
    <n v="1.5"/>
    <n v="0"/>
    <n v="0"/>
    <s v="5, 12, 16, 19, 26"/>
    <x v="6"/>
    <s v="NETHRAVATHI"/>
    <x v="2"/>
    <s v="Company"/>
    <s v="GS"/>
    <d v="1899-12-30T08:56:19"/>
    <d v="1899-12-30T18:26:25"/>
    <n v="9.5"/>
    <s v="00:03:41"/>
    <n v="0"/>
    <s v="00:56:25"/>
    <n v="0.94"/>
    <n v="0.94"/>
    <x v="11"/>
    <s v="P"/>
    <d v="2026-07-07T00:00:00"/>
    <n v="1"/>
    <n v="1"/>
    <n v="0"/>
    <n v="0"/>
    <n v="0"/>
  </r>
  <r>
    <x v="11"/>
    <n v="25.5"/>
    <n v="1.5"/>
    <n v="0"/>
    <n v="0"/>
    <s v="5, 12, 16, 19, 26"/>
    <x v="7"/>
    <s v="NETHRAVATHI"/>
    <x v="2"/>
    <s v="Company"/>
    <s v="GS"/>
    <d v="1899-12-30T08:55:37"/>
    <d v="1899-12-30T18:26:40"/>
    <n v="9.52"/>
    <s v="00:04:23"/>
    <n v="0"/>
    <s v="00:56:40"/>
    <n v="0.94"/>
    <n v="0.94"/>
    <x v="11"/>
    <s v="P"/>
    <d v="2026-07-08T00:00:00"/>
    <n v="1"/>
    <n v="1"/>
    <n v="0"/>
    <n v="0"/>
    <n v="0"/>
  </r>
  <r>
    <x v="11"/>
    <n v="25.5"/>
    <n v="1.5"/>
    <n v="0"/>
    <n v="0"/>
    <s v="5, 12, 16, 19, 26"/>
    <x v="8"/>
    <s v="NETHRAVATHI"/>
    <x v="2"/>
    <s v="Company"/>
    <s v="GS"/>
    <d v="1899-12-30T08:55:30"/>
    <d v="1899-12-30T18:26:39"/>
    <n v="9.52"/>
    <s v="00:04:30"/>
    <n v="0"/>
    <s v="00:56:39"/>
    <n v="0.94"/>
    <n v="0.94"/>
    <x v="11"/>
    <s v="P"/>
    <d v="2026-07-09T00:00:00"/>
    <n v="1"/>
    <n v="1"/>
    <n v="0"/>
    <n v="0"/>
    <n v="0"/>
  </r>
  <r>
    <x v="11"/>
    <n v="25.5"/>
    <n v="1.5"/>
    <n v="0"/>
    <n v="0"/>
    <s v="5, 12, 16, 19, 26"/>
    <x v="9"/>
    <s v="NETHRAVATHI"/>
    <x v="2"/>
    <s v="Company"/>
    <s v="GS"/>
    <d v="1899-12-30T08:59:33"/>
    <d v="1899-12-30T18:25:51"/>
    <n v="9.44"/>
    <s v="00:00:27"/>
    <n v="0"/>
    <s v="00:55:51"/>
    <n v="0.93"/>
    <n v="0.93"/>
    <x v="11"/>
    <s v="P"/>
    <d v="2026-07-10T00:00:00"/>
    <n v="1"/>
    <n v="1"/>
    <n v="0"/>
    <n v="0"/>
    <n v="0"/>
  </r>
  <r>
    <x v="11"/>
    <n v="25.5"/>
    <n v="1.5"/>
    <n v="0"/>
    <n v="0"/>
    <s v="5, 12, 16, 19, 26"/>
    <x v="10"/>
    <s v="NETHRAVATHI"/>
    <x v="2"/>
    <s v="Company"/>
    <s v="GS"/>
    <d v="1899-12-30T08:51:17"/>
    <d v="1899-12-30T18:27:42"/>
    <n v="9.61"/>
    <s v="00:08:43"/>
    <n v="0"/>
    <s v="00:57:42"/>
    <n v="0.96"/>
    <n v="0.96"/>
    <x v="11"/>
    <s v="P"/>
    <d v="2026-07-11T00:00:00"/>
    <n v="1"/>
    <n v="1"/>
    <n v="0"/>
    <n v="0"/>
    <n v="0"/>
  </r>
  <r>
    <x v="11"/>
    <n v="25.5"/>
    <n v="1.5"/>
    <n v="0"/>
    <n v="0"/>
    <s v="5, 12, 16, 19, 26"/>
    <x v="11"/>
    <s v="NETHRAVATHI"/>
    <x v="2"/>
    <s v="Company"/>
    <s v="NA"/>
    <d v="1899-12-30T00:00:00"/>
    <d v="1899-12-30T00:00:00"/>
    <n v="0"/>
    <s v="09:00:00"/>
    <n v="9"/>
    <s v="-17:30:00"/>
    <n v="0"/>
    <n v="9"/>
    <x v="11"/>
    <s v="A"/>
    <d v="2026-07-12T00:00:00"/>
    <n v="0"/>
    <n v="0"/>
    <n v="0"/>
    <n v="0"/>
    <n v="0"/>
  </r>
  <r>
    <x v="11"/>
    <n v="25.5"/>
    <n v="1.5"/>
    <n v="0"/>
    <n v="0"/>
    <s v="5, 12, 16, 19, 26"/>
    <x v="12"/>
    <s v="NETHRAVATHI"/>
    <x v="2"/>
    <s v="Company"/>
    <s v="GS"/>
    <d v="1899-12-30T08:46:50"/>
    <d v="1899-12-30T18:27:26"/>
    <n v="9.68"/>
    <s v="00:13:10"/>
    <n v="0"/>
    <s v="00:57:26"/>
    <n v="0.96"/>
    <n v="0.96"/>
    <x v="11"/>
    <s v="P"/>
    <d v="2026-07-13T00:00:00"/>
    <n v="1"/>
    <n v="1"/>
    <n v="0"/>
    <n v="0"/>
    <n v="0"/>
  </r>
  <r>
    <x v="11"/>
    <n v="25.5"/>
    <n v="1.5"/>
    <n v="0"/>
    <n v="0"/>
    <s v="5, 12, 16, 19, 26"/>
    <x v="13"/>
    <s v="NETHRAVATHI"/>
    <x v="2"/>
    <s v="Company"/>
    <s v="GS"/>
    <d v="1899-12-30T08:50:07"/>
    <d v="1899-12-30T18:26:45"/>
    <n v="9.61"/>
    <s v="00:09:53"/>
    <n v="0"/>
    <s v="00:56:45"/>
    <n v="0.95"/>
    <n v="0.95"/>
    <x v="11"/>
    <s v="P"/>
    <d v="2026-07-14T00:00:00"/>
    <n v="1"/>
    <n v="1"/>
    <n v="0"/>
    <n v="0"/>
    <n v="0"/>
  </r>
  <r>
    <x v="11"/>
    <n v="25.5"/>
    <n v="1.5"/>
    <n v="0"/>
    <n v="0"/>
    <s v="5, 12, 16, 19, 26"/>
    <x v="14"/>
    <s v="NETHRAVATHI"/>
    <x v="2"/>
    <s v="Company"/>
    <s v="GS"/>
    <d v="1899-12-30T08:53:44"/>
    <d v="1899-12-30T18:26:52"/>
    <n v="9.5500000000000007"/>
    <s v="00:06:16"/>
    <n v="0"/>
    <s v="00:56:52"/>
    <n v="0.95"/>
    <n v="0.95"/>
    <x v="11"/>
    <s v="P"/>
    <d v="2026-07-15T00:00:00"/>
    <n v="1"/>
    <n v="1"/>
    <n v="0"/>
    <n v="0"/>
    <n v="0"/>
  </r>
  <r>
    <x v="11"/>
    <n v="25.5"/>
    <n v="1.5"/>
    <n v="0"/>
    <n v="0"/>
    <s v="5, 12, 16, 19, 26"/>
    <x v="15"/>
    <s v="NETHRAVATHI"/>
    <x v="2"/>
    <s v="Company"/>
    <s v="NA"/>
    <d v="1899-12-30T00:00:00"/>
    <d v="1899-12-30T00:00:00"/>
    <n v="0"/>
    <s v="09:00:00"/>
    <n v="9"/>
    <s v="-17:30:00"/>
    <n v="0"/>
    <n v="9"/>
    <x v="11"/>
    <s v="A"/>
    <d v="2026-07-16T00:00:00"/>
    <n v="0"/>
    <n v="0"/>
    <n v="0"/>
    <n v="0"/>
    <n v="0"/>
  </r>
  <r>
    <x v="11"/>
    <n v="25.5"/>
    <n v="1.5"/>
    <n v="0"/>
    <n v="0"/>
    <s v="5, 12, 16, 19, 26"/>
    <x v="16"/>
    <s v="NETHRAVATHI"/>
    <x v="2"/>
    <s v="Company"/>
    <s v="GS"/>
    <d v="1899-12-30T08:49:58"/>
    <d v="1899-12-30T18:26:38"/>
    <n v="9.61"/>
    <s v="00:10:02"/>
    <n v="0"/>
    <s v="00:56:38"/>
    <n v="0.94"/>
    <n v="0.94"/>
    <x v="11"/>
    <s v="P"/>
    <d v="2026-07-17T00:00:00"/>
    <n v="1"/>
    <n v="1"/>
    <n v="0"/>
    <n v="0"/>
    <n v="0"/>
  </r>
  <r>
    <x v="11"/>
    <n v="25.5"/>
    <n v="1.5"/>
    <n v="0"/>
    <n v="0"/>
    <s v="5, 12, 16, 19, 26"/>
    <x v="17"/>
    <s v="NETHRAVATHI"/>
    <x v="2"/>
    <s v="Company"/>
    <s v="GS"/>
    <d v="1899-12-30T08:54:02"/>
    <d v="1899-12-30T17:29:28"/>
    <n v="8.59"/>
    <s v="00:05:58"/>
    <n v="0"/>
    <s v="-00:00:32"/>
    <n v="0"/>
    <n v="0"/>
    <x v="11"/>
    <s v="P"/>
    <d v="2026-07-18T00:00:00"/>
    <n v="1"/>
    <n v="1"/>
    <n v="0"/>
    <n v="0"/>
    <n v="0"/>
  </r>
  <r>
    <x v="11"/>
    <n v="25.5"/>
    <n v="1.5"/>
    <n v="0"/>
    <n v="0"/>
    <s v="5, 12, 16, 19, 26"/>
    <x v="18"/>
    <s v="NETHRAVATHI"/>
    <x v="2"/>
    <s v="Company"/>
    <s v="NA"/>
    <d v="1899-12-30T00:00:00"/>
    <d v="1899-12-30T00:00:00"/>
    <n v="0"/>
    <s v="09:00:00"/>
    <n v="9"/>
    <s v="-17:30:00"/>
    <n v="0"/>
    <n v="9"/>
    <x v="11"/>
    <s v="A"/>
    <d v="2026-07-19T00:00:00"/>
    <n v="0"/>
    <n v="0"/>
    <n v="0"/>
    <n v="0"/>
    <n v="0"/>
  </r>
  <r>
    <x v="11"/>
    <n v="25.5"/>
    <n v="1.5"/>
    <n v="0"/>
    <n v="0"/>
    <s v="5, 12, 16, 19, 26"/>
    <x v="19"/>
    <s v="NETHRAVATHI"/>
    <x v="2"/>
    <s v="Company"/>
    <s v="GS"/>
    <d v="1899-12-30T08:54:05"/>
    <d v="1899-12-30T18:27:12"/>
    <n v="9.5500000000000007"/>
    <s v="00:05:55"/>
    <n v="0"/>
    <s v="00:57:12"/>
    <n v="0.95"/>
    <n v="0.95"/>
    <x v="11"/>
    <s v="P"/>
    <d v="2026-07-20T00:00:00"/>
    <n v="1"/>
    <n v="1"/>
    <n v="0"/>
    <n v="0"/>
    <n v="0"/>
  </r>
  <r>
    <x v="11"/>
    <n v="25.5"/>
    <n v="1.5"/>
    <n v="0"/>
    <n v="0"/>
    <s v="5, 12, 16, 19, 26"/>
    <x v="20"/>
    <s v="NETHRAVATHI"/>
    <x v="2"/>
    <s v="Company"/>
    <s v="GS"/>
    <d v="1899-12-30T09:01:13"/>
    <d v="1899-12-30T17:27:40"/>
    <n v="8.44"/>
    <s v="-00:01:13"/>
    <n v="0"/>
    <s v="-00:02:20"/>
    <n v="0"/>
    <n v="0"/>
    <x v="11"/>
    <s v="P"/>
    <d v="2026-07-21T00:00:00"/>
    <n v="1"/>
    <n v="1"/>
    <n v="0"/>
    <n v="0"/>
    <n v="0"/>
  </r>
  <r>
    <x v="11"/>
    <n v="25.5"/>
    <n v="1.5"/>
    <n v="0"/>
    <n v="0"/>
    <s v="5, 12, 16, 19, 26"/>
    <x v="21"/>
    <s v="NETHRAVATHI"/>
    <x v="2"/>
    <s v="Company"/>
    <s v="GS"/>
    <d v="1899-12-30T08:57:51"/>
    <d v="1899-12-30T13:53:00"/>
    <n v="4.92"/>
    <s v="00:02:09"/>
    <n v="0"/>
    <s v="-03:37:00"/>
    <n v="0"/>
    <n v="0"/>
    <x v="11"/>
    <s v="H"/>
    <d v="2026-07-22T00:00:00"/>
    <n v="0.5"/>
    <n v="0.5"/>
    <n v="0"/>
    <n v="0"/>
    <n v="0"/>
  </r>
  <r>
    <x v="11"/>
    <n v="25.5"/>
    <n v="1.5"/>
    <n v="0"/>
    <n v="0"/>
    <s v="5, 12, 16, 19, 26"/>
    <x v="22"/>
    <s v="NETHRAVATHI"/>
    <x v="2"/>
    <s v="Company"/>
    <s v="GS"/>
    <d v="1899-12-30T08:50:35"/>
    <d v="1899-12-30T18:27:01"/>
    <n v="9.61"/>
    <s v="00:09:25"/>
    <n v="0"/>
    <s v="00:57:01"/>
    <n v="0.95"/>
    <n v="0.95"/>
    <x v="11"/>
    <s v="P"/>
    <d v="2026-07-23T00:00:00"/>
    <n v="1"/>
    <n v="1"/>
    <n v="0"/>
    <n v="0"/>
    <n v="0"/>
  </r>
  <r>
    <x v="11"/>
    <n v="25.5"/>
    <n v="1.5"/>
    <n v="0"/>
    <n v="0"/>
    <s v="5, 12, 16, 19, 26"/>
    <x v="23"/>
    <s v="NETHRAVATHI"/>
    <x v="2"/>
    <s v="Company"/>
    <s v="GS"/>
    <d v="1899-12-30T08:52:15"/>
    <d v="1899-12-30T18:27:09"/>
    <n v="9.58"/>
    <s v="00:07:45"/>
    <n v="0"/>
    <s v="00:57:09"/>
    <n v="0.95"/>
    <n v="0.95"/>
    <x v="11"/>
    <s v="P"/>
    <d v="2026-07-24T00:00:00"/>
    <n v="1"/>
    <n v="1"/>
    <n v="0"/>
    <n v="0"/>
    <n v="0"/>
  </r>
  <r>
    <x v="11"/>
    <n v="25.5"/>
    <n v="1.5"/>
    <n v="0"/>
    <n v="0"/>
    <s v="5, 12, 16, 19, 26"/>
    <x v="24"/>
    <s v="NETHRAVATHI"/>
    <x v="2"/>
    <s v="Company"/>
    <s v="GS"/>
    <d v="1899-12-30T08:52:49"/>
    <d v="1899-12-30T18:26:38"/>
    <n v="9.56"/>
    <s v="00:07:11"/>
    <n v="0"/>
    <s v="00:56:38"/>
    <n v="0.94"/>
    <n v="0.94"/>
    <x v="11"/>
    <s v="P"/>
    <d v="2026-07-25T00:00:00"/>
    <n v="1"/>
    <n v="1"/>
    <n v="0"/>
    <n v="0"/>
    <n v="0"/>
  </r>
  <r>
    <x v="11"/>
    <n v="25.5"/>
    <n v="1.5"/>
    <n v="0"/>
    <n v="0"/>
    <s v="5, 12, 16, 19, 26"/>
    <x v="25"/>
    <s v="NETHRAVATHI"/>
    <x v="2"/>
    <s v="Company"/>
    <s v="NA"/>
    <d v="1899-12-30T00:00:00"/>
    <d v="1899-12-30T00:00:00"/>
    <n v="0"/>
    <s v="09:00:00"/>
    <n v="9"/>
    <s v="-17:30:00"/>
    <n v="0"/>
    <n v="9"/>
    <x v="11"/>
    <s v="A"/>
    <d v="2026-07-26T00:00:00"/>
    <n v="0"/>
    <n v="0"/>
    <n v="0"/>
    <n v="0"/>
    <n v="0"/>
  </r>
  <r>
    <x v="11"/>
    <n v="25.5"/>
    <n v="1.5"/>
    <n v="0"/>
    <n v="0"/>
    <s v="5, 12, 16, 19, 26"/>
    <x v="26"/>
    <s v="NETHRAVATHI"/>
    <x v="2"/>
    <s v="Company"/>
    <s v="GS"/>
    <d v="1899-12-30T08:49:04"/>
    <d v="1899-12-30T18:27:34"/>
    <n v="9.64"/>
    <s v="00:10:56"/>
    <n v="0"/>
    <s v="00:57:34"/>
    <n v="0.96"/>
    <n v="0.96"/>
    <x v="11"/>
    <s v="P"/>
    <d v="2026-07-27T00:00:00"/>
    <n v="1"/>
    <n v="1"/>
    <n v="0"/>
    <n v="0"/>
    <n v="0"/>
  </r>
  <r>
    <x v="11"/>
    <n v="25.5"/>
    <n v="1.5"/>
    <n v="0"/>
    <n v="0"/>
    <s v="5, 12, 16, 19, 26"/>
    <x v="27"/>
    <s v="NETHRAVATHI"/>
    <x v="2"/>
    <s v="Company"/>
    <s v="GS"/>
    <d v="1899-12-30T08:50:54"/>
    <d v="1899-12-30T16:21:14"/>
    <n v="7.51"/>
    <s v="00:09:06"/>
    <n v="0"/>
    <s v="-01:08:46"/>
    <n v="0"/>
    <n v="0"/>
    <x v="11"/>
    <s v="P"/>
    <d v="2026-07-28T00:00:00"/>
    <n v="1"/>
    <n v="1"/>
    <n v="0"/>
    <n v="0"/>
    <n v="0"/>
  </r>
  <r>
    <x v="11"/>
    <n v="25.5"/>
    <n v="1.5"/>
    <n v="0"/>
    <n v="0"/>
    <s v="5, 12, 16, 19, 26"/>
    <x v="28"/>
    <s v="NETHRAVATHI"/>
    <x v="2"/>
    <s v="Company"/>
    <s v="GS"/>
    <d v="1899-12-30T10:27:11"/>
    <d v="1899-12-30T18:25:16"/>
    <n v="7.97"/>
    <s v="-01:27:11"/>
    <n v="0"/>
    <s v="00:55:16"/>
    <n v="0.92"/>
    <n v="0.92"/>
    <x v="11"/>
    <s v="P"/>
    <d v="2026-07-29T00:00:00"/>
    <n v="1"/>
    <n v="1"/>
    <n v="0"/>
    <n v="0"/>
    <n v="0"/>
  </r>
  <r>
    <x v="11"/>
    <n v="25.5"/>
    <n v="1.5"/>
    <n v="0"/>
    <n v="0"/>
    <s v="5, 12, 16, 19, 26"/>
    <x v="29"/>
    <s v="NETHRAVATHI"/>
    <x v="2"/>
    <s v="Company"/>
    <s v="GS"/>
    <d v="1899-12-30T08:53:27"/>
    <d v="1899-12-30T18:26:04"/>
    <n v="9.5399999999999991"/>
    <s v="00:06:33"/>
    <n v="0"/>
    <s v="00:56:04"/>
    <n v="0.93"/>
    <n v="0.93"/>
    <x v="11"/>
    <s v="P"/>
    <d v="2026-07-30T00:00:00"/>
    <n v="1"/>
    <n v="1"/>
    <n v="0"/>
    <n v="0"/>
    <n v="0"/>
  </r>
  <r>
    <x v="11"/>
    <n v="25.5"/>
    <n v="1.5"/>
    <n v="0"/>
    <n v="0"/>
    <s v="5, 12, 16, 19, 26"/>
    <x v="30"/>
    <s v="NETHRAVATHI"/>
    <x v="2"/>
    <s v="Company"/>
    <s v="GS"/>
    <d v="1899-12-30T08:51:35"/>
    <d v="1899-12-30T18:25:18"/>
    <n v="9.56"/>
    <s v="00:08:25"/>
    <n v="0"/>
    <s v="00:55:18"/>
    <n v="0.92"/>
    <n v="0.92"/>
    <x v="11"/>
    <s v="P"/>
    <d v="2026-07-31T00:00:00"/>
    <n v="1"/>
    <n v="1"/>
    <n v="0"/>
    <n v="0"/>
    <n v="0"/>
  </r>
  <r>
    <x v="12"/>
    <n v="6"/>
    <n v="21"/>
    <n v="0"/>
    <n v="0"/>
    <s v="5, 7, 8, 9, 10, 12, 13, 14, 15, 16, 17, 18, 19, 20, 21, 22, 23, 24, 25, 26, 27, 28, 29, 30, 31"/>
    <x v="0"/>
    <s v="SIVARANJANI"/>
    <x v="2"/>
    <s v="Helper"/>
    <s v="GS"/>
    <d v="1899-12-30T08:58:23"/>
    <d v="1899-12-30T17:33:15"/>
    <n v="8.58"/>
    <s v="00:01:37"/>
    <n v="0"/>
    <s v="00:03:15"/>
    <n v="0"/>
    <n v="0"/>
    <x v="12"/>
    <s v="P"/>
    <d v="2026-07-01T00:00:00"/>
    <n v="1"/>
    <n v="1"/>
    <n v="0"/>
    <n v="0"/>
    <n v="0"/>
  </r>
  <r>
    <x v="12"/>
    <n v="6"/>
    <n v="21"/>
    <n v="0"/>
    <n v="0"/>
    <s v="5, 7, 8, 9, 10, 12, 13, 14, 15, 16, 17, 18, 19, 20, 21, 22, 23, 24, 25, 26, 27, 28, 29, 30, 31"/>
    <x v="1"/>
    <s v="SIVARANJANI"/>
    <x v="2"/>
    <s v="Helper"/>
    <s v="GS"/>
    <d v="1899-12-30T09:03:21"/>
    <d v="1899-12-30T17:31:17"/>
    <n v="8.4700000000000006"/>
    <s v="-00:03:21"/>
    <n v="0"/>
    <s v="00:01:17"/>
    <n v="0"/>
    <n v="0"/>
    <x v="12"/>
    <s v="P"/>
    <d v="2026-07-02T00:00:00"/>
    <n v="1"/>
    <n v="1"/>
    <n v="0"/>
    <n v="0"/>
    <n v="0"/>
  </r>
  <r>
    <x v="12"/>
    <n v="6"/>
    <n v="21"/>
    <n v="0"/>
    <n v="0"/>
    <s v="5, 7, 8, 9, 10, 12, 13, 14, 15, 16, 17, 18, 19, 20, 21, 22, 23, 24, 25, 26, 27, 28, 29, 30, 31"/>
    <x v="2"/>
    <s v="SIVARANJANI"/>
    <x v="2"/>
    <s v="Helper"/>
    <s v="GS"/>
    <d v="1899-12-30T09:02:53"/>
    <d v="1899-12-30T17:33:48"/>
    <n v="8.52"/>
    <s v="-00:02:53"/>
    <n v="0"/>
    <s v="00:03:48"/>
    <n v="0"/>
    <n v="0"/>
    <x v="12"/>
    <s v="P"/>
    <d v="2026-07-03T00:00:00"/>
    <n v="1"/>
    <n v="1"/>
    <n v="0"/>
    <n v="0"/>
    <n v="0"/>
  </r>
  <r>
    <x v="12"/>
    <n v="6"/>
    <n v="21"/>
    <n v="0"/>
    <n v="0"/>
    <s v="5, 7, 8, 9, 10, 12, 13, 14, 15, 16, 17, 18, 19, 20, 21, 22, 23, 24, 25, 26, 27, 28, 29, 30, 31"/>
    <x v="3"/>
    <s v="SIVARANJANI"/>
    <x v="2"/>
    <s v="Helper"/>
    <s v="GS"/>
    <d v="1899-12-30T09:40:13"/>
    <d v="1899-12-30T17:31:05"/>
    <n v="7.85"/>
    <s v="-00:40:13"/>
    <n v="0"/>
    <s v="00:01:05"/>
    <n v="0"/>
    <n v="0"/>
    <x v="12"/>
    <s v="P"/>
    <d v="2026-07-04T00:00:00"/>
    <n v="1"/>
    <n v="1"/>
    <n v="0"/>
    <n v="0"/>
    <n v="0"/>
  </r>
  <r>
    <x v="12"/>
    <n v="6"/>
    <n v="21"/>
    <n v="0"/>
    <n v="0"/>
    <s v="5, 7, 8, 9, 10, 12, 13, 14, 15, 16, 17, 18, 19, 20, 21, 22, 23, 24, 25, 26, 27, 28, 29, 30, 31"/>
    <x v="4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05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5"/>
    <s v="SIVARANJANI"/>
    <x v="2"/>
    <s v="Helper"/>
    <s v="GS"/>
    <d v="1899-12-30T09:05:46"/>
    <d v="1899-12-30T18:30:50"/>
    <n v="9.42"/>
    <s v="-00:05:46"/>
    <n v="0"/>
    <s v="01:00:50"/>
    <n v="1.01"/>
    <n v="1.01"/>
    <x v="12"/>
    <s v="P"/>
    <d v="2026-07-06T00:00:00"/>
    <n v="1"/>
    <n v="1"/>
    <n v="0"/>
    <n v="0"/>
    <n v="0"/>
  </r>
  <r>
    <x v="12"/>
    <n v="6"/>
    <n v="21"/>
    <n v="0"/>
    <n v="0"/>
    <s v="5, 7, 8, 9, 10, 12, 13, 14, 15, 16, 17, 18, 19, 20, 21, 22, 23, 24, 25, 26, 27, 28, 29, 30, 31"/>
    <x v="6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07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7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08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8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09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9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10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10"/>
    <s v="SIVARANJANI"/>
    <x v="2"/>
    <s v="Helper"/>
    <s v="GS"/>
    <d v="1899-12-30T09:05:26"/>
    <d v="1899-12-30T18:31:50"/>
    <n v="9.44"/>
    <s v="-00:05:26"/>
    <n v="0"/>
    <s v="01:01:50"/>
    <n v="1.03"/>
    <n v="1.03"/>
    <x v="12"/>
    <s v="P"/>
    <d v="2026-07-11T00:00:00"/>
    <n v="1"/>
    <n v="1"/>
    <n v="0"/>
    <n v="0"/>
    <n v="0"/>
  </r>
  <r>
    <x v="12"/>
    <n v="6"/>
    <n v="21"/>
    <n v="0"/>
    <n v="0"/>
    <s v="5, 7, 8, 9, 10, 12, 13, 14, 15, 16, 17, 18, 19, 20, 21, 22, 23, 24, 25, 26, 27, 28, 29, 30, 31"/>
    <x v="11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12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12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13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13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14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14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15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15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16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16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17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17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18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18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19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19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0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0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1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1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2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2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3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3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4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4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5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5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6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6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7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7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8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8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29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29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30T00:00:00"/>
    <n v="0"/>
    <n v="0"/>
    <n v="0"/>
    <n v="0"/>
    <n v="0"/>
  </r>
  <r>
    <x v="12"/>
    <n v="6"/>
    <n v="21"/>
    <n v="0"/>
    <n v="0"/>
    <s v="5, 7, 8, 9, 10, 12, 13, 14, 15, 16, 17, 18, 19, 20, 21, 22, 23, 24, 25, 26, 27, 28, 29, 30, 31"/>
    <x v="30"/>
    <s v="SIVARANJANI"/>
    <x v="2"/>
    <s v="Helper"/>
    <s v="NA"/>
    <d v="1899-12-30T00:00:00"/>
    <d v="1899-12-30T00:00:00"/>
    <n v="0"/>
    <s v="09:00:00"/>
    <n v="9"/>
    <s v="-17:30:00"/>
    <n v="0"/>
    <n v="9"/>
    <x v="12"/>
    <s v="A"/>
    <d v="2026-07-31T00:00:00"/>
    <n v="0"/>
    <n v="0"/>
    <n v="0"/>
    <n v="0"/>
    <n v="0"/>
  </r>
  <r>
    <x v="13"/>
    <n v="25"/>
    <n v="2"/>
    <n v="0"/>
    <n v="0"/>
    <s v="5, 6, 12, 19, 26"/>
    <x v="0"/>
    <s v="NITHYA SRI"/>
    <x v="1"/>
    <s v="Helper"/>
    <s v="GS"/>
    <d v="1899-12-30T08:54:22"/>
    <d v="1899-12-30T17:26:48"/>
    <n v="8.5399999999999991"/>
    <s v="00:05:38"/>
    <n v="0"/>
    <s v="-00:03:12"/>
    <n v="0"/>
    <n v="0"/>
    <x v="13"/>
    <s v="P"/>
    <d v="2026-07-01T00:00:00"/>
    <n v="1"/>
    <n v="1"/>
    <n v="0"/>
    <n v="0"/>
    <n v="0"/>
  </r>
  <r>
    <x v="13"/>
    <n v="25"/>
    <n v="2"/>
    <n v="0"/>
    <n v="0"/>
    <s v="5, 6, 12, 19, 26"/>
    <x v="1"/>
    <s v="NITHYA SRI"/>
    <x v="1"/>
    <s v="Helper"/>
    <s v="GS"/>
    <d v="1899-12-30T08:59:06"/>
    <d v="1899-12-30T17:25:51"/>
    <n v="8.4499999999999993"/>
    <s v="00:00:54"/>
    <n v="0"/>
    <s v="-00:04:09"/>
    <n v="0"/>
    <n v="0"/>
    <x v="13"/>
    <s v="P"/>
    <d v="2026-07-02T00:00:00"/>
    <n v="1"/>
    <n v="1"/>
    <n v="0"/>
    <n v="0"/>
    <n v="0"/>
  </r>
  <r>
    <x v="13"/>
    <n v="25"/>
    <n v="2"/>
    <n v="0"/>
    <n v="0"/>
    <s v="5, 6, 12, 19, 26"/>
    <x v="2"/>
    <s v="NITHYA SRI"/>
    <x v="1"/>
    <s v="Helper"/>
    <s v="GS"/>
    <d v="1899-12-30T08:54:57"/>
    <d v="1899-12-30T17:27:49"/>
    <n v="8.5500000000000007"/>
    <s v="00:05:03"/>
    <n v="0"/>
    <s v="-00:02:11"/>
    <n v="0"/>
    <n v="0"/>
    <x v="13"/>
    <s v="P"/>
    <d v="2026-07-03T00:00:00"/>
    <n v="1"/>
    <n v="1"/>
    <n v="0"/>
    <n v="0"/>
    <n v="0"/>
  </r>
  <r>
    <x v="13"/>
    <n v="25"/>
    <n v="2"/>
    <n v="0"/>
    <n v="0"/>
    <s v="5, 6, 12, 19, 26"/>
    <x v="3"/>
    <s v="NITHYA SRI"/>
    <x v="1"/>
    <s v="Helper"/>
    <s v="GS"/>
    <d v="1899-12-30T08:52:15"/>
    <d v="1899-12-30T17:25:42"/>
    <n v="8.56"/>
    <s v="00:07:45"/>
    <n v="0"/>
    <s v="-00:04:18"/>
    <n v="0"/>
    <n v="0"/>
    <x v="13"/>
    <s v="P"/>
    <d v="2026-07-04T00:00:00"/>
    <n v="1"/>
    <n v="1"/>
    <n v="0"/>
    <n v="0"/>
    <n v="0"/>
  </r>
  <r>
    <x v="13"/>
    <n v="25"/>
    <n v="2"/>
    <n v="0"/>
    <n v="0"/>
    <s v="5, 6, 12, 19, 26"/>
    <x v="4"/>
    <s v="NITHYA SRI"/>
    <x v="1"/>
    <s v="Helper"/>
    <s v="NA"/>
    <d v="1899-12-30T00:00:00"/>
    <d v="1899-12-30T00:00:00"/>
    <n v="0"/>
    <s v="09:00:00"/>
    <n v="9"/>
    <s v="-17:30:00"/>
    <n v="0"/>
    <n v="9"/>
    <x v="13"/>
    <s v="A"/>
    <d v="2026-07-05T00:00:00"/>
    <n v="0"/>
    <n v="0"/>
    <n v="0"/>
    <n v="0"/>
    <n v="0"/>
  </r>
  <r>
    <x v="13"/>
    <n v="25"/>
    <n v="2"/>
    <n v="0"/>
    <n v="0"/>
    <s v="5, 6, 12, 19, 26"/>
    <x v="5"/>
    <s v="NITHYA SRI"/>
    <x v="1"/>
    <s v="Helper"/>
    <s v="NA"/>
    <d v="1899-12-30T00:00:00"/>
    <d v="1899-12-30T00:00:00"/>
    <n v="0"/>
    <s v="09:00:00"/>
    <n v="9"/>
    <s v="-17:30:00"/>
    <n v="0"/>
    <n v="9"/>
    <x v="13"/>
    <s v="A"/>
    <d v="2026-07-06T00:00:00"/>
    <n v="0"/>
    <n v="0"/>
    <n v="0"/>
    <n v="0"/>
    <n v="0"/>
  </r>
  <r>
    <x v="13"/>
    <n v="25"/>
    <n v="2"/>
    <n v="0"/>
    <n v="0"/>
    <s v="5, 6, 12, 19, 26"/>
    <x v="6"/>
    <s v="NITHYA SRI"/>
    <x v="1"/>
    <s v="Helper"/>
    <s v="GS"/>
    <d v="1899-12-30T09:17:08"/>
    <d v="1899-12-30T18:25:37"/>
    <n v="9.14"/>
    <s v="-00:17:08"/>
    <n v="0"/>
    <s v="00:55:37"/>
    <n v="0.93"/>
    <n v="0.93"/>
    <x v="13"/>
    <s v="P"/>
    <d v="2026-07-07T00:00:00"/>
    <n v="1"/>
    <n v="1"/>
    <n v="0"/>
    <n v="0"/>
    <n v="0"/>
  </r>
  <r>
    <x v="13"/>
    <n v="25"/>
    <n v="2"/>
    <n v="0"/>
    <n v="0"/>
    <s v="5, 6, 12, 19, 26"/>
    <x v="7"/>
    <s v="NITHYA SRI"/>
    <x v="1"/>
    <s v="Helper"/>
    <s v="GS"/>
    <d v="1899-12-30T08:57:13"/>
    <d v="1899-12-30T18:25:25"/>
    <n v="9.4700000000000006"/>
    <s v="00:02:47"/>
    <n v="0"/>
    <s v="00:55:25"/>
    <n v="0.92"/>
    <n v="0.92"/>
    <x v="13"/>
    <s v="P"/>
    <d v="2026-07-08T00:00:00"/>
    <n v="1"/>
    <n v="1"/>
    <n v="0"/>
    <n v="0"/>
    <n v="0"/>
  </r>
  <r>
    <x v="13"/>
    <n v="25"/>
    <n v="2"/>
    <n v="0"/>
    <n v="0"/>
    <s v="5, 6, 12, 19, 26"/>
    <x v="8"/>
    <s v="NITHYA SRI"/>
    <x v="1"/>
    <s v="Helper"/>
    <s v="GS"/>
    <d v="1899-12-30T08:57:48"/>
    <d v="1899-12-30T18:25:56"/>
    <n v="9.4700000000000006"/>
    <s v="00:02:12"/>
    <n v="0"/>
    <s v="00:55:56"/>
    <n v="0.93"/>
    <n v="0.93"/>
    <x v="13"/>
    <s v="P"/>
    <d v="2026-07-09T00:00:00"/>
    <n v="1"/>
    <n v="1"/>
    <n v="0"/>
    <n v="0"/>
    <n v="0"/>
  </r>
  <r>
    <x v="13"/>
    <n v="25"/>
    <n v="2"/>
    <n v="0"/>
    <n v="0"/>
    <s v="5, 6, 12, 19, 26"/>
    <x v="9"/>
    <s v="NITHYA SRI"/>
    <x v="1"/>
    <s v="Helper"/>
    <s v="GS"/>
    <d v="1899-12-30T08:59:29"/>
    <d v="1899-12-30T18:25:38"/>
    <n v="9.44"/>
    <s v="00:00:31"/>
    <n v="0"/>
    <s v="00:55:38"/>
    <n v="0.93"/>
    <n v="0.93"/>
    <x v="13"/>
    <s v="P"/>
    <d v="2026-07-10T00:00:00"/>
    <n v="1"/>
    <n v="1"/>
    <n v="0"/>
    <n v="0"/>
    <n v="0"/>
  </r>
  <r>
    <x v="13"/>
    <n v="25"/>
    <n v="2"/>
    <n v="0"/>
    <n v="0"/>
    <s v="5, 6, 12, 19, 26"/>
    <x v="10"/>
    <s v="NITHYA SRI"/>
    <x v="1"/>
    <s v="Helper"/>
    <s v="GS"/>
    <d v="1899-12-30T08:52:41"/>
    <d v="1899-12-30T18:25:48"/>
    <n v="9.5500000000000007"/>
    <s v="00:07:19"/>
    <n v="0"/>
    <s v="00:55:48"/>
    <n v="0.93"/>
    <n v="0.93"/>
    <x v="13"/>
    <s v="P"/>
    <d v="2026-07-11T00:00:00"/>
    <n v="1"/>
    <n v="1"/>
    <n v="0"/>
    <n v="0"/>
    <n v="0"/>
  </r>
  <r>
    <x v="13"/>
    <n v="25"/>
    <n v="2"/>
    <n v="0"/>
    <n v="0"/>
    <s v="5, 6, 12, 19, 26"/>
    <x v="11"/>
    <s v="NITHYA SRI"/>
    <x v="1"/>
    <s v="Helper"/>
    <s v="NA"/>
    <d v="1899-12-30T00:00:00"/>
    <d v="1899-12-30T00:00:00"/>
    <n v="0"/>
    <s v="09:00:00"/>
    <n v="9"/>
    <s v="-17:30:00"/>
    <n v="0"/>
    <n v="9"/>
    <x v="13"/>
    <s v="A"/>
    <d v="2026-07-12T00:00:00"/>
    <n v="0"/>
    <n v="0"/>
    <n v="0"/>
    <n v="0"/>
    <n v="0"/>
  </r>
  <r>
    <x v="13"/>
    <n v="25"/>
    <n v="2"/>
    <n v="0"/>
    <n v="0"/>
    <s v="5, 6, 12, 19, 26"/>
    <x v="12"/>
    <s v="NITHYA SRI"/>
    <x v="1"/>
    <s v="Helper"/>
    <s v="GS"/>
    <d v="1899-12-30T13:24:21"/>
    <d v="1899-12-30T18:26:05"/>
    <n v="5.03"/>
    <s v="-04:24:21"/>
    <n v="0"/>
    <s v="00:56:05"/>
    <n v="0.93"/>
    <n v="0.93"/>
    <x v="13"/>
    <s v="H"/>
    <d v="2026-07-13T00:00:00"/>
    <n v="0.5"/>
    <n v="0.5"/>
    <n v="0"/>
    <n v="0"/>
    <n v="0"/>
  </r>
  <r>
    <x v="13"/>
    <n v="25"/>
    <n v="2"/>
    <n v="0"/>
    <n v="0"/>
    <s v="5, 6, 12, 19, 26"/>
    <x v="13"/>
    <s v="NITHYA SRI"/>
    <x v="1"/>
    <s v="Helper"/>
    <s v="GS"/>
    <d v="1899-12-30T08:51:09"/>
    <d v="1899-12-30T18:25:57"/>
    <n v="9.58"/>
    <s v="00:08:51"/>
    <n v="0"/>
    <s v="00:55:57"/>
    <n v="0.93"/>
    <n v="0.93"/>
    <x v="13"/>
    <s v="P"/>
    <d v="2026-07-14T00:00:00"/>
    <n v="1"/>
    <n v="1"/>
    <n v="0"/>
    <n v="0"/>
    <n v="0"/>
  </r>
  <r>
    <x v="13"/>
    <n v="25"/>
    <n v="2"/>
    <n v="0"/>
    <n v="0"/>
    <s v="5, 6, 12, 19, 26"/>
    <x v="14"/>
    <s v="NITHYA SRI"/>
    <x v="1"/>
    <s v="Helper"/>
    <s v="GS"/>
    <d v="1899-12-30T08:54:57"/>
    <d v="1899-12-30T13:00:00"/>
    <n v="4.08"/>
    <s v="00:05:03"/>
    <n v="0"/>
    <s v="-04:30:00"/>
    <n v="0"/>
    <n v="0"/>
    <x v="13"/>
    <s v="H"/>
    <d v="2026-07-15T00:00:00"/>
    <n v="0.5"/>
    <n v="0.5"/>
    <n v="0"/>
    <n v="0"/>
    <n v="0"/>
  </r>
  <r>
    <x v="13"/>
    <n v="25"/>
    <n v="2"/>
    <n v="0"/>
    <n v="0"/>
    <s v="5, 6, 12, 19, 26"/>
    <x v="15"/>
    <s v="NITHYA SRI"/>
    <x v="1"/>
    <s v="Helper"/>
    <s v="GS"/>
    <d v="1899-12-30T08:51:00"/>
    <d v="1899-12-30T18:26:02"/>
    <n v="9.58"/>
    <s v="00:09:00"/>
    <n v="0"/>
    <s v="00:56:02"/>
    <n v="0.93"/>
    <n v="0.93"/>
    <x v="13"/>
    <s v="P"/>
    <d v="2026-07-16T00:00:00"/>
    <n v="1"/>
    <n v="1"/>
    <n v="0"/>
    <n v="0"/>
    <n v="0"/>
  </r>
  <r>
    <x v="13"/>
    <n v="25"/>
    <n v="2"/>
    <n v="0"/>
    <n v="0"/>
    <s v="5, 6, 12, 19, 26"/>
    <x v="16"/>
    <s v="NITHYA SRI"/>
    <x v="1"/>
    <s v="Helper"/>
    <s v="GS"/>
    <d v="1899-12-30T08:55:57"/>
    <d v="1899-12-30T18:25:54"/>
    <n v="9.5"/>
    <s v="00:04:03"/>
    <n v="0"/>
    <s v="00:55:54"/>
    <n v="0.93"/>
    <n v="0.93"/>
    <x v="13"/>
    <s v="P"/>
    <d v="2026-07-17T00:00:00"/>
    <n v="1"/>
    <n v="1"/>
    <n v="0"/>
    <n v="0"/>
    <n v="0"/>
  </r>
  <r>
    <x v="13"/>
    <n v="25"/>
    <n v="2"/>
    <n v="0"/>
    <n v="0"/>
    <s v="5, 6, 12, 19, 26"/>
    <x v="17"/>
    <s v="NITHYA SRI"/>
    <x v="1"/>
    <s v="Helper"/>
    <s v="GS"/>
    <d v="1899-12-30T08:54:34"/>
    <d v="1899-12-30T17:28:14"/>
    <n v="8.56"/>
    <s v="00:05:26"/>
    <n v="0"/>
    <s v="-00:01:46"/>
    <n v="0"/>
    <n v="0"/>
    <x v="13"/>
    <s v="P"/>
    <d v="2026-07-18T00:00:00"/>
    <n v="1"/>
    <n v="1"/>
    <n v="0"/>
    <n v="0"/>
    <n v="0"/>
  </r>
  <r>
    <x v="13"/>
    <n v="25"/>
    <n v="2"/>
    <n v="0"/>
    <n v="0"/>
    <s v="5, 6, 12, 19, 26"/>
    <x v="18"/>
    <s v="NITHYA SRI"/>
    <x v="1"/>
    <s v="Helper"/>
    <s v="NA"/>
    <d v="1899-12-30T00:00:00"/>
    <d v="1899-12-30T00:00:00"/>
    <n v="0"/>
    <s v="09:00:00"/>
    <n v="9"/>
    <s v="-17:30:00"/>
    <n v="0"/>
    <n v="9"/>
    <x v="13"/>
    <s v="A"/>
    <d v="2026-07-19T00:00:00"/>
    <n v="0"/>
    <n v="0"/>
    <n v="0"/>
    <n v="0"/>
    <n v="0"/>
  </r>
  <r>
    <x v="13"/>
    <n v="25"/>
    <n v="2"/>
    <n v="0"/>
    <n v="0"/>
    <s v="5, 6, 12, 19, 26"/>
    <x v="19"/>
    <s v="NITHYA SRI"/>
    <x v="1"/>
    <s v="Helper"/>
    <s v="GS"/>
    <d v="1899-12-30T08:57:52"/>
    <d v="1899-12-30T18:25:38"/>
    <n v="9.4600000000000009"/>
    <s v="00:02:08"/>
    <n v="0"/>
    <s v="00:55:38"/>
    <n v="0.93"/>
    <n v="0.93"/>
    <x v="13"/>
    <s v="P"/>
    <d v="2026-07-20T00:00:00"/>
    <n v="1"/>
    <n v="1"/>
    <n v="0"/>
    <n v="0"/>
    <n v="0"/>
  </r>
  <r>
    <x v="13"/>
    <n v="25"/>
    <n v="2"/>
    <n v="0"/>
    <n v="0"/>
    <s v="5, 6, 12, 19, 26"/>
    <x v="20"/>
    <s v="NITHYA SRI"/>
    <x v="1"/>
    <s v="Helper"/>
    <s v="GS"/>
    <d v="1899-12-30T08:54:28"/>
    <d v="1899-12-30T17:26:54"/>
    <n v="8.5399999999999991"/>
    <s v="00:05:32"/>
    <n v="0"/>
    <s v="-00:03:06"/>
    <n v="0"/>
    <n v="0"/>
    <x v="13"/>
    <s v="P"/>
    <d v="2026-07-21T00:00:00"/>
    <n v="1"/>
    <n v="1"/>
    <n v="0"/>
    <n v="0"/>
    <n v="0"/>
  </r>
  <r>
    <x v="13"/>
    <n v="25"/>
    <n v="2"/>
    <n v="0"/>
    <n v="0"/>
    <s v="5, 6, 12, 19, 26"/>
    <x v="21"/>
    <s v="NITHYA SRI"/>
    <x v="1"/>
    <s v="Helper"/>
    <s v="GS"/>
    <d v="1899-12-30T08:50:58"/>
    <d v="1899-12-30T18:26:56"/>
    <n v="9.6"/>
    <s v="00:09:02"/>
    <n v="0"/>
    <s v="00:56:56"/>
    <n v="0.95"/>
    <n v="0.95"/>
    <x v="13"/>
    <s v="P"/>
    <d v="2026-07-22T00:00:00"/>
    <n v="1"/>
    <n v="1"/>
    <n v="0"/>
    <n v="0"/>
    <n v="0"/>
  </r>
  <r>
    <x v="13"/>
    <n v="25"/>
    <n v="2"/>
    <n v="0"/>
    <n v="0"/>
    <s v="5, 6, 12, 19, 26"/>
    <x v="22"/>
    <s v="NITHYA SRI"/>
    <x v="1"/>
    <s v="Helper"/>
    <s v="GS"/>
    <d v="1899-12-30T08:51:41"/>
    <d v="1899-12-30T18:25:57"/>
    <n v="9.57"/>
    <s v="00:08:19"/>
    <n v="0"/>
    <s v="00:55:57"/>
    <n v="0.93"/>
    <n v="0.93"/>
    <x v="13"/>
    <s v="P"/>
    <d v="2026-07-23T00:00:00"/>
    <n v="1"/>
    <n v="1"/>
    <n v="0"/>
    <n v="0"/>
    <n v="0"/>
  </r>
  <r>
    <x v="13"/>
    <n v="25"/>
    <n v="2"/>
    <n v="0"/>
    <n v="0"/>
    <s v="5, 6, 12, 19, 26"/>
    <x v="23"/>
    <s v="NITHYA SRI"/>
    <x v="1"/>
    <s v="Helper"/>
    <s v="GS"/>
    <d v="1899-12-30T08:56:33"/>
    <d v="1899-12-30T18:26:39"/>
    <n v="9.5"/>
    <s v="00:03:27"/>
    <n v="0"/>
    <s v="00:56:39"/>
    <n v="0.94"/>
    <n v="0.94"/>
    <x v="13"/>
    <s v="P"/>
    <d v="2026-07-24T00:00:00"/>
    <n v="1"/>
    <n v="1"/>
    <n v="0"/>
    <n v="0"/>
    <n v="0"/>
  </r>
  <r>
    <x v="13"/>
    <n v="25"/>
    <n v="2"/>
    <n v="0"/>
    <n v="0"/>
    <s v="5, 6, 12, 19, 26"/>
    <x v="24"/>
    <s v="NITHYA SRI"/>
    <x v="1"/>
    <s v="Helper"/>
    <s v="GS"/>
    <d v="1899-12-30T08:52:33"/>
    <d v="1899-12-30T18:26:09"/>
    <n v="9.56"/>
    <s v="00:07:27"/>
    <n v="0"/>
    <s v="00:56:09"/>
    <n v="0.94"/>
    <n v="0.94"/>
    <x v="13"/>
    <s v="P"/>
    <d v="2026-07-25T00:00:00"/>
    <n v="1"/>
    <n v="1"/>
    <n v="0"/>
    <n v="0"/>
    <n v="0"/>
  </r>
  <r>
    <x v="13"/>
    <n v="25"/>
    <n v="2"/>
    <n v="0"/>
    <n v="0"/>
    <s v="5, 6, 12, 19, 26"/>
    <x v="25"/>
    <s v="NITHYA SRI"/>
    <x v="1"/>
    <s v="Helper"/>
    <s v="NA"/>
    <d v="1899-12-30T00:00:00"/>
    <d v="1899-12-30T00:00:00"/>
    <n v="0"/>
    <s v="09:00:00"/>
    <n v="9"/>
    <s v="-17:30:00"/>
    <n v="0"/>
    <n v="9"/>
    <x v="13"/>
    <s v="A"/>
    <d v="2026-07-26T00:00:00"/>
    <n v="0"/>
    <n v="0"/>
    <n v="0"/>
    <n v="0"/>
    <n v="0"/>
  </r>
  <r>
    <x v="13"/>
    <n v="25"/>
    <n v="2"/>
    <n v="0"/>
    <n v="0"/>
    <s v="5, 6, 12, 19, 26"/>
    <x v="26"/>
    <s v="NITHYA SRI"/>
    <x v="1"/>
    <s v="Helper"/>
    <s v="GS"/>
    <d v="1899-12-30T08:49:32"/>
    <d v="1899-12-30T18:27:14"/>
    <n v="9.6300000000000008"/>
    <s v="00:10:28"/>
    <n v="0"/>
    <s v="00:57:14"/>
    <n v="0.95"/>
    <n v="0.95"/>
    <x v="13"/>
    <s v="P"/>
    <d v="2026-07-27T00:00:00"/>
    <n v="1"/>
    <n v="1"/>
    <n v="0"/>
    <n v="0"/>
    <n v="0"/>
  </r>
  <r>
    <x v="13"/>
    <n v="25"/>
    <n v="2"/>
    <n v="0"/>
    <n v="0"/>
    <s v="5, 6, 12, 19, 26"/>
    <x v="27"/>
    <s v="NITHYA SRI"/>
    <x v="1"/>
    <s v="Helper"/>
    <s v="GS"/>
    <d v="1899-12-30T08:48:57"/>
    <d v="1899-12-30T18:26:10"/>
    <n v="9.6199999999999992"/>
    <s v="00:11:03"/>
    <n v="0"/>
    <s v="00:56:10"/>
    <n v="0.94"/>
    <n v="0.94"/>
    <x v="13"/>
    <s v="P"/>
    <d v="2026-07-28T00:00:00"/>
    <n v="1"/>
    <n v="1"/>
    <n v="0"/>
    <n v="0"/>
    <n v="0"/>
  </r>
  <r>
    <x v="13"/>
    <n v="25"/>
    <n v="2"/>
    <n v="0"/>
    <n v="0"/>
    <s v="5, 6, 12, 19, 26"/>
    <x v="28"/>
    <s v="NITHYA SRI"/>
    <x v="1"/>
    <s v="Helper"/>
    <s v="GS"/>
    <d v="1899-12-30T08:51:10"/>
    <d v="1899-12-30T18:25:30"/>
    <n v="9.57"/>
    <s v="00:08:50"/>
    <n v="0"/>
    <s v="00:55:30"/>
    <n v="0.92"/>
    <n v="0.92"/>
    <x v="13"/>
    <s v="P"/>
    <d v="2026-07-29T00:00:00"/>
    <n v="1"/>
    <n v="1"/>
    <n v="0"/>
    <n v="0"/>
    <n v="0"/>
  </r>
  <r>
    <x v="13"/>
    <n v="25"/>
    <n v="2"/>
    <n v="0"/>
    <n v="0"/>
    <s v="5, 6, 12, 19, 26"/>
    <x v="29"/>
    <s v="NITHYA SRI"/>
    <x v="1"/>
    <s v="Helper"/>
    <s v="GS"/>
    <d v="1899-12-30T08:53:19"/>
    <d v="1899-12-30T18:25:26"/>
    <n v="9.5399999999999991"/>
    <s v="00:06:41"/>
    <n v="0"/>
    <s v="00:55:26"/>
    <n v="0.92"/>
    <n v="0.92"/>
    <x v="13"/>
    <s v="P"/>
    <d v="2026-07-30T00:00:00"/>
    <n v="1"/>
    <n v="1"/>
    <n v="0"/>
    <n v="0"/>
    <n v="0"/>
  </r>
  <r>
    <x v="13"/>
    <n v="25"/>
    <n v="2"/>
    <n v="0"/>
    <n v="0"/>
    <s v="5, 6, 12, 19, 26"/>
    <x v="30"/>
    <s v="NITHYA SRI"/>
    <x v="1"/>
    <s v="Helper"/>
    <s v="GS"/>
    <d v="1899-12-30T08:50:58"/>
    <d v="1899-12-30T18:24:56"/>
    <n v="9.57"/>
    <s v="00:09:02"/>
    <n v="0"/>
    <s v="00:54:56"/>
    <n v="0.92"/>
    <n v="0.92"/>
    <x v="13"/>
    <s v="P"/>
    <d v="2026-07-31T00:00:00"/>
    <n v="1"/>
    <n v="1"/>
    <n v="0"/>
    <n v="0"/>
    <n v="0"/>
  </r>
  <r>
    <x v="14"/>
    <n v="25"/>
    <n v="2"/>
    <n v="0"/>
    <n v="0"/>
    <s v="5, 10, 12, 19, 26, 27"/>
    <x v="0"/>
    <s v="MALARKODI"/>
    <x v="2"/>
    <s v="Company"/>
    <s v="GS"/>
    <d v="1899-12-30T08:57:30"/>
    <d v="1899-12-30T17:27:03"/>
    <n v="8.49"/>
    <s v="00:02:30"/>
    <n v="0"/>
    <s v="-00:02:57"/>
    <n v="0"/>
    <n v="0"/>
    <x v="14"/>
    <s v="P"/>
    <d v="2026-07-01T00:00:00"/>
    <n v="1"/>
    <n v="1"/>
    <n v="0"/>
    <n v="0"/>
    <n v="0"/>
  </r>
  <r>
    <x v="14"/>
    <n v="25"/>
    <n v="2"/>
    <n v="0"/>
    <n v="0"/>
    <s v="5, 10, 12, 19, 26, 27"/>
    <x v="1"/>
    <s v="MALARKODI"/>
    <x v="2"/>
    <s v="Company"/>
    <s v="GS"/>
    <d v="1899-12-30T08:58:35"/>
    <d v="1899-12-30T17:25:53"/>
    <n v="8.4600000000000009"/>
    <s v="00:01:25"/>
    <n v="0"/>
    <s v="-00:04:07"/>
    <n v="0"/>
    <n v="0"/>
    <x v="14"/>
    <s v="P"/>
    <d v="2026-07-02T00:00:00"/>
    <n v="1"/>
    <n v="1"/>
    <n v="0"/>
    <n v="0"/>
    <n v="0"/>
  </r>
  <r>
    <x v="14"/>
    <n v="25"/>
    <n v="2"/>
    <n v="0"/>
    <n v="0"/>
    <s v="5, 10, 12, 19, 26, 27"/>
    <x v="2"/>
    <s v="MALARKODI"/>
    <x v="2"/>
    <s v="Company"/>
    <s v="GS"/>
    <d v="1899-12-30T09:03:54"/>
    <d v="1899-12-30T17:28:30"/>
    <n v="8.41"/>
    <s v="-00:03:54"/>
    <n v="0"/>
    <s v="-00:01:30"/>
    <n v="0"/>
    <n v="0"/>
    <x v="14"/>
    <s v="P"/>
    <d v="2026-07-03T00:00:00"/>
    <n v="1"/>
    <n v="1"/>
    <n v="0"/>
    <n v="0"/>
    <n v="0"/>
  </r>
  <r>
    <x v="14"/>
    <n v="25"/>
    <n v="2"/>
    <n v="0"/>
    <n v="0"/>
    <s v="5, 10, 12, 19, 26, 27"/>
    <x v="3"/>
    <s v="MALARKODI"/>
    <x v="2"/>
    <s v="Company"/>
    <s v="GS"/>
    <d v="1899-12-30T09:02:04"/>
    <d v="1899-12-30T17:25:53"/>
    <n v="8.4"/>
    <s v="-00:02:04"/>
    <n v="0"/>
    <s v="-00:04:07"/>
    <n v="0"/>
    <n v="0"/>
    <x v="14"/>
    <s v="P"/>
    <d v="2026-07-04T00:00:00"/>
    <n v="1"/>
    <n v="1"/>
    <n v="0"/>
    <n v="0"/>
    <n v="0"/>
  </r>
  <r>
    <x v="14"/>
    <n v="25"/>
    <n v="2"/>
    <n v="0"/>
    <n v="0"/>
    <s v="5, 10, 12, 19, 26, 27"/>
    <x v="4"/>
    <s v="MALARKODI"/>
    <x v="2"/>
    <s v="Company"/>
    <s v="NA"/>
    <d v="1899-12-30T00:00:00"/>
    <d v="1899-12-30T00:00:00"/>
    <n v="0"/>
    <s v="09:00:00"/>
    <n v="9"/>
    <s v="-17:30:00"/>
    <n v="0"/>
    <n v="9"/>
    <x v="14"/>
    <s v="A"/>
    <d v="2026-07-05T00:00:00"/>
    <n v="0"/>
    <n v="0"/>
    <n v="0"/>
    <n v="0"/>
    <n v="0"/>
  </r>
  <r>
    <x v="14"/>
    <n v="25"/>
    <n v="2"/>
    <n v="0"/>
    <n v="0"/>
    <s v="5, 10, 12, 19, 26, 27"/>
    <x v="5"/>
    <s v="MALARKODI"/>
    <x v="2"/>
    <s v="Company"/>
    <s v="GS"/>
    <d v="1899-12-30T08:58:44"/>
    <d v="1899-12-30T17:27:23"/>
    <n v="8.48"/>
    <s v="00:01:16"/>
    <n v="0"/>
    <s v="-00:02:37"/>
    <n v="0"/>
    <n v="0"/>
    <x v="14"/>
    <s v="P"/>
    <d v="2026-07-06T00:00:00"/>
    <n v="1"/>
    <n v="1"/>
    <n v="0"/>
    <n v="0"/>
    <n v="0"/>
  </r>
  <r>
    <x v="14"/>
    <n v="25"/>
    <n v="2"/>
    <n v="0"/>
    <n v="0"/>
    <s v="5, 10, 12, 19, 26, 27"/>
    <x v="6"/>
    <s v="MALARKODI"/>
    <x v="2"/>
    <s v="Company"/>
    <s v="GS"/>
    <d v="1899-12-30T08:57:03"/>
    <d v="1899-12-30T17:29:21"/>
    <n v="8.5399999999999991"/>
    <s v="00:02:57"/>
    <n v="0"/>
    <s v="-00:00:39"/>
    <n v="0"/>
    <n v="0"/>
    <x v="14"/>
    <s v="P"/>
    <d v="2026-07-07T00:00:00"/>
    <n v="1"/>
    <n v="1"/>
    <n v="0"/>
    <n v="0"/>
    <n v="0"/>
  </r>
  <r>
    <x v="14"/>
    <n v="25"/>
    <n v="2"/>
    <n v="0"/>
    <n v="0"/>
    <s v="5, 10, 12, 19, 26, 27"/>
    <x v="7"/>
    <s v="MALARKODI"/>
    <x v="2"/>
    <s v="Company"/>
    <s v="GS"/>
    <d v="1899-12-30T09:10:28"/>
    <d v="1899-12-30T17:30:20"/>
    <n v="8.33"/>
    <s v="-00:10:28"/>
    <n v="0"/>
    <s v="00:00:20"/>
    <n v="0"/>
    <n v="0"/>
    <x v="14"/>
    <s v="P"/>
    <d v="2026-07-08T00:00:00"/>
    <n v="1"/>
    <n v="1"/>
    <n v="0"/>
    <n v="0"/>
    <n v="0"/>
  </r>
  <r>
    <x v="14"/>
    <n v="25"/>
    <n v="2"/>
    <n v="0"/>
    <n v="0"/>
    <s v="5, 10, 12, 19, 26, 27"/>
    <x v="8"/>
    <s v="MALARKODI"/>
    <x v="2"/>
    <s v="Company"/>
    <s v="GS"/>
    <d v="1899-12-30T08:52:03"/>
    <d v="1899-12-30T17:29:36"/>
    <n v="8.6300000000000008"/>
    <s v="00:07:57"/>
    <n v="0"/>
    <s v="-00:00:24"/>
    <n v="0"/>
    <n v="0"/>
    <x v="14"/>
    <s v="P"/>
    <d v="2026-07-09T00:00:00"/>
    <n v="1"/>
    <n v="1"/>
    <n v="0"/>
    <n v="0"/>
    <n v="0"/>
  </r>
  <r>
    <x v="14"/>
    <n v="25"/>
    <n v="2"/>
    <n v="0"/>
    <n v="0"/>
    <s v="5, 10, 12, 19, 26, 27"/>
    <x v="9"/>
    <s v="MALARKODI"/>
    <x v="2"/>
    <s v="Company"/>
    <s v="NA"/>
    <d v="1899-12-30T00:00:00"/>
    <d v="1899-12-30T00:00:00"/>
    <n v="0"/>
    <s v="09:00:00"/>
    <n v="9"/>
    <s v="-17:30:00"/>
    <n v="0"/>
    <n v="9"/>
    <x v="14"/>
    <s v="A"/>
    <d v="2026-07-10T00:00:00"/>
    <n v="0"/>
    <n v="0"/>
    <n v="0"/>
    <n v="0"/>
    <n v="0"/>
  </r>
  <r>
    <x v="14"/>
    <n v="25"/>
    <n v="2"/>
    <n v="0"/>
    <n v="0"/>
    <s v="5, 10, 12, 19, 26, 27"/>
    <x v="10"/>
    <s v="MALARKODI"/>
    <x v="2"/>
    <s v="Company"/>
    <s v="GS"/>
    <d v="1899-12-30T09:06:10"/>
    <d v="1899-12-30T17:30:03"/>
    <n v="8.4"/>
    <s v="-00:06:10"/>
    <n v="0"/>
    <s v="00:00:03"/>
    <n v="0"/>
    <n v="0"/>
    <x v="14"/>
    <s v="P"/>
    <d v="2026-07-11T00:00:00"/>
    <n v="1"/>
    <n v="1"/>
    <n v="0"/>
    <n v="0"/>
    <n v="0"/>
  </r>
  <r>
    <x v="14"/>
    <n v="25"/>
    <n v="2"/>
    <n v="0"/>
    <n v="0"/>
    <s v="5, 10, 12, 19, 26, 27"/>
    <x v="11"/>
    <s v="MALARKODI"/>
    <x v="2"/>
    <s v="Company"/>
    <s v="NA"/>
    <d v="1899-12-30T00:00:00"/>
    <d v="1899-12-30T00:00:00"/>
    <n v="0"/>
    <s v="09:00:00"/>
    <n v="9"/>
    <s v="-17:30:00"/>
    <n v="0"/>
    <n v="9"/>
    <x v="14"/>
    <s v="A"/>
    <d v="2026-07-12T00:00:00"/>
    <n v="0"/>
    <n v="0"/>
    <n v="0"/>
    <n v="0"/>
    <n v="0"/>
  </r>
  <r>
    <x v="14"/>
    <n v="25"/>
    <n v="2"/>
    <n v="0"/>
    <n v="0"/>
    <s v="5, 10, 12, 19, 26, 27"/>
    <x v="12"/>
    <s v="MALARKODI"/>
    <x v="2"/>
    <s v="Company"/>
    <s v="GS"/>
    <d v="1899-12-30T09:00:49"/>
    <d v="1899-12-30T17:29:19"/>
    <n v="8.48"/>
    <s v="-00:00:49"/>
    <n v="0"/>
    <s v="-00:00:41"/>
    <n v="0"/>
    <n v="0"/>
    <x v="14"/>
    <s v="P"/>
    <d v="2026-07-13T00:00:00"/>
    <n v="1"/>
    <n v="1"/>
    <n v="0"/>
    <n v="0"/>
    <n v="0"/>
  </r>
  <r>
    <x v="14"/>
    <n v="25"/>
    <n v="2"/>
    <n v="0"/>
    <n v="0"/>
    <s v="5, 10, 12, 19, 26, 27"/>
    <x v="13"/>
    <s v="MALARKODI"/>
    <x v="2"/>
    <s v="Company"/>
    <s v="GS"/>
    <d v="1899-12-30T08:56:50"/>
    <d v="1899-12-30T17:34:07"/>
    <n v="8.6199999999999992"/>
    <s v="00:03:10"/>
    <n v="0"/>
    <s v="00:04:07"/>
    <n v="0"/>
    <n v="0"/>
    <x v="14"/>
    <s v="P"/>
    <d v="2026-07-14T00:00:00"/>
    <n v="1"/>
    <n v="1"/>
    <n v="0"/>
    <n v="0"/>
    <n v="0"/>
  </r>
  <r>
    <x v="14"/>
    <n v="25"/>
    <n v="2"/>
    <n v="0"/>
    <n v="0"/>
    <s v="5, 10, 12, 19, 26, 27"/>
    <x v="14"/>
    <s v="MALARKODI"/>
    <x v="2"/>
    <s v="Company"/>
    <s v="GS"/>
    <d v="1899-12-30T08:58:19"/>
    <d v="1899-12-30T17:32:22"/>
    <n v="8.57"/>
    <s v="00:01:41"/>
    <n v="0"/>
    <s v="00:02:22"/>
    <n v="0"/>
    <n v="0"/>
    <x v="14"/>
    <s v="P"/>
    <d v="2026-07-15T00:00:00"/>
    <n v="1"/>
    <n v="1"/>
    <n v="0"/>
    <n v="0"/>
    <n v="0"/>
  </r>
  <r>
    <x v="14"/>
    <n v="25"/>
    <n v="2"/>
    <n v="0"/>
    <n v="0"/>
    <s v="5, 10, 12, 19, 26, 27"/>
    <x v="15"/>
    <s v="MALARKODI"/>
    <x v="2"/>
    <s v="Company"/>
    <s v="GS"/>
    <d v="1899-12-30T09:01:15"/>
    <d v="1899-12-30T17:32:23"/>
    <n v="8.52"/>
    <s v="-00:01:15"/>
    <n v="0"/>
    <s v="00:02:23"/>
    <n v="0"/>
    <n v="0"/>
    <x v="14"/>
    <s v="P"/>
    <d v="2026-07-16T00:00:00"/>
    <n v="1"/>
    <n v="1"/>
    <n v="0"/>
    <n v="0"/>
    <n v="0"/>
  </r>
  <r>
    <x v="14"/>
    <n v="25"/>
    <n v="2"/>
    <n v="0"/>
    <n v="0"/>
    <s v="5, 10, 12, 19, 26, 27"/>
    <x v="16"/>
    <s v="MALARKODI"/>
    <x v="2"/>
    <s v="Company"/>
    <s v="GS"/>
    <d v="1899-12-30T09:07:59"/>
    <d v="1899-12-30T17:32:22"/>
    <n v="8.41"/>
    <s v="-00:07:59"/>
    <n v="0"/>
    <s v="00:02:22"/>
    <n v="0"/>
    <n v="0"/>
    <x v="14"/>
    <s v="P"/>
    <d v="2026-07-17T00:00:00"/>
    <n v="1"/>
    <n v="1"/>
    <n v="0"/>
    <n v="0"/>
    <n v="0"/>
  </r>
  <r>
    <x v="14"/>
    <n v="25"/>
    <n v="2"/>
    <n v="0"/>
    <n v="0"/>
    <s v="5, 10, 12, 19, 26, 27"/>
    <x v="17"/>
    <s v="MALARKODI"/>
    <x v="2"/>
    <s v="Company"/>
    <s v="GS"/>
    <d v="1899-12-30T09:19:14"/>
    <d v="1899-12-30T17:33:44"/>
    <n v="8.24"/>
    <s v="-00:19:14"/>
    <n v="0"/>
    <s v="00:03:44"/>
    <n v="0"/>
    <n v="0"/>
    <x v="14"/>
    <s v="P"/>
    <d v="2026-07-18T00:00:00"/>
    <n v="1"/>
    <n v="1"/>
    <n v="0"/>
    <n v="0"/>
    <n v="0"/>
  </r>
  <r>
    <x v="14"/>
    <n v="25"/>
    <n v="2"/>
    <n v="0"/>
    <n v="0"/>
    <s v="5, 10, 12, 19, 26, 27"/>
    <x v="18"/>
    <s v="MALARKODI"/>
    <x v="2"/>
    <s v="Company"/>
    <s v="NA"/>
    <d v="1899-12-30T00:00:00"/>
    <d v="1899-12-30T00:00:00"/>
    <n v="0"/>
    <s v="09:00:00"/>
    <n v="9"/>
    <s v="-17:30:00"/>
    <n v="0"/>
    <n v="9"/>
    <x v="14"/>
    <s v="A"/>
    <d v="2026-07-19T00:00:00"/>
    <n v="0"/>
    <n v="0"/>
    <n v="0"/>
    <n v="0"/>
    <n v="0"/>
  </r>
  <r>
    <x v="14"/>
    <n v="25"/>
    <n v="2"/>
    <n v="0"/>
    <n v="0"/>
    <s v="5, 10, 12, 19, 26, 27"/>
    <x v="19"/>
    <s v="MALARKODI"/>
    <x v="2"/>
    <s v="Company"/>
    <s v="GS"/>
    <d v="1899-12-30T09:04:34"/>
    <d v="1899-12-30T17:33:27"/>
    <n v="8.48"/>
    <s v="-00:04:34"/>
    <n v="0"/>
    <s v="00:03:27"/>
    <n v="0"/>
    <n v="0"/>
    <x v="14"/>
    <s v="P"/>
    <d v="2026-07-20T00:00:00"/>
    <n v="1"/>
    <n v="1"/>
    <n v="0"/>
    <n v="0"/>
    <n v="0"/>
  </r>
  <r>
    <x v="14"/>
    <n v="25"/>
    <n v="2"/>
    <n v="0"/>
    <n v="0"/>
    <s v="5, 10, 12, 19, 26, 27"/>
    <x v="20"/>
    <s v="MALARKODI"/>
    <x v="2"/>
    <s v="Company"/>
    <s v="GS"/>
    <d v="1899-12-30T09:08:17"/>
    <d v="1899-12-30T17:32:31"/>
    <n v="8.4"/>
    <s v="-00:08:17"/>
    <n v="0"/>
    <s v="00:02:31"/>
    <n v="0"/>
    <n v="0"/>
    <x v="14"/>
    <s v="P"/>
    <d v="2026-07-21T00:00:00"/>
    <n v="1"/>
    <n v="1"/>
    <n v="0"/>
    <n v="0"/>
    <n v="0"/>
  </r>
  <r>
    <x v="14"/>
    <n v="25"/>
    <n v="2"/>
    <n v="0"/>
    <n v="0"/>
    <s v="5, 10, 12, 19, 26, 27"/>
    <x v="21"/>
    <s v="MALARKODI"/>
    <x v="2"/>
    <s v="Company"/>
    <s v="GS"/>
    <d v="1899-12-30T09:03:57"/>
    <d v="1899-12-30T17:32:37"/>
    <n v="8.48"/>
    <s v="-00:03:57"/>
    <n v="0"/>
    <s v="00:02:37"/>
    <n v="0"/>
    <n v="0"/>
    <x v="14"/>
    <s v="P"/>
    <d v="2026-07-22T00:00:00"/>
    <n v="1"/>
    <n v="1"/>
    <n v="0"/>
    <n v="0"/>
    <n v="0"/>
  </r>
  <r>
    <x v="14"/>
    <n v="25"/>
    <n v="2"/>
    <n v="0"/>
    <n v="0"/>
    <s v="5, 10, 12, 19, 26, 27"/>
    <x v="22"/>
    <s v="MALARKODI"/>
    <x v="2"/>
    <s v="Company"/>
    <s v="GS"/>
    <d v="1899-12-30T09:05:46"/>
    <d v="1899-12-30T17:34:21"/>
    <n v="8.48"/>
    <s v="-00:05:46"/>
    <n v="0"/>
    <s v="00:04:21"/>
    <n v="0"/>
    <n v="0"/>
    <x v="14"/>
    <s v="P"/>
    <d v="2026-07-23T00:00:00"/>
    <n v="1"/>
    <n v="1"/>
    <n v="0"/>
    <n v="0"/>
    <n v="0"/>
  </r>
  <r>
    <x v="14"/>
    <n v="25"/>
    <n v="2"/>
    <n v="0"/>
    <n v="0"/>
    <s v="5, 10, 12, 19, 26, 27"/>
    <x v="23"/>
    <s v="MALARKODI"/>
    <x v="2"/>
    <s v="Company"/>
    <s v="GS"/>
    <d v="1899-12-30T09:10:51"/>
    <d v="1899-12-30T17:35:02"/>
    <n v="8.4"/>
    <s v="-00:10:51"/>
    <n v="0"/>
    <s v="00:05:02"/>
    <n v="0"/>
    <n v="0"/>
    <x v="14"/>
    <s v="P"/>
    <d v="2026-07-24T00:00:00"/>
    <n v="1"/>
    <n v="1"/>
    <n v="0"/>
    <n v="0"/>
    <n v="0"/>
  </r>
  <r>
    <x v="14"/>
    <n v="25"/>
    <n v="2"/>
    <n v="0"/>
    <n v="0"/>
    <s v="5, 10, 12, 19, 26, 27"/>
    <x v="24"/>
    <s v="MALARKODI"/>
    <x v="2"/>
    <s v="Company"/>
    <s v="GS"/>
    <d v="1899-12-30T09:11:07"/>
    <d v="1899-12-30T17:28:02"/>
    <n v="8.2799999999999994"/>
    <s v="-00:11:07"/>
    <n v="0"/>
    <s v="-00:01:58"/>
    <n v="0"/>
    <n v="0"/>
    <x v="14"/>
    <s v="P"/>
    <d v="2026-07-25T00:00:00"/>
    <n v="1"/>
    <n v="1"/>
    <n v="0"/>
    <n v="0"/>
    <n v="0"/>
  </r>
  <r>
    <x v="14"/>
    <n v="25"/>
    <n v="2"/>
    <n v="0"/>
    <n v="0"/>
    <s v="5, 10, 12, 19, 26, 27"/>
    <x v="25"/>
    <s v="MALARKODI"/>
    <x v="2"/>
    <s v="Company"/>
    <s v="NA"/>
    <d v="1899-12-30T00:00:00"/>
    <d v="1899-12-30T00:00:00"/>
    <n v="0"/>
    <s v="09:00:00"/>
    <n v="9"/>
    <s v="-17:30:00"/>
    <n v="0"/>
    <n v="9"/>
    <x v="14"/>
    <s v="A"/>
    <d v="2026-07-26T00:00:00"/>
    <n v="0"/>
    <n v="0"/>
    <n v="0"/>
    <n v="0"/>
    <n v="0"/>
  </r>
  <r>
    <x v="14"/>
    <n v="25"/>
    <n v="2"/>
    <n v="0"/>
    <n v="0"/>
    <s v="5, 10, 12, 19, 26, 27"/>
    <x v="26"/>
    <s v="MALARKODI"/>
    <x v="2"/>
    <s v="Company"/>
    <s v="NA"/>
    <d v="1899-12-30T00:00:00"/>
    <d v="1899-12-30T00:00:00"/>
    <n v="0"/>
    <s v="09:00:00"/>
    <n v="9"/>
    <s v="-17:30:00"/>
    <n v="0"/>
    <n v="9"/>
    <x v="14"/>
    <s v="A"/>
    <d v="2026-07-27T00:00:00"/>
    <n v="0"/>
    <n v="0"/>
    <n v="0"/>
    <n v="0"/>
    <n v="0"/>
  </r>
  <r>
    <x v="14"/>
    <n v="25"/>
    <n v="2"/>
    <n v="0"/>
    <n v="0"/>
    <s v="5, 10, 12, 19, 26, 27"/>
    <x v="27"/>
    <s v="MALARKODI"/>
    <x v="2"/>
    <s v="Company"/>
    <s v="GS"/>
    <d v="1899-12-30T09:15:14"/>
    <d v="1899-12-30T16:20:18"/>
    <n v="7.08"/>
    <s v="-00:15:14"/>
    <n v="0"/>
    <s v="-01:09:42"/>
    <n v="0"/>
    <n v="0"/>
    <x v="14"/>
    <s v="P"/>
    <d v="2026-07-28T00:00:00"/>
    <n v="1"/>
    <n v="1"/>
    <n v="0"/>
    <n v="0"/>
    <n v="0"/>
  </r>
  <r>
    <x v="14"/>
    <n v="25"/>
    <n v="2"/>
    <n v="0"/>
    <n v="0"/>
    <s v="5, 10, 12, 19, 26, 27"/>
    <x v="28"/>
    <s v="MALARKODI"/>
    <x v="2"/>
    <s v="Company"/>
    <s v="GS"/>
    <d v="1899-12-30T10:14:51"/>
    <d v="1899-12-30T17:36:36"/>
    <n v="7.36"/>
    <s v="-01:14:51"/>
    <n v="0"/>
    <s v="00:06:36"/>
    <n v="0"/>
    <n v="0"/>
    <x v="14"/>
    <s v="P"/>
    <d v="2026-07-29T00:00:00"/>
    <n v="1"/>
    <n v="1"/>
    <n v="0"/>
    <n v="0"/>
    <n v="0"/>
  </r>
  <r>
    <x v="14"/>
    <n v="25"/>
    <n v="2"/>
    <n v="0"/>
    <n v="0"/>
    <s v="5, 10, 12, 19, 26, 27"/>
    <x v="29"/>
    <s v="MALARKODI"/>
    <x v="2"/>
    <s v="Company"/>
    <s v="GS"/>
    <d v="1899-12-30T08:57:07"/>
    <d v="1899-12-30T17:33:20"/>
    <n v="8.6"/>
    <s v="00:02:53"/>
    <n v="0"/>
    <s v="00:03:20"/>
    <n v="0"/>
    <n v="0"/>
    <x v="14"/>
    <s v="P"/>
    <d v="2026-07-30T00:00:00"/>
    <n v="1"/>
    <n v="1"/>
    <n v="0"/>
    <n v="0"/>
    <n v="0"/>
  </r>
  <r>
    <x v="14"/>
    <n v="25"/>
    <n v="2"/>
    <n v="0"/>
    <n v="0"/>
    <s v="5, 10, 12, 19, 26, 27"/>
    <x v="30"/>
    <s v="MALARKODI"/>
    <x v="2"/>
    <s v="Company"/>
    <s v="GS"/>
    <d v="1899-12-30T09:06:25"/>
    <d v="1899-12-30T17:29:02"/>
    <n v="8.3800000000000008"/>
    <s v="-00:06:25"/>
    <n v="0"/>
    <s v="-00:00:58"/>
    <n v="0"/>
    <n v="0"/>
    <x v="14"/>
    <s v="P"/>
    <d v="2026-07-31T00:00:00"/>
    <n v="1"/>
    <n v="1"/>
    <n v="0"/>
    <n v="0"/>
    <n v="0"/>
  </r>
  <r>
    <x v="15"/>
    <n v="26"/>
    <n v="1"/>
    <n v="0"/>
    <n v="0"/>
    <s v="5, 12, 16, 26"/>
    <x v="0"/>
    <s v="SAVITHIRI"/>
    <x v="3"/>
    <s v="Company"/>
    <s v="GS"/>
    <d v="1899-12-30T08:53:27"/>
    <d v="1899-12-30T17:27:31"/>
    <n v="8.57"/>
    <s v="00:06:33"/>
    <n v="0"/>
    <s v="-00:02:29"/>
    <n v="0"/>
    <n v="0"/>
    <x v="15"/>
    <s v="P"/>
    <d v="2026-07-01T00:00:00"/>
    <n v="1"/>
    <n v="1"/>
    <n v="0"/>
    <n v="0"/>
    <n v="0"/>
  </r>
  <r>
    <x v="15"/>
    <n v="26"/>
    <n v="1"/>
    <n v="0"/>
    <n v="0"/>
    <s v="5, 12, 16, 26"/>
    <x v="1"/>
    <s v="SAVITHIRI"/>
    <x v="3"/>
    <s v="Company"/>
    <s v="GS"/>
    <d v="1899-12-30T09:00:31"/>
    <d v="1899-12-30T17:27:07"/>
    <n v="8.44"/>
    <s v="-00:00:31"/>
    <n v="0"/>
    <s v="-00:02:53"/>
    <n v="0"/>
    <n v="0"/>
    <x v="15"/>
    <s v="P"/>
    <d v="2026-07-02T00:00:00"/>
    <n v="1"/>
    <n v="1"/>
    <n v="0"/>
    <n v="0"/>
    <n v="0"/>
  </r>
  <r>
    <x v="15"/>
    <n v="26"/>
    <n v="1"/>
    <n v="0"/>
    <n v="0"/>
    <s v="5, 12, 16, 26"/>
    <x v="2"/>
    <s v="SAVITHIRI"/>
    <x v="3"/>
    <s v="Company"/>
    <s v="GS"/>
    <d v="1899-12-30T08:55:44"/>
    <d v="1899-12-30T17:28:48"/>
    <n v="8.5500000000000007"/>
    <s v="00:04:16"/>
    <n v="0"/>
    <s v="-00:01:12"/>
    <n v="0"/>
    <n v="0"/>
    <x v="15"/>
    <s v="P"/>
    <d v="2026-07-03T00:00:00"/>
    <n v="1"/>
    <n v="1"/>
    <n v="0"/>
    <n v="0"/>
    <n v="0"/>
  </r>
  <r>
    <x v="15"/>
    <n v="26"/>
    <n v="1"/>
    <n v="0"/>
    <n v="0"/>
    <s v="5, 12, 16, 26"/>
    <x v="3"/>
    <s v="SAVITHIRI"/>
    <x v="3"/>
    <s v="Company"/>
    <s v="GS"/>
    <d v="1899-12-30T08:50:59"/>
    <d v="1899-12-30T17:26:53"/>
    <n v="8.6"/>
    <s v="00:09:01"/>
    <n v="0"/>
    <s v="-00:03:07"/>
    <n v="0"/>
    <n v="0"/>
    <x v="15"/>
    <s v="P"/>
    <d v="2026-07-04T00:00:00"/>
    <n v="1"/>
    <n v="1"/>
    <n v="0"/>
    <n v="0"/>
    <n v="0"/>
  </r>
  <r>
    <x v="15"/>
    <n v="26"/>
    <n v="1"/>
    <n v="0"/>
    <n v="0"/>
    <s v="5, 12, 16, 26"/>
    <x v="4"/>
    <s v="SAVITHIRI"/>
    <x v="3"/>
    <s v="Company"/>
    <s v="NA"/>
    <d v="1899-12-30T00:00:00"/>
    <d v="1899-12-30T00:00:00"/>
    <n v="0"/>
    <s v="09:00:00"/>
    <n v="9"/>
    <s v="-17:30:00"/>
    <n v="0"/>
    <n v="9"/>
    <x v="15"/>
    <s v="A"/>
    <d v="2026-07-05T00:00:00"/>
    <n v="0"/>
    <n v="0"/>
    <n v="0"/>
    <n v="0"/>
    <n v="0"/>
  </r>
  <r>
    <x v="15"/>
    <n v="26"/>
    <n v="1"/>
    <n v="0"/>
    <n v="0"/>
    <s v="5, 12, 16, 26"/>
    <x v="5"/>
    <s v="SAVITHIRI"/>
    <x v="3"/>
    <s v="Company"/>
    <s v="GS"/>
    <d v="1899-12-30T09:01:49"/>
    <d v="1899-12-30T17:27:46"/>
    <n v="8.43"/>
    <s v="-00:01:49"/>
    <n v="0"/>
    <s v="-00:02:14"/>
    <n v="0"/>
    <n v="0"/>
    <x v="15"/>
    <s v="P"/>
    <d v="2026-07-06T00:00:00"/>
    <n v="1"/>
    <n v="1"/>
    <n v="0"/>
    <n v="0"/>
    <n v="0"/>
  </r>
  <r>
    <x v="15"/>
    <n v="26"/>
    <n v="1"/>
    <n v="0"/>
    <n v="0"/>
    <s v="5, 12, 16, 26"/>
    <x v="6"/>
    <s v="SAVITHIRI"/>
    <x v="3"/>
    <s v="Company"/>
    <s v="GS"/>
    <d v="1899-12-30T08:56:24"/>
    <d v="1899-12-30T18:26:40"/>
    <n v="9.5"/>
    <s v="00:03:36"/>
    <n v="0"/>
    <s v="00:56:40"/>
    <n v="0.94"/>
    <n v="0.94"/>
    <x v="15"/>
    <s v="P"/>
    <d v="2026-07-07T00:00:00"/>
    <n v="1"/>
    <n v="1"/>
    <n v="0"/>
    <n v="0"/>
    <n v="0"/>
  </r>
  <r>
    <x v="15"/>
    <n v="26"/>
    <n v="1"/>
    <n v="0"/>
    <n v="0"/>
    <s v="5, 12, 16, 26"/>
    <x v="7"/>
    <s v="SAVITHIRI"/>
    <x v="3"/>
    <s v="Company"/>
    <s v="GS"/>
    <d v="1899-12-30T08:55:48"/>
    <d v="1899-12-30T18:27:20"/>
    <n v="9.5299999999999994"/>
    <s v="00:04:12"/>
    <n v="0"/>
    <s v="00:57:20"/>
    <n v="0.96"/>
    <n v="0.96"/>
    <x v="15"/>
    <s v="P"/>
    <d v="2026-07-08T00:00:00"/>
    <n v="1"/>
    <n v="1"/>
    <n v="0"/>
    <n v="0"/>
    <n v="0"/>
  </r>
  <r>
    <x v="15"/>
    <n v="26"/>
    <n v="1"/>
    <n v="0"/>
    <n v="0"/>
    <s v="5, 12, 16, 26"/>
    <x v="8"/>
    <s v="SAVITHIRI"/>
    <x v="3"/>
    <s v="Company"/>
    <s v="GS"/>
    <d v="1899-12-30T08:55:34"/>
    <d v="1899-12-30T18:26:41"/>
    <n v="9.52"/>
    <s v="00:04:26"/>
    <n v="0"/>
    <s v="00:56:41"/>
    <n v="0.94"/>
    <n v="0.94"/>
    <x v="15"/>
    <s v="P"/>
    <d v="2026-07-09T00:00:00"/>
    <n v="1"/>
    <n v="1"/>
    <n v="0"/>
    <n v="0"/>
    <n v="0"/>
  </r>
  <r>
    <x v="15"/>
    <n v="26"/>
    <n v="1"/>
    <n v="0"/>
    <n v="0"/>
    <s v="5, 12, 16, 26"/>
    <x v="9"/>
    <s v="SAVITHIRI"/>
    <x v="3"/>
    <s v="Company"/>
    <s v="GS"/>
    <d v="1899-12-30T08:57:47"/>
    <d v="1899-12-30T18:26:17"/>
    <n v="9.48"/>
    <s v="00:02:13"/>
    <n v="0"/>
    <s v="00:56:17"/>
    <n v="0.94"/>
    <n v="0.94"/>
    <x v="15"/>
    <s v="P"/>
    <d v="2026-07-10T00:00:00"/>
    <n v="1"/>
    <n v="1"/>
    <n v="0"/>
    <n v="0"/>
    <n v="0"/>
  </r>
  <r>
    <x v="15"/>
    <n v="26"/>
    <n v="1"/>
    <n v="0"/>
    <n v="0"/>
    <s v="5, 12, 16, 26"/>
    <x v="10"/>
    <s v="SAVITHIRI"/>
    <x v="3"/>
    <s v="Company"/>
    <s v="GS"/>
    <d v="1899-12-30T08:51:37"/>
    <d v="1899-12-30T18:27:04"/>
    <n v="9.59"/>
    <s v="00:08:23"/>
    <n v="0"/>
    <s v="00:57:04"/>
    <n v="0.95"/>
    <n v="0.95"/>
    <x v="15"/>
    <s v="P"/>
    <d v="2026-07-11T00:00:00"/>
    <n v="1"/>
    <n v="1"/>
    <n v="0"/>
    <n v="0"/>
    <n v="0"/>
  </r>
  <r>
    <x v="15"/>
    <n v="26"/>
    <n v="1"/>
    <n v="0"/>
    <n v="0"/>
    <s v="5, 12, 16, 26"/>
    <x v="11"/>
    <s v="SAVITHIRI"/>
    <x v="3"/>
    <s v="Company"/>
    <s v="NA"/>
    <d v="1899-12-30T00:00:00"/>
    <d v="1899-12-30T00:00:00"/>
    <n v="0"/>
    <s v="09:00:00"/>
    <n v="9"/>
    <s v="-17:30:00"/>
    <n v="0"/>
    <n v="9"/>
    <x v="15"/>
    <s v="A"/>
    <d v="2026-07-12T00:00:00"/>
    <n v="0"/>
    <n v="0"/>
    <n v="0"/>
    <n v="0"/>
    <n v="0"/>
  </r>
  <r>
    <x v="15"/>
    <n v="26"/>
    <n v="1"/>
    <n v="0"/>
    <n v="0"/>
    <s v="5, 12, 16, 26"/>
    <x v="12"/>
    <s v="SAVITHIRI"/>
    <x v="3"/>
    <s v="Company"/>
    <s v="GS"/>
    <d v="1899-12-30T08:47:04"/>
    <d v="1899-12-30T18:28:04"/>
    <n v="9.68"/>
    <s v="00:12:56"/>
    <n v="0"/>
    <s v="00:58:04"/>
    <n v="0.97"/>
    <n v="0.97"/>
    <x v="15"/>
    <s v="P"/>
    <d v="2026-07-13T00:00:00"/>
    <n v="1"/>
    <n v="1"/>
    <n v="0"/>
    <n v="0"/>
    <n v="0"/>
  </r>
  <r>
    <x v="15"/>
    <n v="26"/>
    <n v="1"/>
    <n v="0"/>
    <n v="0"/>
    <s v="5, 12, 16, 26"/>
    <x v="13"/>
    <s v="SAVITHIRI"/>
    <x v="3"/>
    <s v="Company"/>
    <s v="GS"/>
    <d v="1899-12-30T08:49:58"/>
    <d v="1899-12-30T17:30:39"/>
    <n v="8.68"/>
    <s v="00:10:02"/>
    <n v="0"/>
    <s v="00:00:39"/>
    <n v="0"/>
    <n v="0"/>
    <x v="15"/>
    <s v="P"/>
    <d v="2026-07-14T00:00:00"/>
    <n v="1"/>
    <n v="1"/>
    <n v="0"/>
    <n v="0"/>
    <n v="0"/>
  </r>
  <r>
    <x v="15"/>
    <n v="26"/>
    <n v="1"/>
    <n v="0"/>
    <n v="0"/>
    <s v="5, 12, 16, 26"/>
    <x v="14"/>
    <s v="SAVITHIRI"/>
    <x v="3"/>
    <s v="Company"/>
    <s v="GS"/>
    <d v="1899-12-30T08:52:53"/>
    <d v="1899-12-30T18:27:29"/>
    <n v="9.58"/>
    <s v="00:07:07"/>
    <n v="0"/>
    <s v="00:57:29"/>
    <n v="0.96"/>
    <n v="0.96"/>
    <x v="15"/>
    <s v="P"/>
    <d v="2026-07-15T00:00:00"/>
    <n v="1"/>
    <n v="1"/>
    <n v="0"/>
    <n v="0"/>
    <n v="0"/>
  </r>
  <r>
    <x v="15"/>
    <n v="26"/>
    <n v="1"/>
    <n v="0"/>
    <n v="0"/>
    <s v="5, 12, 16, 26"/>
    <x v="15"/>
    <s v="SAVITHIRI"/>
    <x v="3"/>
    <s v="Company"/>
    <s v="NA"/>
    <d v="1899-12-30T00:00:00"/>
    <d v="1899-12-30T00:00:00"/>
    <n v="0"/>
    <s v="09:00:00"/>
    <n v="9"/>
    <s v="-17:30:00"/>
    <n v="0"/>
    <n v="9"/>
    <x v="15"/>
    <s v="A"/>
    <d v="2026-07-16T00:00:00"/>
    <n v="0"/>
    <n v="0"/>
    <n v="0"/>
    <n v="0"/>
    <n v="0"/>
  </r>
  <r>
    <x v="15"/>
    <n v="26"/>
    <n v="1"/>
    <n v="0"/>
    <n v="0"/>
    <s v="5, 12, 16, 26"/>
    <x v="16"/>
    <s v="SAVITHIRI"/>
    <x v="3"/>
    <s v="Company"/>
    <s v="GS"/>
    <d v="1899-12-30T08:50:01"/>
    <d v="1899-12-30T18:26:14"/>
    <n v="9.6"/>
    <s v="00:09:59"/>
    <n v="0"/>
    <s v="00:56:14"/>
    <n v="0.94"/>
    <n v="0.94"/>
    <x v="15"/>
    <s v="P"/>
    <d v="2026-07-17T00:00:00"/>
    <n v="1"/>
    <n v="1"/>
    <n v="0"/>
    <n v="0"/>
    <n v="0"/>
  </r>
  <r>
    <x v="15"/>
    <n v="26"/>
    <n v="1"/>
    <n v="0"/>
    <n v="0"/>
    <s v="5, 12, 16, 26"/>
    <x v="17"/>
    <s v="SAVITHIRI"/>
    <x v="3"/>
    <s v="Company"/>
    <s v="GS"/>
    <d v="1899-12-30T08:54:04"/>
    <d v="1899-12-30T17:29:04"/>
    <n v="8.58"/>
    <s v="00:05:56"/>
    <n v="0"/>
    <s v="-00:00:56"/>
    <n v="0"/>
    <n v="0"/>
    <x v="15"/>
    <s v="P"/>
    <d v="2026-07-18T00:00:00"/>
    <n v="1"/>
    <n v="1"/>
    <n v="0"/>
    <n v="0"/>
    <n v="0"/>
  </r>
  <r>
    <x v="15"/>
    <n v="26"/>
    <n v="1"/>
    <n v="0"/>
    <n v="0"/>
    <s v="5, 12, 16, 26"/>
    <x v="18"/>
    <s v="SAVITHIRI"/>
    <x v="3"/>
    <s v="Company"/>
    <s v="GS"/>
    <d v="1899-12-30T09:05:57"/>
    <d v="1899-12-30T16:28:33"/>
    <n v="7.38"/>
    <s v="-00:05:57"/>
    <n v="0"/>
    <s v="-01:01:27"/>
    <n v="0"/>
    <n v="0"/>
    <x v="15"/>
    <s v="P"/>
    <d v="2026-07-19T00:00:00"/>
    <n v="1"/>
    <n v="0"/>
    <n v="1"/>
    <n v="0"/>
    <n v="0"/>
  </r>
  <r>
    <x v="15"/>
    <n v="26"/>
    <n v="1"/>
    <n v="0"/>
    <n v="0"/>
    <s v="5, 12, 16, 26"/>
    <x v="19"/>
    <s v="SAVITHIRI"/>
    <x v="3"/>
    <s v="Company"/>
    <s v="GS"/>
    <d v="1899-12-30T08:53:18"/>
    <d v="1899-12-30T18:26:21"/>
    <n v="9.5500000000000007"/>
    <s v="00:06:42"/>
    <n v="0"/>
    <s v="00:56:21"/>
    <n v="0.94"/>
    <n v="0.94"/>
    <x v="15"/>
    <s v="P"/>
    <d v="2026-07-20T00:00:00"/>
    <n v="1"/>
    <n v="1"/>
    <n v="0"/>
    <n v="0"/>
    <n v="0"/>
  </r>
  <r>
    <x v="15"/>
    <n v="26"/>
    <n v="1"/>
    <n v="0"/>
    <n v="0"/>
    <s v="5, 12, 16, 26"/>
    <x v="20"/>
    <s v="SAVITHIRI"/>
    <x v="3"/>
    <s v="Company"/>
    <s v="GS"/>
    <d v="1899-12-30T09:04:26"/>
    <d v="1899-12-30T17:26:58"/>
    <n v="8.3800000000000008"/>
    <s v="-00:04:26"/>
    <n v="0"/>
    <s v="-00:03:02"/>
    <n v="0"/>
    <n v="0"/>
    <x v="15"/>
    <s v="P"/>
    <d v="2026-07-21T00:00:00"/>
    <n v="1"/>
    <n v="1"/>
    <n v="0"/>
    <n v="0"/>
    <n v="0"/>
  </r>
  <r>
    <x v="15"/>
    <n v="26"/>
    <n v="1"/>
    <n v="0"/>
    <n v="0"/>
    <s v="5, 12, 16, 26"/>
    <x v="21"/>
    <s v="SAVITHIRI"/>
    <x v="3"/>
    <s v="Company"/>
    <s v="GS"/>
    <d v="1899-12-30T08:51:19"/>
    <d v="1899-12-30T18:28:17"/>
    <n v="9.6199999999999992"/>
    <s v="00:08:41"/>
    <n v="0"/>
    <s v="00:58:17"/>
    <n v="0.97"/>
    <n v="0.97"/>
    <x v="15"/>
    <s v="P"/>
    <d v="2026-07-22T00:00:00"/>
    <n v="1"/>
    <n v="1"/>
    <n v="0"/>
    <n v="0"/>
    <n v="0"/>
  </r>
  <r>
    <x v="15"/>
    <n v="26"/>
    <n v="1"/>
    <n v="0"/>
    <n v="0"/>
    <s v="5, 12, 16, 26"/>
    <x v="22"/>
    <s v="SAVITHIRI"/>
    <x v="3"/>
    <s v="Company"/>
    <s v="GS"/>
    <d v="1899-12-30T08:50:28"/>
    <d v="1899-12-30T18:27:06"/>
    <n v="9.61"/>
    <s v="00:09:32"/>
    <n v="0"/>
    <s v="00:57:06"/>
    <n v="0.95"/>
    <n v="0.95"/>
    <x v="15"/>
    <s v="P"/>
    <d v="2026-07-23T00:00:00"/>
    <n v="1"/>
    <n v="1"/>
    <n v="0"/>
    <n v="0"/>
    <n v="0"/>
  </r>
  <r>
    <x v="15"/>
    <n v="26"/>
    <n v="1"/>
    <n v="0"/>
    <n v="0"/>
    <s v="5, 12, 16, 26"/>
    <x v="23"/>
    <s v="SAVITHIRI"/>
    <x v="3"/>
    <s v="Company"/>
    <s v="GS"/>
    <d v="1899-12-30T08:51:06"/>
    <d v="1899-12-30T18:27:13"/>
    <n v="9.6"/>
    <s v="00:08:54"/>
    <n v="0"/>
    <s v="00:57:13"/>
    <n v="0.95"/>
    <n v="0.95"/>
    <x v="15"/>
    <s v="P"/>
    <d v="2026-07-24T00:00:00"/>
    <n v="1"/>
    <n v="1"/>
    <n v="0"/>
    <n v="0"/>
    <n v="0"/>
  </r>
  <r>
    <x v="15"/>
    <n v="26"/>
    <n v="1"/>
    <n v="0"/>
    <n v="0"/>
    <s v="5, 12, 16, 26"/>
    <x v="24"/>
    <s v="SAVITHIRI"/>
    <x v="3"/>
    <s v="Company"/>
    <s v="GS"/>
    <d v="1899-12-30T08:52:20"/>
    <d v="1899-12-30T18:26:32"/>
    <n v="9.57"/>
    <s v="00:07:40"/>
    <n v="0"/>
    <s v="00:56:32"/>
    <n v="0.94"/>
    <n v="0.94"/>
    <x v="15"/>
    <s v="P"/>
    <d v="2026-07-25T00:00:00"/>
    <n v="1"/>
    <n v="1"/>
    <n v="0"/>
    <n v="0"/>
    <n v="0"/>
  </r>
  <r>
    <x v="15"/>
    <n v="26"/>
    <n v="1"/>
    <n v="0"/>
    <n v="0"/>
    <s v="5, 12, 16, 26"/>
    <x v="25"/>
    <s v="SAVITHIRI"/>
    <x v="3"/>
    <s v="Company"/>
    <s v="NA"/>
    <d v="1899-12-30T00:00:00"/>
    <d v="1899-12-30T00:00:00"/>
    <n v="0"/>
    <s v="09:00:00"/>
    <n v="9"/>
    <s v="-17:30:00"/>
    <n v="0"/>
    <n v="9"/>
    <x v="15"/>
    <s v="A"/>
    <d v="2026-07-26T00:00:00"/>
    <n v="0"/>
    <n v="0"/>
    <n v="0"/>
    <n v="0"/>
    <n v="0"/>
  </r>
  <r>
    <x v="15"/>
    <n v="26"/>
    <n v="1"/>
    <n v="0"/>
    <n v="0"/>
    <s v="5, 12, 16, 26"/>
    <x v="26"/>
    <s v="SAVITHIRI"/>
    <x v="3"/>
    <s v="Company"/>
    <s v="GS"/>
    <d v="1899-12-30T08:49:09"/>
    <d v="1899-12-30T18:29:07"/>
    <n v="9.67"/>
    <s v="00:10:51"/>
    <n v="0"/>
    <s v="00:59:07"/>
    <n v="0.99"/>
    <n v="0.99"/>
    <x v="15"/>
    <s v="P"/>
    <d v="2026-07-27T00:00:00"/>
    <n v="1"/>
    <n v="1"/>
    <n v="0"/>
    <n v="0"/>
    <n v="0"/>
  </r>
  <r>
    <x v="15"/>
    <n v="26"/>
    <n v="1"/>
    <n v="0"/>
    <n v="0"/>
    <s v="5, 12, 16, 26"/>
    <x v="27"/>
    <s v="SAVITHIRI"/>
    <x v="3"/>
    <s v="Company"/>
    <s v="GS"/>
    <d v="1899-12-30T08:49:19"/>
    <d v="1899-12-30T18:26:41"/>
    <n v="9.6199999999999992"/>
    <s v="00:10:41"/>
    <n v="0"/>
    <s v="00:56:41"/>
    <n v="0.94"/>
    <n v="0.94"/>
    <x v="15"/>
    <s v="P"/>
    <d v="2026-07-28T00:00:00"/>
    <n v="1"/>
    <n v="1"/>
    <n v="0"/>
    <n v="0"/>
    <n v="0"/>
  </r>
  <r>
    <x v="15"/>
    <n v="26"/>
    <n v="1"/>
    <n v="0"/>
    <n v="0"/>
    <s v="5, 12, 16, 26"/>
    <x v="28"/>
    <s v="SAVITHIRI"/>
    <x v="3"/>
    <s v="Company"/>
    <s v="GS"/>
    <d v="1899-12-30T08:51:14"/>
    <d v="1899-12-30T18:25:49"/>
    <n v="9.58"/>
    <s v="00:08:46"/>
    <n v="0"/>
    <s v="00:55:49"/>
    <n v="0.93"/>
    <n v="0.93"/>
    <x v="15"/>
    <s v="P"/>
    <d v="2026-07-29T00:00:00"/>
    <n v="1"/>
    <n v="1"/>
    <n v="0"/>
    <n v="0"/>
    <n v="0"/>
  </r>
  <r>
    <x v="15"/>
    <n v="26"/>
    <n v="1"/>
    <n v="0"/>
    <n v="0"/>
    <s v="5, 12, 16, 26"/>
    <x v="29"/>
    <s v="SAVITHIRI"/>
    <x v="3"/>
    <s v="Company"/>
    <s v="GS"/>
    <d v="1899-12-30T08:53:08"/>
    <d v="1899-12-30T18:25:49"/>
    <n v="9.5399999999999991"/>
    <s v="00:06:52"/>
    <n v="0"/>
    <s v="00:55:49"/>
    <n v="0.93"/>
    <n v="0.93"/>
    <x v="15"/>
    <s v="P"/>
    <d v="2026-07-30T00:00:00"/>
    <n v="1"/>
    <n v="1"/>
    <n v="0"/>
    <n v="0"/>
    <n v="0"/>
  </r>
  <r>
    <x v="15"/>
    <n v="26"/>
    <n v="1"/>
    <n v="0"/>
    <n v="0"/>
    <s v="5, 12, 16, 26"/>
    <x v="30"/>
    <s v="SAVITHIRI"/>
    <x v="3"/>
    <s v="Company"/>
    <s v="GS"/>
    <d v="1899-12-30T08:51:27"/>
    <d v="1899-12-30T18:25:47"/>
    <n v="9.57"/>
    <s v="00:08:33"/>
    <n v="0"/>
    <s v="00:55:47"/>
    <n v="0.93"/>
    <n v="0.93"/>
    <x v="15"/>
    <s v="P"/>
    <d v="2026-07-31T00:00:00"/>
    <n v="1"/>
    <n v="1"/>
    <n v="0"/>
    <n v="0"/>
    <n v="0"/>
  </r>
  <r>
    <x v="16"/>
    <n v="0"/>
    <n v="27"/>
    <n v="0"/>
    <n v="0"/>
    <s v="1, 2, 3, 4, 5, 6, 7, 8, 9, 10, 11, 12, 13, 14, 15, 16, 17, 18, 19, 20, 21, 22, 23, 24, 25, 26, 27, 28, 29, 30, 31"/>
    <x v="0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01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02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03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3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04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4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05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5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06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6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07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7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08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8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09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9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0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0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1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1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2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2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3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3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4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4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5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5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6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6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7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7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8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8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19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19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0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0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1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1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2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2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3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3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4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4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5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5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6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6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7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7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8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8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29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29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30T00:00:00"/>
    <n v="0"/>
    <n v="0"/>
    <n v="0"/>
    <n v="0"/>
    <n v="0"/>
  </r>
  <r>
    <x v="16"/>
    <n v="0"/>
    <n v="27"/>
    <n v="0"/>
    <n v="0"/>
    <s v="1, 2, 3, 4, 5, 6, 7, 8, 9, 10, 11, 12, 13, 14, 15, 16, 17, 18, 19, 20, 21, 22, 23, 24, 25, 26, 27, 28, 29, 30, 31"/>
    <x v="30"/>
    <s v="SUJATHA .S"/>
    <x v="3"/>
    <s v="Company"/>
    <s v="NA"/>
    <d v="1899-12-30T00:00:00"/>
    <d v="1899-12-30T00:00:00"/>
    <n v="0"/>
    <s v="09:00:00"/>
    <n v="9"/>
    <s v="-17:30:00"/>
    <n v="0"/>
    <n v="9"/>
    <x v="16"/>
    <s v="A"/>
    <d v="2026-07-31T00:00:00"/>
    <n v="0"/>
    <n v="0"/>
    <n v="0"/>
    <n v="0"/>
    <n v="0"/>
  </r>
  <r>
    <x v="17"/>
    <n v="27"/>
    <n v="0"/>
    <n v="0"/>
    <n v="0"/>
    <s v="5, 12, 19, 26"/>
    <x v="0"/>
    <s v="SAVITHA"/>
    <x v="3"/>
    <s v="None"/>
    <s v="GS"/>
    <d v="1899-12-30T08:58:21"/>
    <d v="1899-12-30T17:28:41"/>
    <n v="8.51"/>
    <s v="00:01:39"/>
    <n v="0"/>
    <s v="-00:01:19"/>
    <n v="0"/>
    <n v="0"/>
    <x v="17"/>
    <s v="P"/>
    <d v="2026-07-01T00:00:00"/>
    <n v="1"/>
    <n v="1"/>
    <n v="0"/>
    <n v="0"/>
    <n v="0"/>
  </r>
  <r>
    <x v="17"/>
    <n v="27"/>
    <n v="0"/>
    <n v="0"/>
    <n v="0"/>
    <s v="5, 12, 19, 26"/>
    <x v="1"/>
    <s v="SAVITHA"/>
    <x v="3"/>
    <s v="None"/>
    <s v="GS"/>
    <d v="1899-12-30T09:06:11"/>
    <d v="1899-12-30T17:26:01"/>
    <n v="8.33"/>
    <s v="-00:06:11"/>
    <n v="0"/>
    <s v="-00:03:59"/>
    <n v="0"/>
    <n v="0"/>
    <x v="17"/>
    <s v="P"/>
    <d v="2026-07-02T00:00:00"/>
    <n v="1"/>
    <n v="1"/>
    <n v="0"/>
    <n v="0"/>
    <n v="0"/>
  </r>
  <r>
    <x v="17"/>
    <n v="27"/>
    <n v="0"/>
    <n v="0"/>
    <n v="0"/>
    <s v="5, 12, 19, 26"/>
    <x v="2"/>
    <s v="SAVITHA"/>
    <x v="3"/>
    <s v="None"/>
    <s v="GS"/>
    <d v="1899-12-30T08:48:42"/>
    <d v="1899-12-30T17:28:55"/>
    <n v="8.67"/>
    <s v="00:11:18"/>
    <n v="0"/>
    <s v="-00:01:05"/>
    <n v="0"/>
    <n v="0"/>
    <x v="17"/>
    <s v="P"/>
    <d v="2026-07-03T00:00:00"/>
    <n v="1"/>
    <n v="1"/>
    <n v="0"/>
    <n v="0"/>
    <n v="0"/>
  </r>
  <r>
    <x v="17"/>
    <n v="27"/>
    <n v="0"/>
    <n v="0"/>
    <n v="0"/>
    <s v="5, 12, 19, 26"/>
    <x v="3"/>
    <s v="SAVITHA"/>
    <x v="3"/>
    <s v="None"/>
    <s v="GS"/>
    <d v="1899-12-30T08:51:26"/>
    <d v="1899-12-30T17:24:19"/>
    <n v="8.5500000000000007"/>
    <s v="00:08:34"/>
    <n v="0"/>
    <s v="-00:05:41"/>
    <n v="0"/>
    <n v="0"/>
    <x v="17"/>
    <s v="P"/>
    <d v="2026-07-04T00:00:00"/>
    <n v="1"/>
    <n v="1"/>
    <n v="0"/>
    <n v="0"/>
    <n v="0"/>
  </r>
  <r>
    <x v="17"/>
    <n v="27"/>
    <n v="0"/>
    <n v="0"/>
    <n v="0"/>
    <s v="5, 12, 19, 26"/>
    <x v="4"/>
    <s v="SAVITHA"/>
    <x v="3"/>
    <s v="None"/>
    <s v="NA"/>
    <d v="1899-12-30T00:00:00"/>
    <d v="1899-12-30T00:00:00"/>
    <n v="0"/>
    <s v="09:00:00"/>
    <n v="9"/>
    <s v="-17:30:00"/>
    <n v="0"/>
    <n v="9"/>
    <x v="17"/>
    <s v="A"/>
    <d v="2026-07-05T00:00:00"/>
    <n v="0"/>
    <n v="0"/>
    <n v="0"/>
    <n v="0"/>
    <n v="0"/>
  </r>
  <r>
    <x v="17"/>
    <n v="27"/>
    <n v="0"/>
    <n v="0"/>
    <n v="0"/>
    <s v="5, 12, 19, 26"/>
    <x v="5"/>
    <s v="SAVITHA"/>
    <x v="3"/>
    <s v="None"/>
    <s v="GS"/>
    <d v="1899-12-30T08:54:53"/>
    <d v="1899-12-30T18:24:16"/>
    <n v="9.49"/>
    <s v="00:05:07"/>
    <n v="0"/>
    <s v="00:54:16"/>
    <n v="0.9"/>
    <n v="0.9"/>
    <x v="17"/>
    <s v="P"/>
    <d v="2026-07-06T00:00:00"/>
    <n v="1"/>
    <n v="1"/>
    <n v="0"/>
    <n v="0"/>
    <n v="0"/>
  </r>
  <r>
    <x v="17"/>
    <n v="27"/>
    <n v="0"/>
    <n v="0"/>
    <n v="0"/>
    <s v="5, 12, 19, 26"/>
    <x v="6"/>
    <s v="SAVITHA"/>
    <x v="3"/>
    <s v="None"/>
    <s v="GS"/>
    <d v="1899-12-30T08:53:08"/>
    <d v="1899-12-30T18:26:42"/>
    <n v="9.56"/>
    <s v="00:06:52"/>
    <n v="0"/>
    <s v="00:56:42"/>
    <n v="0.94"/>
    <n v="0.94"/>
    <x v="17"/>
    <s v="P"/>
    <d v="2026-07-07T00:00:00"/>
    <n v="1"/>
    <n v="1"/>
    <n v="0"/>
    <n v="0"/>
    <n v="0"/>
  </r>
  <r>
    <x v="17"/>
    <n v="27"/>
    <n v="0"/>
    <n v="0"/>
    <n v="0"/>
    <s v="5, 12, 19, 26"/>
    <x v="7"/>
    <s v="SAVITHA"/>
    <x v="3"/>
    <s v="None"/>
    <s v="GS"/>
    <d v="1899-12-30T08:54:10"/>
    <d v="1899-12-30T18:24:42"/>
    <n v="9.51"/>
    <s v="00:05:50"/>
    <n v="0"/>
    <s v="00:54:42"/>
    <n v="0.91"/>
    <n v="0.91"/>
    <x v="17"/>
    <s v="P"/>
    <d v="2026-07-08T00:00:00"/>
    <n v="1"/>
    <n v="1"/>
    <n v="0"/>
    <n v="0"/>
    <n v="0"/>
  </r>
  <r>
    <x v="17"/>
    <n v="27"/>
    <n v="0"/>
    <n v="0"/>
    <n v="0"/>
    <s v="5, 12, 19, 26"/>
    <x v="8"/>
    <s v="SAVITHA"/>
    <x v="3"/>
    <s v="None"/>
    <s v="GS"/>
    <d v="1899-12-30T08:55:39"/>
    <d v="1899-12-30T18:26:34"/>
    <n v="9.52"/>
    <s v="00:04:21"/>
    <n v="0"/>
    <s v="00:56:34"/>
    <n v="0.94"/>
    <n v="0.94"/>
    <x v="17"/>
    <s v="P"/>
    <d v="2026-07-09T00:00:00"/>
    <n v="1"/>
    <n v="1"/>
    <n v="0"/>
    <n v="0"/>
    <n v="0"/>
  </r>
  <r>
    <x v="17"/>
    <n v="27"/>
    <n v="0"/>
    <n v="0"/>
    <n v="0"/>
    <s v="5, 12, 19, 26"/>
    <x v="9"/>
    <s v="SAVITHA"/>
    <x v="3"/>
    <s v="None"/>
    <s v="GS"/>
    <d v="1899-12-30T08:57:44"/>
    <d v="1899-12-30T18:23:54"/>
    <n v="9.44"/>
    <s v="00:02:16"/>
    <n v="0"/>
    <s v="00:53:54"/>
    <n v="0.9"/>
    <n v="0.9"/>
    <x v="17"/>
    <s v="P"/>
    <d v="2026-07-10T00:00:00"/>
    <n v="1"/>
    <n v="1"/>
    <n v="0"/>
    <n v="0"/>
    <n v="0"/>
  </r>
  <r>
    <x v="17"/>
    <n v="27"/>
    <n v="0"/>
    <n v="0"/>
    <n v="0"/>
    <s v="5, 12, 19, 26"/>
    <x v="10"/>
    <s v="SAVITHA"/>
    <x v="3"/>
    <s v="None"/>
    <s v="GS"/>
    <d v="1899-12-30T08:54:52"/>
    <d v="1899-12-30T18:26:51"/>
    <n v="9.5299999999999994"/>
    <s v="00:05:08"/>
    <n v="0"/>
    <s v="00:56:51"/>
    <n v="0.95"/>
    <n v="0.95"/>
    <x v="17"/>
    <s v="P"/>
    <d v="2026-07-11T00:00:00"/>
    <n v="1"/>
    <n v="1"/>
    <n v="0"/>
    <n v="0"/>
    <n v="0"/>
  </r>
  <r>
    <x v="17"/>
    <n v="27"/>
    <n v="0"/>
    <n v="0"/>
    <n v="0"/>
    <s v="5, 12, 19, 26"/>
    <x v="11"/>
    <s v="SAVITHA"/>
    <x v="3"/>
    <s v="None"/>
    <s v="NA"/>
    <d v="1899-12-30T00:00:00"/>
    <d v="1899-12-30T00:00:00"/>
    <n v="0"/>
    <s v="09:00:00"/>
    <n v="9"/>
    <s v="-17:30:00"/>
    <n v="0"/>
    <n v="9"/>
    <x v="17"/>
    <s v="A"/>
    <d v="2026-07-12T00:00:00"/>
    <n v="0"/>
    <n v="0"/>
    <n v="0"/>
    <n v="0"/>
    <n v="0"/>
  </r>
  <r>
    <x v="17"/>
    <n v="27"/>
    <n v="0"/>
    <n v="0"/>
    <n v="0"/>
    <s v="5, 12, 19, 26"/>
    <x v="12"/>
    <s v="SAVITHA"/>
    <x v="3"/>
    <s v="None"/>
    <s v="GS"/>
    <d v="1899-12-30T08:42:15"/>
    <d v="1899-12-30T18:24:52"/>
    <n v="9.7100000000000009"/>
    <s v="00:17:45"/>
    <n v="0"/>
    <s v="00:54:52"/>
    <n v="0.91"/>
    <n v="0.91"/>
    <x v="17"/>
    <s v="P"/>
    <d v="2026-07-13T00:00:00"/>
    <n v="1"/>
    <n v="1"/>
    <n v="0"/>
    <n v="0"/>
    <n v="0"/>
  </r>
  <r>
    <x v="17"/>
    <n v="27"/>
    <n v="0"/>
    <n v="0"/>
    <n v="0"/>
    <s v="5, 12, 19, 26"/>
    <x v="13"/>
    <s v="SAVITHA"/>
    <x v="3"/>
    <s v="None"/>
    <s v="GS"/>
    <d v="1899-12-30T08:58:29"/>
    <d v="1899-12-30T18:27:04"/>
    <n v="9.48"/>
    <s v="00:01:31"/>
    <n v="0"/>
    <s v="00:57:04"/>
    <n v="0.95"/>
    <n v="0.95"/>
    <x v="17"/>
    <s v="P"/>
    <d v="2026-07-14T00:00:00"/>
    <n v="1"/>
    <n v="1"/>
    <n v="0"/>
    <n v="0"/>
    <n v="0"/>
  </r>
  <r>
    <x v="17"/>
    <n v="27"/>
    <n v="0"/>
    <n v="0"/>
    <n v="0"/>
    <s v="5, 12, 19, 26"/>
    <x v="14"/>
    <s v="SAVITHA"/>
    <x v="3"/>
    <s v="None"/>
    <s v="GS"/>
    <d v="1899-12-30T08:52:51"/>
    <d v="1899-12-30T18:28:13"/>
    <n v="9.59"/>
    <s v="00:07:09"/>
    <n v="0"/>
    <s v="00:58:13"/>
    <n v="0.97"/>
    <n v="0.97"/>
    <x v="17"/>
    <s v="P"/>
    <d v="2026-07-15T00:00:00"/>
    <n v="1"/>
    <n v="1"/>
    <n v="0"/>
    <n v="0"/>
    <n v="0"/>
  </r>
  <r>
    <x v="17"/>
    <n v="27"/>
    <n v="0"/>
    <n v="0"/>
    <n v="0"/>
    <s v="5, 12, 19, 26"/>
    <x v="15"/>
    <s v="SAVITHA"/>
    <x v="3"/>
    <s v="None"/>
    <s v="GS"/>
    <d v="1899-12-30T09:06:19"/>
    <d v="1899-12-30T18:24:06"/>
    <n v="9.3000000000000007"/>
    <s v="-00:06:19"/>
    <n v="0"/>
    <s v="00:54:06"/>
    <n v="0.9"/>
    <n v="0.9"/>
    <x v="17"/>
    <s v="P"/>
    <d v="2026-07-16T00:00:00"/>
    <n v="1"/>
    <n v="1"/>
    <n v="0"/>
    <n v="0"/>
    <n v="0"/>
  </r>
  <r>
    <x v="17"/>
    <n v="27"/>
    <n v="0"/>
    <n v="0"/>
    <n v="0"/>
    <s v="5, 12, 19, 26"/>
    <x v="16"/>
    <s v="SAVITHA"/>
    <x v="3"/>
    <s v="None"/>
    <s v="GS"/>
    <d v="1899-12-30T09:18:02"/>
    <d v="1899-12-30T18:25:14"/>
    <n v="9.1199999999999992"/>
    <s v="-00:18:02"/>
    <n v="0"/>
    <s v="00:55:14"/>
    <n v="0.92"/>
    <n v="0.92"/>
    <x v="17"/>
    <s v="P"/>
    <d v="2026-07-17T00:00:00"/>
    <n v="1"/>
    <n v="1"/>
    <n v="0"/>
    <n v="0"/>
    <n v="0"/>
  </r>
  <r>
    <x v="17"/>
    <n v="27"/>
    <n v="0"/>
    <n v="0"/>
    <n v="0"/>
    <s v="5, 12, 19, 26"/>
    <x v="17"/>
    <s v="SAVITHA"/>
    <x v="3"/>
    <s v="None"/>
    <s v="GS"/>
    <d v="1899-12-30T09:57:51"/>
    <d v="1899-12-30T17:29:26"/>
    <n v="7.53"/>
    <s v="-00:57:51"/>
    <n v="0"/>
    <s v="-00:00:34"/>
    <n v="0"/>
    <n v="0"/>
    <x v="17"/>
    <s v="P"/>
    <d v="2026-07-18T00:00:00"/>
    <n v="1"/>
    <n v="1"/>
    <n v="0"/>
    <n v="0"/>
    <n v="0"/>
  </r>
  <r>
    <x v="17"/>
    <n v="27"/>
    <n v="0"/>
    <n v="0"/>
    <n v="0"/>
    <s v="5, 12, 19, 26"/>
    <x v="18"/>
    <s v="SAVITHA"/>
    <x v="3"/>
    <s v="None"/>
    <s v="NA"/>
    <d v="1899-12-30T00:00:00"/>
    <d v="1899-12-30T00:00:00"/>
    <n v="0"/>
    <s v="09:00:00"/>
    <n v="9"/>
    <s v="-17:30:00"/>
    <n v="0"/>
    <n v="9"/>
    <x v="17"/>
    <s v="A"/>
    <d v="2026-07-19T00:00:00"/>
    <n v="0"/>
    <n v="0"/>
    <n v="0"/>
    <n v="0"/>
    <n v="0"/>
  </r>
  <r>
    <x v="17"/>
    <n v="27"/>
    <n v="0"/>
    <n v="0"/>
    <n v="0"/>
    <s v="5, 12, 19, 26"/>
    <x v="19"/>
    <s v="SAVITHA"/>
    <x v="3"/>
    <s v="None"/>
    <s v="GS"/>
    <d v="1899-12-30T08:54:01"/>
    <d v="1899-12-30T18:25:35"/>
    <n v="9.5299999999999994"/>
    <s v="00:05:59"/>
    <n v="0"/>
    <s v="00:55:35"/>
    <n v="0.93"/>
    <n v="0.93"/>
    <x v="17"/>
    <s v="P"/>
    <d v="2026-07-20T00:00:00"/>
    <n v="1"/>
    <n v="1"/>
    <n v="0"/>
    <n v="0"/>
    <n v="0"/>
  </r>
  <r>
    <x v="17"/>
    <n v="27"/>
    <n v="0"/>
    <n v="0"/>
    <n v="0"/>
    <s v="5, 12, 19, 26"/>
    <x v="20"/>
    <s v="SAVITHA"/>
    <x v="3"/>
    <s v="None"/>
    <s v="GS"/>
    <d v="1899-12-30T09:02:30"/>
    <d v="1899-12-30T17:32:29"/>
    <n v="8.5"/>
    <s v="-00:02:30"/>
    <n v="0"/>
    <s v="00:02:29"/>
    <n v="0"/>
    <n v="0"/>
    <x v="17"/>
    <s v="P"/>
    <d v="2026-07-21T00:00:00"/>
    <n v="1"/>
    <n v="1"/>
    <n v="0"/>
    <n v="0"/>
    <n v="0"/>
  </r>
  <r>
    <x v="17"/>
    <n v="27"/>
    <n v="0"/>
    <n v="0"/>
    <n v="0"/>
    <s v="5, 12, 19, 26"/>
    <x v="21"/>
    <s v="SAVITHA"/>
    <x v="3"/>
    <s v="None"/>
    <s v="GS"/>
    <d v="1899-12-30T09:04:54"/>
    <d v="1899-12-30T18:28:00"/>
    <n v="9.3800000000000008"/>
    <s v="-00:04:54"/>
    <n v="0"/>
    <s v="00:58:00"/>
    <n v="0.97"/>
    <n v="0.97"/>
    <x v="17"/>
    <s v="P"/>
    <d v="2026-07-22T00:00:00"/>
    <n v="1"/>
    <n v="1"/>
    <n v="0"/>
    <n v="0"/>
    <n v="0"/>
  </r>
  <r>
    <x v="17"/>
    <n v="27"/>
    <n v="0"/>
    <n v="0"/>
    <n v="0"/>
    <s v="5, 12, 19, 26"/>
    <x v="22"/>
    <s v="SAVITHA"/>
    <x v="3"/>
    <s v="None"/>
    <s v="GS"/>
    <d v="1899-12-30T08:50:32"/>
    <d v="1899-12-30T18:26:11"/>
    <n v="9.59"/>
    <s v="00:09:28"/>
    <n v="0"/>
    <s v="00:56:11"/>
    <n v="0.94"/>
    <n v="0.94"/>
    <x v="17"/>
    <s v="P"/>
    <d v="2026-07-23T00:00:00"/>
    <n v="1"/>
    <n v="1"/>
    <n v="0"/>
    <n v="0"/>
    <n v="0"/>
  </r>
  <r>
    <x v="17"/>
    <n v="27"/>
    <n v="0"/>
    <n v="0"/>
    <n v="0"/>
    <s v="5, 12, 19, 26"/>
    <x v="23"/>
    <s v="SAVITHA"/>
    <x v="3"/>
    <s v="None"/>
    <s v="GS"/>
    <d v="1899-12-30T08:55:20"/>
    <d v="1899-12-30T18:28:45"/>
    <n v="9.56"/>
    <s v="00:04:40"/>
    <n v="0"/>
    <s v="00:58:45"/>
    <n v="0.98"/>
    <n v="0.98"/>
    <x v="17"/>
    <s v="P"/>
    <d v="2026-07-24T00:00:00"/>
    <n v="1"/>
    <n v="1"/>
    <n v="0"/>
    <n v="0"/>
    <n v="0"/>
  </r>
  <r>
    <x v="17"/>
    <n v="27"/>
    <n v="0"/>
    <n v="0"/>
    <n v="0"/>
    <s v="5, 12, 19, 26"/>
    <x v="24"/>
    <s v="SAVITHA"/>
    <x v="3"/>
    <s v="None"/>
    <s v="GS"/>
    <d v="1899-12-30T09:05:28"/>
    <d v="1899-12-30T18:24:54"/>
    <n v="9.32"/>
    <s v="-00:05:28"/>
    <n v="0"/>
    <s v="00:54:54"/>
    <n v="0.92"/>
    <n v="0.92"/>
    <x v="17"/>
    <s v="P"/>
    <d v="2026-07-25T00:00:00"/>
    <n v="1"/>
    <n v="1"/>
    <n v="0"/>
    <n v="0"/>
    <n v="0"/>
  </r>
  <r>
    <x v="17"/>
    <n v="27"/>
    <n v="0"/>
    <n v="0"/>
    <n v="0"/>
    <s v="5, 12, 19, 26"/>
    <x v="25"/>
    <s v="SAVITHA"/>
    <x v="3"/>
    <s v="None"/>
    <s v="NA"/>
    <d v="1899-12-30T00:00:00"/>
    <d v="1899-12-30T00:00:00"/>
    <n v="0"/>
    <s v="09:00:00"/>
    <n v="9"/>
    <s v="-17:30:00"/>
    <n v="0"/>
    <n v="9"/>
    <x v="17"/>
    <s v="A"/>
    <d v="2026-07-26T00:00:00"/>
    <n v="0"/>
    <n v="0"/>
    <n v="0"/>
    <n v="0"/>
    <n v="0"/>
  </r>
  <r>
    <x v="17"/>
    <n v="27"/>
    <n v="0"/>
    <n v="0"/>
    <n v="0"/>
    <s v="5, 12, 19, 26"/>
    <x v="26"/>
    <s v="SAVITHA"/>
    <x v="3"/>
    <s v="None"/>
    <s v="GS"/>
    <d v="1899-12-30T08:58:12"/>
    <d v="1899-12-30T18:26:59"/>
    <n v="9.48"/>
    <s v="00:01:48"/>
    <n v="0"/>
    <s v="00:56:59"/>
    <n v="0.95"/>
    <n v="0.95"/>
    <x v="17"/>
    <s v="P"/>
    <d v="2026-07-27T00:00:00"/>
    <n v="1"/>
    <n v="1"/>
    <n v="0"/>
    <n v="0"/>
    <n v="0"/>
  </r>
  <r>
    <x v="17"/>
    <n v="27"/>
    <n v="0"/>
    <n v="0"/>
    <n v="0"/>
    <s v="5, 12, 19, 26"/>
    <x v="27"/>
    <s v="SAVITHA"/>
    <x v="3"/>
    <s v="None"/>
    <s v="GS"/>
    <d v="1899-12-30T09:06:52"/>
    <d v="1899-12-30T18:24:23"/>
    <n v="9.2899999999999991"/>
    <s v="-00:06:52"/>
    <n v="0"/>
    <s v="00:54:23"/>
    <n v="0.91"/>
    <n v="0.91"/>
    <x v="17"/>
    <s v="P"/>
    <d v="2026-07-28T00:00:00"/>
    <n v="1"/>
    <n v="1"/>
    <n v="0"/>
    <n v="0"/>
    <n v="0"/>
  </r>
  <r>
    <x v="17"/>
    <n v="27"/>
    <n v="0"/>
    <n v="0"/>
    <n v="0"/>
    <s v="5, 12, 19, 26"/>
    <x v="28"/>
    <s v="SAVITHA"/>
    <x v="3"/>
    <s v="None"/>
    <s v="GS"/>
    <d v="1899-12-30T08:58:22"/>
    <d v="1899-12-30T18:23:30"/>
    <n v="9.42"/>
    <s v="00:01:38"/>
    <n v="0"/>
    <s v="00:53:30"/>
    <n v="0.89"/>
    <n v="0.89"/>
    <x v="17"/>
    <s v="P"/>
    <d v="2026-07-29T00:00:00"/>
    <n v="1"/>
    <n v="1"/>
    <n v="0"/>
    <n v="0"/>
    <n v="0"/>
  </r>
  <r>
    <x v="17"/>
    <n v="27"/>
    <n v="0"/>
    <n v="0"/>
    <n v="0"/>
    <s v="5, 12, 19, 26"/>
    <x v="29"/>
    <s v="SAVITHA"/>
    <x v="3"/>
    <s v="None"/>
    <s v="GS"/>
    <d v="1899-12-30T08:31:42"/>
    <d v="1899-12-30T18:25:45"/>
    <n v="9.9"/>
    <s v="00:28:18"/>
    <n v="0"/>
    <s v="00:55:45"/>
    <n v="0.93"/>
    <n v="0.93"/>
    <x v="17"/>
    <s v="P"/>
    <d v="2026-07-30T00:00:00"/>
    <n v="1"/>
    <n v="1"/>
    <n v="0"/>
    <n v="0"/>
    <n v="0"/>
  </r>
  <r>
    <x v="17"/>
    <n v="27"/>
    <n v="0"/>
    <n v="0"/>
    <n v="0"/>
    <s v="5, 12, 19, 26"/>
    <x v="30"/>
    <s v="SAVITHA"/>
    <x v="3"/>
    <s v="None"/>
    <s v="GS"/>
    <d v="1899-12-30T08:45:20"/>
    <d v="1899-12-30T17:33:13"/>
    <n v="8.8000000000000007"/>
    <s v="00:14:40"/>
    <n v="0"/>
    <s v="00:03:13"/>
    <n v="0"/>
    <n v="0"/>
    <x v="17"/>
    <s v="P"/>
    <d v="2026-07-31T00:00:00"/>
    <n v="1"/>
    <n v="1"/>
    <n v="0"/>
    <n v="0"/>
    <n v="0"/>
  </r>
  <r>
    <x v="18"/>
    <n v="25.5"/>
    <n v="1.5"/>
    <n v="0"/>
    <n v="0"/>
    <s v="16, 19, 26"/>
    <x v="0"/>
    <s v="M Siva Kumar"/>
    <x v="1"/>
    <s v="Company"/>
    <s v="GS"/>
    <d v="1899-12-30T08:58:45"/>
    <d v="1899-12-30T17:31:22"/>
    <n v="8.5399999999999991"/>
    <s v="00:01:15"/>
    <n v="0"/>
    <s v="00:01:22"/>
    <n v="0"/>
    <n v="0"/>
    <x v="18"/>
    <s v="P"/>
    <d v="2026-07-01T00:00:00"/>
    <n v="1"/>
    <n v="1"/>
    <n v="0"/>
    <n v="0"/>
    <n v="0"/>
  </r>
  <r>
    <x v="18"/>
    <n v="25.5"/>
    <n v="1.5"/>
    <n v="0"/>
    <n v="0"/>
    <s v="16, 19, 26"/>
    <x v="1"/>
    <s v="M Siva Kumar"/>
    <x v="1"/>
    <s v="Company"/>
    <s v="GS"/>
    <d v="1899-12-30T09:02:28"/>
    <d v="1899-12-30T17:31:50"/>
    <n v="8.49"/>
    <s v="-00:02:28"/>
    <n v="0"/>
    <s v="00:01:50"/>
    <n v="0"/>
    <n v="0"/>
    <x v="18"/>
    <s v="P"/>
    <d v="2026-07-02T00:00:00"/>
    <n v="1"/>
    <n v="1"/>
    <n v="0"/>
    <n v="0"/>
    <n v="0"/>
  </r>
  <r>
    <x v="18"/>
    <n v="25.5"/>
    <n v="1.5"/>
    <n v="0"/>
    <n v="0"/>
    <s v="16, 19, 26"/>
    <x v="2"/>
    <s v="M Siva Kumar"/>
    <x v="1"/>
    <s v="Company"/>
    <s v="GS"/>
    <d v="1899-12-30T09:09:35"/>
    <d v="1899-12-30T17:30:39"/>
    <n v="8.35"/>
    <s v="-00:09:35"/>
    <n v="0"/>
    <s v="00:00:39"/>
    <n v="0"/>
    <n v="0"/>
    <x v="18"/>
    <s v="P"/>
    <d v="2026-07-03T00:00:00"/>
    <n v="1"/>
    <n v="1"/>
    <n v="0"/>
    <n v="0"/>
    <n v="0"/>
  </r>
  <r>
    <x v="18"/>
    <n v="25.5"/>
    <n v="1.5"/>
    <n v="0"/>
    <n v="0"/>
    <s v="16, 19, 26"/>
    <x v="3"/>
    <s v="M Siva Kumar"/>
    <x v="1"/>
    <s v="Company"/>
    <s v="GS"/>
    <d v="1899-12-30T09:20:22"/>
    <d v="1899-12-30T17:29:19"/>
    <n v="8.15"/>
    <s v="-00:20:22"/>
    <n v="0"/>
    <s v="-00:00:41"/>
    <n v="0"/>
    <n v="0"/>
    <x v="18"/>
    <s v="P"/>
    <d v="2026-07-04T00:00:00"/>
    <n v="1"/>
    <n v="1"/>
    <n v="0"/>
    <n v="0"/>
    <n v="0"/>
  </r>
  <r>
    <x v="18"/>
    <n v="25.5"/>
    <n v="1.5"/>
    <n v="0"/>
    <n v="0"/>
    <s v="16, 19, 26"/>
    <x v="4"/>
    <s v="M Siva Kumar"/>
    <x v="1"/>
    <s v="Company"/>
    <s v="GS"/>
    <d v="1899-12-30T09:00:00"/>
    <d v="1899-12-30T12:31:02"/>
    <n v="3.52"/>
    <s v="00:00:00"/>
    <n v="0"/>
    <s v="-04:58:58"/>
    <n v="0"/>
    <n v="0"/>
    <x v="18"/>
    <s v="H"/>
    <d v="2026-07-05T00:00:00"/>
    <n v="0.5"/>
    <n v="0"/>
    <n v="0.5"/>
    <n v="0"/>
    <n v="0"/>
  </r>
  <r>
    <x v="18"/>
    <n v="25.5"/>
    <n v="1.5"/>
    <n v="0"/>
    <n v="0"/>
    <s v="16, 19, 26"/>
    <x v="5"/>
    <s v="M Siva Kumar"/>
    <x v="1"/>
    <s v="Company"/>
    <s v="GS"/>
    <d v="1899-12-30T09:06:25"/>
    <d v="1899-12-30T18:26:59"/>
    <n v="9.34"/>
    <s v="-00:06:25"/>
    <n v="0"/>
    <s v="00:56:59"/>
    <n v="0.95"/>
    <n v="0.95"/>
    <x v="18"/>
    <s v="P"/>
    <d v="2026-07-06T00:00:00"/>
    <n v="1"/>
    <n v="1"/>
    <n v="0"/>
    <n v="0"/>
    <n v="0"/>
  </r>
  <r>
    <x v="18"/>
    <n v="25.5"/>
    <n v="1.5"/>
    <n v="0"/>
    <n v="0"/>
    <s v="16, 19, 26"/>
    <x v="6"/>
    <s v="M Siva Kumar"/>
    <x v="1"/>
    <s v="Company"/>
    <s v="GS"/>
    <d v="1899-12-30T14:02:31"/>
    <d v="1899-12-30T20:29:37"/>
    <n v="6.45"/>
    <s v="-05:02:31"/>
    <n v="0"/>
    <s v="02:59:37"/>
    <n v="2.99"/>
    <n v="2.99"/>
    <x v="18"/>
    <s v="P"/>
    <d v="2026-07-07T00:00:00"/>
    <n v="1"/>
    <n v="1"/>
    <n v="0"/>
    <n v="0"/>
    <n v="0"/>
  </r>
  <r>
    <x v="18"/>
    <n v="25.5"/>
    <n v="1.5"/>
    <n v="0"/>
    <n v="0"/>
    <s v="16, 19, 26"/>
    <x v="7"/>
    <s v="M Siva Kumar"/>
    <x v="1"/>
    <s v="Company"/>
    <s v="GS"/>
    <d v="1899-12-30T10:17:23"/>
    <d v="1899-12-30T00:32:41"/>
    <n v="14.26"/>
    <s v="-01:17:23"/>
    <n v="0"/>
    <s v="-16:57:19"/>
    <n v="0"/>
    <n v="0"/>
    <x v="18"/>
    <s v="P"/>
    <d v="2026-07-08T00:00:00"/>
    <n v="1"/>
    <n v="1"/>
    <n v="0"/>
    <n v="0"/>
    <n v="0"/>
  </r>
  <r>
    <x v="18"/>
    <n v="25.5"/>
    <n v="1.5"/>
    <n v="0"/>
    <n v="0"/>
    <s v="16, 19, 26"/>
    <x v="8"/>
    <s v="M Siva Kumar"/>
    <x v="1"/>
    <s v="Company"/>
    <s v="GS"/>
    <d v="1899-12-30T09:20:01"/>
    <d v="1899-12-30T18:58:56"/>
    <n v="9.65"/>
    <s v="-00:20:01"/>
    <n v="0"/>
    <s v="01:28:56"/>
    <n v="1.48"/>
    <n v="1.48"/>
    <x v="18"/>
    <s v="P"/>
    <d v="2026-07-09T00:00:00"/>
    <n v="1"/>
    <n v="1"/>
    <n v="0"/>
    <n v="0"/>
    <n v="0"/>
  </r>
  <r>
    <x v="18"/>
    <n v="25.5"/>
    <n v="1.5"/>
    <n v="0"/>
    <n v="0"/>
    <s v="16, 19, 26"/>
    <x v="9"/>
    <s v="M Siva Kumar"/>
    <x v="1"/>
    <s v="Company"/>
    <s v="GS"/>
    <d v="1899-12-30T09:00:00"/>
    <d v="1899-12-30T19:06:55"/>
    <n v="10.119999999999999"/>
    <s v="00:00:00"/>
    <n v="0"/>
    <s v="01:36:55"/>
    <n v="1.62"/>
    <n v="1.62"/>
    <x v="18"/>
    <s v="P"/>
    <d v="2026-07-10T00:00:00"/>
    <n v="1"/>
    <n v="1"/>
    <n v="0"/>
    <n v="0"/>
    <n v="0"/>
  </r>
  <r>
    <x v="18"/>
    <n v="25.5"/>
    <n v="1.5"/>
    <n v="0"/>
    <n v="0"/>
    <s v="16, 19, 26"/>
    <x v="10"/>
    <s v="M Siva Kumar"/>
    <x v="1"/>
    <s v="Company"/>
    <s v="GS"/>
    <d v="1899-12-30T15:42:38"/>
    <d v="1899-12-30T20:03:11"/>
    <n v="4.34"/>
    <s v="-06:42:38"/>
    <n v="0"/>
    <s v="02:33:11"/>
    <n v="2.5499999999999998"/>
    <n v="2.5499999999999998"/>
    <x v="18"/>
    <s v="H"/>
    <d v="2026-07-11T00:00:00"/>
    <n v="0.5"/>
    <n v="0.5"/>
    <n v="0"/>
    <n v="0"/>
    <n v="0"/>
  </r>
  <r>
    <x v="18"/>
    <n v="25.5"/>
    <n v="1.5"/>
    <n v="0"/>
    <n v="0"/>
    <s v="16, 19, 26"/>
    <x v="11"/>
    <s v="M Siva Kumar"/>
    <x v="1"/>
    <s v="Company"/>
    <s v="GS"/>
    <d v="1899-12-30T09:11:31"/>
    <d v="1899-12-30T16:40:07"/>
    <n v="7.48"/>
    <s v="-00:11:31"/>
    <n v="0"/>
    <s v="-00:49:53"/>
    <n v="0"/>
    <n v="0"/>
    <x v="18"/>
    <s v="P"/>
    <d v="2026-07-12T00:00:00"/>
    <n v="1"/>
    <n v="0"/>
    <n v="1"/>
    <n v="0"/>
    <n v="0"/>
  </r>
  <r>
    <x v="18"/>
    <n v="25.5"/>
    <n v="1.5"/>
    <n v="0"/>
    <n v="0"/>
    <s v="16, 19, 26"/>
    <x v="12"/>
    <s v="M Siva Kumar"/>
    <x v="1"/>
    <s v="Company"/>
    <s v="GS"/>
    <d v="1899-12-30T09:07:44"/>
    <d v="1899-12-30T19:12:16"/>
    <n v="10.08"/>
    <s v="-00:07:44"/>
    <n v="0"/>
    <s v="01:42:16"/>
    <n v="1.7"/>
    <n v="1.7"/>
    <x v="18"/>
    <s v="P"/>
    <d v="2026-07-13T00:00:00"/>
    <n v="1"/>
    <n v="1"/>
    <n v="0"/>
    <n v="0"/>
    <n v="0"/>
  </r>
  <r>
    <x v="18"/>
    <n v="25.5"/>
    <n v="1.5"/>
    <n v="0"/>
    <n v="0"/>
    <s v="16, 19, 26"/>
    <x v="13"/>
    <s v="M Siva Kumar"/>
    <x v="1"/>
    <s v="Company"/>
    <s v="GS"/>
    <d v="1899-12-30T09:00:00"/>
    <d v="1899-12-30T19:50:50"/>
    <n v="10.85"/>
    <s v="00:00:00"/>
    <n v="0"/>
    <s v="02:20:50"/>
    <n v="2.35"/>
    <n v="2.35"/>
    <x v="18"/>
    <s v="P"/>
    <d v="2026-07-14T00:00:00"/>
    <n v="1"/>
    <n v="1"/>
    <n v="0"/>
    <n v="0"/>
    <n v="0"/>
  </r>
  <r>
    <x v="18"/>
    <n v="25.5"/>
    <n v="1.5"/>
    <n v="0"/>
    <n v="0"/>
    <s v="16, 19, 26"/>
    <x v="14"/>
    <s v="M Siva Kumar"/>
    <x v="1"/>
    <s v="Company"/>
    <s v="GS"/>
    <d v="1899-12-30T09:01:51"/>
    <d v="1899-12-30T18:30:23"/>
    <n v="9.48"/>
    <s v="-00:01:51"/>
    <n v="0"/>
    <s v="01:00:23"/>
    <n v="1.01"/>
    <n v="1.01"/>
    <x v="18"/>
    <s v="P"/>
    <d v="2026-07-15T00:00:00"/>
    <n v="1"/>
    <n v="1"/>
    <n v="0"/>
    <n v="0"/>
    <n v="0"/>
  </r>
  <r>
    <x v="18"/>
    <n v="25.5"/>
    <n v="1.5"/>
    <n v="0"/>
    <n v="0"/>
    <s v="16, 19, 26"/>
    <x v="15"/>
    <s v="M Siva Kumar"/>
    <x v="1"/>
    <s v="Company"/>
    <s v="NA"/>
    <d v="1899-12-30T00:00:00"/>
    <d v="1899-12-30T00:00:00"/>
    <n v="0"/>
    <s v="09:00:00"/>
    <n v="9"/>
    <s v="-17:30:00"/>
    <n v="0"/>
    <n v="9"/>
    <x v="18"/>
    <s v="A"/>
    <d v="2026-07-16T00:00:00"/>
    <n v="0"/>
    <n v="0"/>
    <n v="0"/>
    <n v="0"/>
    <n v="0"/>
  </r>
  <r>
    <x v="18"/>
    <n v="25.5"/>
    <n v="1.5"/>
    <n v="0"/>
    <n v="0"/>
    <s v="16, 19, 26"/>
    <x v="16"/>
    <s v="M Siva Kumar"/>
    <x v="1"/>
    <s v="Company"/>
    <s v="GS"/>
    <d v="1899-12-30T09:01:54"/>
    <d v="1899-12-30T18:27:51"/>
    <n v="9.43"/>
    <s v="-00:01:54"/>
    <n v="0"/>
    <s v="00:57:51"/>
    <n v="0.96"/>
    <n v="0.96"/>
    <x v="18"/>
    <s v="P"/>
    <d v="2026-07-17T00:00:00"/>
    <n v="1"/>
    <n v="1"/>
    <n v="0"/>
    <n v="0"/>
    <n v="0"/>
  </r>
  <r>
    <x v="18"/>
    <n v="25.5"/>
    <n v="1.5"/>
    <n v="0"/>
    <n v="0"/>
    <s v="16, 19, 26"/>
    <x v="17"/>
    <s v="M Siva Kumar"/>
    <x v="1"/>
    <s v="Company"/>
    <s v="GS"/>
    <d v="1899-12-30T08:59:21"/>
    <d v="1899-12-30T17:35:01"/>
    <n v="8.59"/>
    <s v="00:00:39"/>
    <n v="0"/>
    <s v="00:05:01"/>
    <n v="0"/>
    <n v="0"/>
    <x v="18"/>
    <s v="P"/>
    <d v="2026-07-18T00:00:00"/>
    <n v="1"/>
    <n v="1"/>
    <n v="0"/>
    <n v="0"/>
    <n v="0"/>
  </r>
  <r>
    <x v="18"/>
    <n v="25.5"/>
    <n v="1.5"/>
    <n v="0"/>
    <n v="0"/>
    <s v="16, 19, 26"/>
    <x v="18"/>
    <s v="M Siva Kumar"/>
    <x v="1"/>
    <s v="Company"/>
    <s v="NA"/>
    <d v="1899-12-30T00:00:00"/>
    <d v="1899-12-30T00:00:00"/>
    <n v="0"/>
    <s v="09:00:00"/>
    <n v="9"/>
    <s v="-17:30:00"/>
    <n v="0"/>
    <n v="9"/>
    <x v="18"/>
    <s v="A"/>
    <d v="2026-07-19T00:00:00"/>
    <n v="0"/>
    <n v="0"/>
    <n v="0"/>
    <n v="0"/>
    <n v="0"/>
  </r>
  <r>
    <x v="18"/>
    <n v="25.5"/>
    <n v="1.5"/>
    <n v="0"/>
    <n v="0"/>
    <s v="16, 19, 26"/>
    <x v="19"/>
    <s v="M Siva Kumar"/>
    <x v="1"/>
    <s v="Company"/>
    <s v="GS"/>
    <d v="1899-12-30T09:14:04"/>
    <d v="1899-12-30T19:29:16"/>
    <n v="10.25"/>
    <s v="-00:14:04"/>
    <n v="0"/>
    <s v="01:59:16"/>
    <n v="1.99"/>
    <n v="1.99"/>
    <x v="18"/>
    <s v="P"/>
    <d v="2026-07-20T00:00:00"/>
    <n v="1"/>
    <n v="1"/>
    <n v="0"/>
    <n v="0"/>
    <n v="0"/>
  </r>
  <r>
    <x v="18"/>
    <n v="25.5"/>
    <n v="1.5"/>
    <n v="0"/>
    <n v="0"/>
    <s v="16, 19, 26"/>
    <x v="20"/>
    <s v="M Siva Kumar"/>
    <x v="1"/>
    <s v="Company"/>
    <s v="GS"/>
    <d v="1899-12-30T09:00:50"/>
    <d v="1899-12-30T19:56:48"/>
    <n v="10.93"/>
    <s v="-00:00:50"/>
    <n v="0"/>
    <s v="02:26:48"/>
    <n v="2.4500000000000002"/>
    <n v="2.4500000000000002"/>
    <x v="18"/>
    <s v="P"/>
    <d v="2026-07-21T00:00:00"/>
    <n v="1"/>
    <n v="1"/>
    <n v="0"/>
    <n v="0"/>
    <n v="0"/>
  </r>
  <r>
    <x v="18"/>
    <n v="25.5"/>
    <n v="1.5"/>
    <n v="0"/>
    <n v="0"/>
    <s v="16, 19, 26"/>
    <x v="21"/>
    <s v="M Siva Kumar"/>
    <x v="1"/>
    <s v="Company"/>
    <s v="GS"/>
    <d v="1899-12-30T08:57:10"/>
    <d v="1899-12-30T18:48:40"/>
    <n v="9.86"/>
    <s v="00:02:50"/>
    <n v="0"/>
    <s v="01:18:40"/>
    <n v="1.31"/>
    <n v="1.31"/>
    <x v="18"/>
    <s v="P"/>
    <d v="2026-07-22T00:00:00"/>
    <n v="1"/>
    <n v="1"/>
    <n v="0"/>
    <n v="0"/>
    <n v="0"/>
  </r>
  <r>
    <x v="18"/>
    <n v="25.5"/>
    <n v="1.5"/>
    <n v="0"/>
    <n v="0"/>
    <s v="16, 19, 26"/>
    <x v="22"/>
    <s v="M Siva Kumar"/>
    <x v="1"/>
    <s v="Company"/>
    <s v="GS"/>
    <d v="1899-12-30T11:15:18"/>
    <d v="1899-12-30T18:26:39"/>
    <n v="7.19"/>
    <s v="-02:15:18"/>
    <n v="0"/>
    <s v="00:56:39"/>
    <n v="0.94"/>
    <n v="0.94"/>
    <x v="18"/>
    <s v="P"/>
    <d v="2026-07-23T00:00:00"/>
    <n v="1"/>
    <n v="1"/>
    <n v="0"/>
    <n v="0"/>
    <n v="0"/>
  </r>
  <r>
    <x v="18"/>
    <n v="25.5"/>
    <n v="1.5"/>
    <n v="0"/>
    <n v="0"/>
    <s v="16, 19, 26"/>
    <x v="23"/>
    <s v="M Siva Kumar"/>
    <x v="1"/>
    <s v="Company"/>
    <s v="GS"/>
    <d v="1899-12-30T09:30:41"/>
    <d v="1899-12-30T19:24:49"/>
    <n v="9.9"/>
    <s v="-00:30:41"/>
    <n v="0"/>
    <s v="01:54:49"/>
    <n v="1.91"/>
    <n v="1.91"/>
    <x v="18"/>
    <s v="P"/>
    <d v="2026-07-24T00:00:00"/>
    <n v="1"/>
    <n v="1"/>
    <n v="0"/>
    <n v="0"/>
    <n v="0"/>
  </r>
  <r>
    <x v="18"/>
    <n v="25.5"/>
    <n v="1.5"/>
    <n v="0"/>
    <n v="0"/>
    <s v="16, 19, 26"/>
    <x v="24"/>
    <s v="M Siva Kumar"/>
    <x v="1"/>
    <s v="Company"/>
    <s v="GS"/>
    <d v="1899-12-30T09:03:26"/>
    <d v="1899-12-30T18:57:27"/>
    <n v="9.9"/>
    <s v="-00:03:26"/>
    <n v="0"/>
    <s v="01:27:27"/>
    <n v="1.46"/>
    <n v="1.46"/>
    <x v="18"/>
    <s v="P"/>
    <d v="2026-07-25T00:00:00"/>
    <n v="1"/>
    <n v="1"/>
    <n v="0"/>
    <n v="0"/>
    <n v="0"/>
  </r>
  <r>
    <x v="18"/>
    <n v="25.5"/>
    <n v="1.5"/>
    <n v="0"/>
    <n v="0"/>
    <s v="16, 19, 26"/>
    <x v="25"/>
    <s v="M Siva Kumar"/>
    <x v="1"/>
    <s v="Company"/>
    <s v="NA"/>
    <d v="1899-12-30T00:00:00"/>
    <d v="1899-12-30T00:00:00"/>
    <n v="0"/>
    <s v="09:00:00"/>
    <n v="9"/>
    <s v="-17:30:00"/>
    <n v="0"/>
    <n v="9"/>
    <x v="18"/>
    <s v="A"/>
    <d v="2026-07-26T00:00:00"/>
    <n v="0"/>
    <n v="0"/>
    <n v="0"/>
    <n v="0"/>
    <n v="0"/>
  </r>
  <r>
    <x v="18"/>
    <n v="25.5"/>
    <n v="1.5"/>
    <n v="0"/>
    <n v="0"/>
    <s v="16, 19, 26"/>
    <x v="26"/>
    <s v="M Siva Kumar"/>
    <x v="1"/>
    <s v="Company"/>
    <s v="GS"/>
    <d v="1899-12-30T08:55:44"/>
    <d v="1899-12-30T17:34:59"/>
    <n v="8.65"/>
    <s v="00:04:16"/>
    <n v="0"/>
    <s v="00:04:59"/>
    <n v="0"/>
    <n v="0"/>
    <x v="18"/>
    <s v="P"/>
    <d v="2026-07-27T00:00:00"/>
    <n v="1"/>
    <n v="1"/>
    <n v="0"/>
    <n v="0"/>
    <n v="0"/>
  </r>
  <r>
    <x v="18"/>
    <n v="25.5"/>
    <n v="1.5"/>
    <n v="0"/>
    <n v="0"/>
    <s v="16, 19, 26"/>
    <x v="27"/>
    <s v="M Siva Kumar"/>
    <x v="1"/>
    <s v="Company"/>
    <s v="GS"/>
    <d v="1899-12-30T09:01:54"/>
    <d v="1899-12-30T20:26:44"/>
    <n v="11.41"/>
    <s v="-00:01:54"/>
    <n v="0"/>
    <s v="02:56:44"/>
    <n v="2.95"/>
    <n v="2.95"/>
    <x v="18"/>
    <s v="P"/>
    <d v="2026-07-28T00:00:00"/>
    <n v="1"/>
    <n v="1"/>
    <n v="0"/>
    <n v="0"/>
    <n v="0"/>
  </r>
  <r>
    <x v="18"/>
    <n v="25.5"/>
    <n v="1.5"/>
    <n v="0"/>
    <n v="0"/>
    <s v="16, 19, 26"/>
    <x v="28"/>
    <s v="M Siva Kumar"/>
    <x v="1"/>
    <s v="Company"/>
    <s v="GS"/>
    <d v="1899-12-30T09:02:17"/>
    <d v="1899-12-30T21:01:44"/>
    <n v="11.99"/>
    <s v="-00:02:17"/>
    <n v="0"/>
    <s v="03:31:44"/>
    <n v="3.53"/>
    <n v="3.53"/>
    <x v="18"/>
    <s v="P"/>
    <d v="2026-07-29T00:00:00"/>
    <n v="1"/>
    <n v="1"/>
    <n v="0"/>
    <n v="0"/>
    <n v="0"/>
  </r>
  <r>
    <x v="18"/>
    <n v="25.5"/>
    <n v="1.5"/>
    <n v="0"/>
    <n v="0"/>
    <s v="16, 19, 26"/>
    <x v="29"/>
    <s v="M Siva Kumar"/>
    <x v="1"/>
    <s v="Company"/>
    <s v="GS"/>
    <d v="1899-12-30T09:10:47"/>
    <d v="1899-12-30T23:32:27"/>
    <n v="14.36"/>
    <s v="-00:10:47"/>
    <n v="0"/>
    <s v="06:02:27"/>
    <n v="6.04"/>
    <n v="6.04"/>
    <x v="18"/>
    <s v="P"/>
    <d v="2026-07-30T00:00:00"/>
    <n v="1"/>
    <n v="1"/>
    <n v="0"/>
    <n v="0"/>
    <n v="0"/>
  </r>
  <r>
    <x v="18"/>
    <n v="25.5"/>
    <n v="1.5"/>
    <n v="0"/>
    <n v="0"/>
    <s v="16, 19, 26"/>
    <x v="30"/>
    <s v="M Siva Kumar"/>
    <x v="1"/>
    <s v="Company"/>
    <s v="GS"/>
    <d v="1899-12-30T09:22:28"/>
    <d v="1899-12-30T23:05:19"/>
    <n v="13.71"/>
    <s v="-00:22:28"/>
    <n v="0"/>
    <s v="05:35:19"/>
    <n v="5.59"/>
    <n v="5.59"/>
    <x v="18"/>
    <s v="P"/>
    <d v="2026-07-31T00:00:00"/>
    <n v="1"/>
    <n v="1"/>
    <n v="0"/>
    <n v="0"/>
    <n v="0"/>
  </r>
  <r>
    <x v="19"/>
    <n v="27"/>
    <n v="0"/>
    <n v="0"/>
    <n v="0"/>
    <s v="26"/>
    <x v="0"/>
    <s v="YELLAPPAN"/>
    <x v="1"/>
    <s v="Helper"/>
    <s v="GS"/>
    <d v="1899-12-30T08:58:31"/>
    <d v="1899-12-30T17:33:26"/>
    <n v="8.58"/>
    <s v="00:01:29"/>
    <n v="0"/>
    <s v="00:03:26"/>
    <n v="0"/>
    <n v="0"/>
    <x v="19"/>
    <s v="P"/>
    <d v="2026-07-01T00:00:00"/>
    <n v="1"/>
    <n v="1"/>
    <n v="0"/>
    <n v="0"/>
    <n v="0"/>
  </r>
  <r>
    <x v="19"/>
    <n v="27"/>
    <n v="0"/>
    <n v="0"/>
    <n v="0"/>
    <s v="26"/>
    <x v="1"/>
    <s v="YELLAPPAN"/>
    <x v="1"/>
    <s v="Helper"/>
    <s v="GS"/>
    <d v="1899-12-30T09:02:09"/>
    <d v="1899-12-30T17:27:54"/>
    <n v="8.43"/>
    <s v="-00:02:09"/>
    <n v="0"/>
    <s v="-00:02:06"/>
    <n v="0"/>
    <n v="0"/>
    <x v="19"/>
    <s v="P"/>
    <d v="2026-07-02T00:00:00"/>
    <n v="1"/>
    <n v="1"/>
    <n v="0"/>
    <n v="0"/>
    <n v="0"/>
  </r>
  <r>
    <x v="19"/>
    <n v="27"/>
    <n v="0"/>
    <n v="0"/>
    <n v="0"/>
    <s v="26"/>
    <x v="2"/>
    <s v="YELLAPPAN"/>
    <x v="1"/>
    <s v="Helper"/>
    <s v="GS"/>
    <d v="1899-12-30T09:09:12"/>
    <d v="1899-12-30T17:31:07"/>
    <n v="8.3699999999999992"/>
    <s v="-00:09:12"/>
    <n v="0"/>
    <s v="00:01:07"/>
    <n v="0"/>
    <n v="0"/>
    <x v="19"/>
    <s v="P"/>
    <d v="2026-07-03T00:00:00"/>
    <n v="1"/>
    <n v="1"/>
    <n v="0"/>
    <n v="0"/>
    <n v="0"/>
  </r>
  <r>
    <x v="19"/>
    <n v="27"/>
    <n v="0"/>
    <n v="0"/>
    <n v="0"/>
    <s v="26"/>
    <x v="3"/>
    <s v="YELLAPPAN"/>
    <x v="1"/>
    <s v="Helper"/>
    <s v="GS"/>
    <d v="1899-12-30T09:20:31"/>
    <d v="1899-12-30T17:29:32"/>
    <n v="8.15"/>
    <s v="-00:20:31"/>
    <n v="0"/>
    <s v="-00:00:28"/>
    <n v="0"/>
    <n v="0"/>
    <x v="19"/>
    <s v="P"/>
    <d v="2026-07-04T00:00:00"/>
    <n v="1"/>
    <n v="1"/>
    <n v="0"/>
    <n v="0"/>
    <n v="0"/>
  </r>
  <r>
    <x v="19"/>
    <n v="27"/>
    <n v="0"/>
    <n v="0"/>
    <n v="0"/>
    <s v="26"/>
    <x v="4"/>
    <s v="YELLAPPAN"/>
    <x v="1"/>
    <s v="Helper"/>
    <s v="GS"/>
    <d v="1899-12-30T09:00:00"/>
    <d v="1899-12-30T12:32:00"/>
    <n v="3.53"/>
    <s v="00:00:00"/>
    <n v="0"/>
    <s v="-04:58:00"/>
    <n v="0"/>
    <n v="0"/>
    <x v="19"/>
    <s v="H"/>
    <d v="2026-07-05T00:00:00"/>
    <n v="0.5"/>
    <n v="0"/>
    <n v="0.5"/>
    <n v="0"/>
    <n v="0"/>
  </r>
  <r>
    <x v="19"/>
    <n v="27"/>
    <n v="0"/>
    <n v="0"/>
    <n v="0"/>
    <s v="26"/>
    <x v="5"/>
    <s v="YELLAPPAN"/>
    <x v="1"/>
    <s v="Helper"/>
    <s v="GS"/>
    <d v="1899-12-30T09:06:02"/>
    <d v="1899-12-30T18:26:47"/>
    <n v="9.35"/>
    <s v="-00:06:02"/>
    <n v="0"/>
    <s v="00:56:47"/>
    <n v="0.95"/>
    <n v="0.95"/>
    <x v="19"/>
    <s v="P"/>
    <d v="2026-07-06T00:00:00"/>
    <n v="1"/>
    <n v="1"/>
    <n v="0"/>
    <n v="0"/>
    <n v="0"/>
  </r>
  <r>
    <x v="19"/>
    <n v="27"/>
    <n v="0"/>
    <n v="0"/>
    <n v="0"/>
    <s v="26"/>
    <x v="6"/>
    <s v="YELLAPPAN"/>
    <x v="1"/>
    <s v="Helper"/>
    <s v="GS"/>
    <d v="1899-12-30T09:07:00"/>
    <d v="1899-12-30T20:25:03"/>
    <n v="11.3"/>
    <s v="-00:07:00"/>
    <n v="0"/>
    <s v="02:55:03"/>
    <n v="2.92"/>
    <n v="2.92"/>
    <x v="19"/>
    <s v="P"/>
    <d v="2026-07-07T00:00:00"/>
    <n v="1"/>
    <n v="1"/>
    <n v="0"/>
    <n v="0"/>
    <n v="0"/>
  </r>
  <r>
    <x v="19"/>
    <n v="27"/>
    <n v="0"/>
    <n v="0"/>
    <n v="0"/>
    <s v="26"/>
    <x v="7"/>
    <s v="YELLAPPAN"/>
    <x v="1"/>
    <s v="Helper"/>
    <s v="GS"/>
    <d v="1899-12-30T09:57:09"/>
    <d v="1899-12-30T00:28:27"/>
    <n v="14.52"/>
    <s v="-00:57:09"/>
    <n v="0"/>
    <s v="-17:01:33"/>
    <n v="0"/>
    <n v="0"/>
    <x v="19"/>
    <s v="P"/>
    <d v="2026-07-08T00:00:00"/>
    <n v="1"/>
    <n v="1"/>
    <n v="0"/>
    <n v="0"/>
    <n v="0"/>
  </r>
  <r>
    <x v="19"/>
    <n v="27"/>
    <n v="0"/>
    <n v="0"/>
    <n v="0"/>
    <s v="26"/>
    <x v="8"/>
    <s v="YELLAPPAN"/>
    <x v="1"/>
    <s v="Helper"/>
    <s v="GS"/>
    <d v="1899-12-30T09:19:33"/>
    <d v="1899-12-30T18:26:29"/>
    <n v="9.1199999999999992"/>
    <s v="-00:19:33"/>
    <n v="0"/>
    <s v="00:56:29"/>
    <n v="0.94"/>
    <n v="0.94"/>
    <x v="19"/>
    <s v="P"/>
    <d v="2026-07-09T00:00:00"/>
    <n v="1"/>
    <n v="1"/>
    <n v="0"/>
    <n v="0"/>
    <n v="0"/>
  </r>
  <r>
    <x v="19"/>
    <n v="27"/>
    <n v="0"/>
    <n v="0"/>
    <n v="0"/>
    <s v="26"/>
    <x v="9"/>
    <s v="YELLAPPAN"/>
    <x v="1"/>
    <s v="Helper"/>
    <s v="GS"/>
    <d v="1899-12-30T09:00:54"/>
    <d v="1899-12-30T23:54:30"/>
    <n v="14.89"/>
    <s v="-00:00:54"/>
    <n v="0"/>
    <s v="06:24:30"/>
    <n v="6.41"/>
    <n v="6.41"/>
    <x v="19"/>
    <s v="P"/>
    <d v="2026-07-10T00:00:00"/>
    <n v="1"/>
    <n v="1"/>
    <n v="0"/>
    <n v="0"/>
    <n v="0"/>
  </r>
  <r>
    <x v="19"/>
    <n v="27"/>
    <n v="0"/>
    <n v="0"/>
    <n v="0"/>
    <s v="26"/>
    <x v="10"/>
    <s v="YELLAPPAN"/>
    <x v="1"/>
    <s v="Helper"/>
    <s v="GS"/>
    <d v="1899-12-30T08:56:15"/>
    <d v="1899-12-30T20:01:50"/>
    <n v="11.09"/>
    <s v="00:03:45"/>
    <n v="0"/>
    <s v="02:31:50"/>
    <n v="2.5299999999999998"/>
    <n v="2.5299999999999998"/>
    <x v="19"/>
    <s v="P"/>
    <d v="2026-07-11T00:00:00"/>
    <n v="1"/>
    <n v="1"/>
    <n v="0"/>
    <n v="0"/>
    <n v="0"/>
  </r>
  <r>
    <x v="19"/>
    <n v="27"/>
    <n v="0"/>
    <n v="0"/>
    <n v="0"/>
    <s v="26"/>
    <x v="11"/>
    <s v="YELLAPPAN"/>
    <x v="1"/>
    <s v="Helper"/>
    <s v="GS"/>
    <d v="1899-12-30T09:11:53"/>
    <d v="1899-12-30T16:31:57"/>
    <n v="7.33"/>
    <s v="-00:11:53"/>
    <n v="0"/>
    <s v="-00:58:03"/>
    <n v="0"/>
    <n v="0"/>
    <x v="19"/>
    <s v="P"/>
    <d v="2026-07-12T00:00:00"/>
    <n v="1"/>
    <n v="0"/>
    <n v="1"/>
    <n v="0"/>
    <n v="0"/>
  </r>
  <r>
    <x v="19"/>
    <n v="27"/>
    <n v="0"/>
    <n v="0"/>
    <n v="0"/>
    <s v="26"/>
    <x v="12"/>
    <s v="YELLAPPAN"/>
    <x v="1"/>
    <s v="Helper"/>
    <s v="GS"/>
    <d v="1899-12-30T09:07:13"/>
    <d v="1899-12-30T19:12:19"/>
    <n v="10.08"/>
    <s v="-00:07:13"/>
    <n v="0"/>
    <s v="01:42:19"/>
    <n v="1.71"/>
    <n v="1.71"/>
    <x v="19"/>
    <s v="P"/>
    <d v="2026-07-13T00:00:00"/>
    <n v="1"/>
    <n v="1"/>
    <n v="0"/>
    <n v="0"/>
    <n v="0"/>
  </r>
  <r>
    <x v="19"/>
    <n v="27"/>
    <n v="0"/>
    <n v="0"/>
    <n v="0"/>
    <s v="26"/>
    <x v="13"/>
    <s v="YELLAPPAN"/>
    <x v="1"/>
    <s v="Helper"/>
    <s v="GS"/>
    <d v="1899-12-30T08:58:23"/>
    <d v="1899-12-30T19:50:53"/>
    <n v="10.88"/>
    <s v="00:01:37"/>
    <n v="0"/>
    <s v="02:20:53"/>
    <n v="2.35"/>
    <n v="2.35"/>
    <x v="19"/>
    <s v="P"/>
    <d v="2026-07-14T00:00:00"/>
    <n v="1"/>
    <n v="1"/>
    <n v="0"/>
    <n v="0"/>
    <n v="0"/>
  </r>
  <r>
    <x v="19"/>
    <n v="27"/>
    <n v="0"/>
    <n v="0"/>
    <n v="0"/>
    <s v="26"/>
    <x v="14"/>
    <s v="YELLAPPAN"/>
    <x v="1"/>
    <s v="Helper"/>
    <s v="GS"/>
    <d v="1899-12-30T09:01:08"/>
    <d v="1899-12-30T18:30:34"/>
    <n v="9.49"/>
    <s v="-00:01:08"/>
    <n v="0"/>
    <s v="01:00:34"/>
    <n v="1.01"/>
    <n v="1.01"/>
    <x v="19"/>
    <s v="P"/>
    <d v="2026-07-15T00:00:00"/>
    <n v="1"/>
    <n v="1"/>
    <n v="0"/>
    <n v="0"/>
    <n v="0"/>
  </r>
  <r>
    <x v="19"/>
    <n v="27"/>
    <n v="0"/>
    <n v="0"/>
    <n v="0"/>
    <s v="26"/>
    <x v="15"/>
    <s v="YELLAPPAN"/>
    <x v="1"/>
    <s v="Helper"/>
    <s v="GS"/>
    <d v="1899-12-30T09:06:54"/>
    <d v="1899-12-30T20:32:38"/>
    <n v="11.43"/>
    <s v="-00:06:54"/>
    <n v="0"/>
    <s v="03:02:38"/>
    <n v="3.04"/>
    <n v="3.04"/>
    <x v="19"/>
    <s v="P"/>
    <d v="2026-07-16T00:00:00"/>
    <n v="1"/>
    <n v="1"/>
    <n v="0"/>
    <n v="0"/>
    <n v="0"/>
  </r>
  <r>
    <x v="19"/>
    <n v="27"/>
    <n v="0"/>
    <n v="0"/>
    <n v="0"/>
    <s v="26"/>
    <x v="16"/>
    <s v="YELLAPPAN"/>
    <x v="1"/>
    <s v="Helper"/>
    <s v="GS"/>
    <d v="1899-12-30T09:01:23"/>
    <d v="1899-12-30T18:27:18"/>
    <n v="9.43"/>
    <s v="-00:01:23"/>
    <n v="0"/>
    <s v="00:57:18"/>
    <n v="0.96"/>
    <n v="0.96"/>
    <x v="19"/>
    <s v="P"/>
    <d v="2026-07-17T00:00:00"/>
    <n v="1"/>
    <n v="1"/>
    <n v="0"/>
    <n v="0"/>
    <n v="0"/>
  </r>
  <r>
    <x v="19"/>
    <n v="27"/>
    <n v="0"/>
    <n v="0"/>
    <n v="0"/>
    <s v="26"/>
    <x v="17"/>
    <s v="YELLAPPAN"/>
    <x v="1"/>
    <s v="Helper"/>
    <s v="GS"/>
    <d v="1899-12-30T08:59:02"/>
    <d v="1899-12-30T17:36:26"/>
    <n v="8.6199999999999992"/>
    <s v="00:00:58"/>
    <n v="0"/>
    <s v="00:06:26"/>
    <n v="0"/>
    <n v="0"/>
    <x v="19"/>
    <s v="P"/>
    <d v="2026-07-18T00:00:00"/>
    <n v="1"/>
    <n v="1"/>
    <n v="0"/>
    <n v="0"/>
    <n v="0"/>
  </r>
  <r>
    <x v="19"/>
    <n v="27"/>
    <n v="0"/>
    <n v="0"/>
    <n v="0"/>
    <s v="26"/>
    <x v="18"/>
    <s v="YELLAPPAN"/>
    <x v="1"/>
    <s v="Helper"/>
    <s v="GS"/>
    <d v="1899-12-30T09:12:38"/>
    <d v="1899-12-30T16:35:08"/>
    <n v="7.38"/>
    <s v="-00:12:38"/>
    <n v="0"/>
    <s v="-00:54:52"/>
    <n v="0"/>
    <n v="0"/>
    <x v="19"/>
    <s v="P"/>
    <d v="2026-07-19T00:00:00"/>
    <n v="1"/>
    <n v="0"/>
    <n v="1"/>
    <n v="0"/>
    <n v="0"/>
  </r>
  <r>
    <x v="19"/>
    <n v="27"/>
    <n v="0"/>
    <n v="0"/>
    <n v="0"/>
    <s v="26"/>
    <x v="19"/>
    <s v="YELLAPPAN"/>
    <x v="1"/>
    <s v="Helper"/>
    <s v="GS"/>
    <d v="1899-12-30T09:13:42"/>
    <d v="1899-12-30T19:30:32"/>
    <n v="10.28"/>
    <s v="-00:13:42"/>
    <n v="0"/>
    <s v="02:00:32"/>
    <n v="2.0099999999999998"/>
    <n v="2.0099999999999998"/>
    <x v="19"/>
    <s v="P"/>
    <d v="2026-07-20T00:00:00"/>
    <n v="1"/>
    <n v="1"/>
    <n v="0"/>
    <n v="0"/>
    <n v="0"/>
  </r>
  <r>
    <x v="19"/>
    <n v="27"/>
    <n v="0"/>
    <n v="0"/>
    <n v="0"/>
    <s v="26"/>
    <x v="20"/>
    <s v="YELLAPPAN"/>
    <x v="1"/>
    <s v="Helper"/>
    <s v="GS"/>
    <d v="1899-12-30T09:02:21"/>
    <d v="1899-12-30T00:00:00"/>
    <n v="14.96"/>
    <s v="-00:02:21"/>
    <n v="0"/>
    <s v="-17:30:00"/>
    <n v="0"/>
    <n v="0"/>
    <x v="19"/>
    <s v="P"/>
    <d v="2026-07-21T00:00:00"/>
    <n v="1"/>
    <n v="1"/>
    <n v="0"/>
    <n v="0"/>
    <n v="0"/>
  </r>
  <r>
    <x v="19"/>
    <n v="27"/>
    <n v="0"/>
    <n v="0"/>
    <n v="0"/>
    <s v="26"/>
    <x v="21"/>
    <s v="YELLAPPAN"/>
    <x v="1"/>
    <s v="Helper"/>
    <s v="GS"/>
    <d v="1899-12-30T08:58:54"/>
    <d v="1899-12-30T18:27:10"/>
    <n v="9.4700000000000006"/>
    <s v="00:01:06"/>
    <n v="0"/>
    <s v="00:57:10"/>
    <n v="0.95"/>
    <n v="0.95"/>
    <x v="19"/>
    <s v="P"/>
    <d v="2026-07-22T00:00:00"/>
    <n v="1"/>
    <n v="1"/>
    <n v="0"/>
    <n v="0"/>
    <n v="0"/>
  </r>
  <r>
    <x v="19"/>
    <n v="27"/>
    <n v="0"/>
    <n v="0"/>
    <n v="0"/>
    <s v="26"/>
    <x v="22"/>
    <s v="YELLAPPAN"/>
    <x v="1"/>
    <s v="Helper"/>
    <s v="GS"/>
    <d v="1899-12-30T09:03:08"/>
    <d v="1899-12-30T18:26:52"/>
    <n v="9.4"/>
    <s v="-00:03:08"/>
    <n v="0"/>
    <s v="00:56:52"/>
    <n v="0.95"/>
    <n v="0.95"/>
    <x v="19"/>
    <s v="P"/>
    <d v="2026-07-23T00:00:00"/>
    <n v="1"/>
    <n v="1"/>
    <n v="0"/>
    <n v="0"/>
    <n v="0"/>
  </r>
  <r>
    <x v="19"/>
    <n v="27"/>
    <n v="0"/>
    <n v="0"/>
    <n v="0"/>
    <s v="26"/>
    <x v="23"/>
    <s v="YELLAPPAN"/>
    <x v="1"/>
    <s v="Helper"/>
    <s v="GS"/>
    <d v="1899-12-30T09:30:05"/>
    <d v="1899-12-30T19:26:53"/>
    <n v="9.9499999999999993"/>
    <s v="-00:30:05"/>
    <n v="0"/>
    <s v="01:56:53"/>
    <n v="1.95"/>
    <n v="1.95"/>
    <x v="19"/>
    <s v="P"/>
    <d v="2026-07-24T00:00:00"/>
    <n v="1"/>
    <n v="1"/>
    <n v="0"/>
    <n v="0"/>
    <n v="0"/>
  </r>
  <r>
    <x v="19"/>
    <n v="27"/>
    <n v="0"/>
    <n v="0"/>
    <n v="0"/>
    <s v="26"/>
    <x v="24"/>
    <s v="YELLAPPAN"/>
    <x v="1"/>
    <s v="Helper"/>
    <s v="GS"/>
    <d v="1899-12-30T09:03:51"/>
    <d v="1899-12-30T18:57:34"/>
    <n v="9.9"/>
    <s v="-00:03:51"/>
    <n v="0"/>
    <s v="01:27:34"/>
    <n v="1.46"/>
    <n v="1.46"/>
    <x v="19"/>
    <s v="P"/>
    <d v="2026-07-25T00:00:00"/>
    <n v="1"/>
    <n v="1"/>
    <n v="0"/>
    <n v="0"/>
    <n v="0"/>
  </r>
  <r>
    <x v="19"/>
    <n v="27"/>
    <n v="0"/>
    <n v="0"/>
    <n v="0"/>
    <s v="26"/>
    <x v="25"/>
    <s v="YELLAPPAN"/>
    <x v="1"/>
    <s v="Helper"/>
    <s v="NA"/>
    <d v="1899-12-30T00:00:00"/>
    <d v="1899-12-30T00:00:00"/>
    <n v="0"/>
    <s v="09:00:00"/>
    <n v="9"/>
    <s v="-17:30:00"/>
    <n v="0"/>
    <n v="9"/>
    <x v="19"/>
    <s v="A"/>
    <d v="2026-07-26T00:00:00"/>
    <n v="0"/>
    <n v="0"/>
    <n v="0"/>
    <n v="0"/>
    <n v="0"/>
  </r>
  <r>
    <x v="19"/>
    <n v="27"/>
    <n v="0"/>
    <n v="0"/>
    <n v="0"/>
    <s v="26"/>
    <x v="26"/>
    <s v="YELLAPPAN"/>
    <x v="1"/>
    <s v="Helper"/>
    <s v="GS"/>
    <d v="1899-12-30T08:55:14"/>
    <d v="1899-12-30T18:27:24"/>
    <n v="9.5399999999999991"/>
    <s v="00:04:46"/>
    <n v="0"/>
    <s v="00:57:24"/>
    <n v="0.96"/>
    <n v="0.96"/>
    <x v="19"/>
    <s v="P"/>
    <d v="2026-07-27T00:00:00"/>
    <n v="1"/>
    <n v="1"/>
    <n v="0"/>
    <n v="0"/>
    <n v="0"/>
  </r>
  <r>
    <x v="19"/>
    <n v="27"/>
    <n v="0"/>
    <n v="0"/>
    <n v="0"/>
    <s v="26"/>
    <x v="27"/>
    <s v="YELLAPPAN"/>
    <x v="1"/>
    <s v="Helper"/>
    <s v="GS"/>
    <d v="1899-12-30T08:55:36"/>
    <d v="1899-12-30T20:23:11"/>
    <n v="11.46"/>
    <s v="00:04:24"/>
    <n v="0"/>
    <s v="02:53:11"/>
    <n v="2.89"/>
    <n v="2.89"/>
    <x v="19"/>
    <s v="P"/>
    <d v="2026-07-28T00:00:00"/>
    <n v="1"/>
    <n v="1"/>
    <n v="0"/>
    <n v="0"/>
    <n v="0"/>
  </r>
  <r>
    <x v="19"/>
    <n v="27"/>
    <n v="0"/>
    <n v="0"/>
    <n v="0"/>
    <s v="26"/>
    <x v="28"/>
    <s v="YELLAPPAN"/>
    <x v="1"/>
    <s v="Helper"/>
    <s v="GS"/>
    <d v="1899-12-30T09:01:42"/>
    <d v="1899-12-30T20:57:02"/>
    <n v="11.92"/>
    <s v="-00:01:42"/>
    <n v="0"/>
    <s v="03:27:02"/>
    <n v="3.45"/>
    <n v="3.45"/>
    <x v="19"/>
    <s v="P"/>
    <d v="2026-07-29T00:00:00"/>
    <n v="1"/>
    <n v="1"/>
    <n v="0"/>
    <n v="0"/>
    <n v="0"/>
  </r>
  <r>
    <x v="19"/>
    <n v="27"/>
    <n v="0"/>
    <n v="0"/>
    <n v="0"/>
    <s v="26"/>
    <x v="29"/>
    <s v="YELLAPPAN"/>
    <x v="1"/>
    <s v="Helper"/>
    <s v="GS"/>
    <d v="1899-12-30T09:11:40"/>
    <d v="1899-12-30T23:33:32"/>
    <n v="14.36"/>
    <s v="-00:11:40"/>
    <n v="0"/>
    <s v="06:03:32"/>
    <n v="6.06"/>
    <n v="6.06"/>
    <x v="19"/>
    <s v="P"/>
    <d v="2026-07-30T00:00:00"/>
    <n v="1"/>
    <n v="1"/>
    <n v="0"/>
    <n v="0"/>
    <n v="0"/>
  </r>
  <r>
    <x v="19"/>
    <n v="27"/>
    <n v="0"/>
    <n v="0"/>
    <n v="0"/>
    <s v="26"/>
    <x v="30"/>
    <s v="YELLAPPAN"/>
    <x v="1"/>
    <s v="Helper"/>
    <s v="GS"/>
    <d v="1899-12-30T09:21:19"/>
    <d v="1899-12-30T23:06:54"/>
    <n v="13.76"/>
    <s v="-00:21:19"/>
    <n v="0"/>
    <s v="05:36:54"/>
    <n v="5.62"/>
    <n v="5.62"/>
    <x v="19"/>
    <s v="P"/>
    <d v="2026-07-31T00:00:00"/>
    <n v="1"/>
    <n v="1"/>
    <n v="0"/>
    <n v="0"/>
    <n v="0"/>
  </r>
  <r>
    <x v="20"/>
    <n v="24"/>
    <n v="3"/>
    <n v="0"/>
    <n v="0"/>
    <s v="2, 5, 12, 25, 26, 27"/>
    <x v="0"/>
    <s v="ANUSHA"/>
    <x v="2"/>
    <s v="Company"/>
    <s v="GS"/>
    <d v="1899-12-30T08:52:05"/>
    <d v="1899-12-30T17:27:36"/>
    <n v="8.59"/>
    <s v="00:07:55"/>
    <n v="0"/>
    <s v="-00:02:24"/>
    <n v="0"/>
    <n v="0"/>
    <x v="20"/>
    <s v="P"/>
    <d v="2026-07-01T00:00:00"/>
    <n v="1"/>
    <n v="1"/>
    <n v="0"/>
    <n v="0"/>
    <n v="0"/>
  </r>
  <r>
    <x v="20"/>
    <n v="24"/>
    <n v="3"/>
    <n v="0"/>
    <n v="0"/>
    <s v="2, 5, 12, 25, 26, 27"/>
    <x v="1"/>
    <s v="ANUSHA"/>
    <x v="2"/>
    <s v="Company"/>
    <s v="NA"/>
    <d v="1899-12-30T00:00:00"/>
    <d v="1899-12-30T00:00:00"/>
    <n v="0"/>
    <s v="09:00:00"/>
    <n v="9"/>
    <s v="-17:30:00"/>
    <n v="0"/>
    <n v="9"/>
    <x v="20"/>
    <s v="A"/>
    <d v="2026-07-02T00:00:00"/>
    <n v="0"/>
    <n v="0"/>
    <n v="0"/>
    <n v="0"/>
    <n v="0"/>
  </r>
  <r>
    <x v="20"/>
    <n v="24"/>
    <n v="3"/>
    <n v="0"/>
    <n v="0"/>
    <s v="2, 5, 12, 25, 26, 27"/>
    <x v="2"/>
    <s v="ANUSHA"/>
    <x v="2"/>
    <s v="Company"/>
    <s v="GS"/>
    <d v="1899-12-30T08:57:09"/>
    <d v="1899-12-30T17:28:39"/>
    <n v="8.52"/>
    <s v="00:02:51"/>
    <n v="0"/>
    <s v="-00:01:21"/>
    <n v="0"/>
    <n v="0"/>
    <x v="20"/>
    <s v="P"/>
    <d v="2026-07-03T00:00:00"/>
    <n v="1"/>
    <n v="1"/>
    <n v="0"/>
    <n v="0"/>
    <n v="0"/>
  </r>
  <r>
    <x v="20"/>
    <n v="24"/>
    <n v="3"/>
    <n v="0"/>
    <n v="0"/>
    <s v="2, 5, 12, 25, 26, 27"/>
    <x v="3"/>
    <s v="ANUSHA"/>
    <x v="2"/>
    <s v="Company"/>
    <s v="GS"/>
    <d v="1899-12-30T08:55:48"/>
    <d v="1899-12-30T17:26:19"/>
    <n v="8.51"/>
    <s v="00:04:12"/>
    <n v="0"/>
    <s v="-00:03:41"/>
    <n v="0"/>
    <n v="0"/>
    <x v="20"/>
    <s v="P"/>
    <d v="2026-07-04T00:00:00"/>
    <n v="1"/>
    <n v="1"/>
    <n v="0"/>
    <n v="0"/>
    <n v="0"/>
  </r>
  <r>
    <x v="20"/>
    <n v="24"/>
    <n v="3"/>
    <n v="0"/>
    <n v="0"/>
    <s v="2, 5, 12, 25, 26, 27"/>
    <x v="4"/>
    <s v="ANUSHA"/>
    <x v="2"/>
    <s v="Company"/>
    <s v="NA"/>
    <d v="1899-12-30T00:00:00"/>
    <d v="1899-12-30T00:00:00"/>
    <n v="0"/>
    <s v="09:00:00"/>
    <n v="9"/>
    <s v="-17:30:00"/>
    <n v="0"/>
    <n v="9"/>
    <x v="20"/>
    <s v="A"/>
    <d v="2026-07-05T00:00:00"/>
    <n v="0"/>
    <n v="0"/>
    <n v="0"/>
    <n v="0"/>
    <n v="0"/>
  </r>
  <r>
    <x v="20"/>
    <n v="24"/>
    <n v="3"/>
    <n v="0"/>
    <n v="0"/>
    <s v="2, 5, 12, 25, 26, 27"/>
    <x v="5"/>
    <s v="ANUSHA"/>
    <x v="2"/>
    <s v="Company"/>
    <s v="GS"/>
    <d v="1899-12-30T08:51:31"/>
    <d v="1899-12-30T18:27:08"/>
    <n v="9.59"/>
    <s v="00:08:29"/>
    <n v="0"/>
    <s v="00:57:08"/>
    <n v="0.95"/>
    <n v="0.95"/>
    <x v="20"/>
    <s v="P"/>
    <d v="2026-07-06T00:00:00"/>
    <n v="1"/>
    <n v="1"/>
    <n v="0"/>
    <n v="0"/>
    <n v="0"/>
  </r>
  <r>
    <x v="20"/>
    <n v="24"/>
    <n v="3"/>
    <n v="0"/>
    <n v="0"/>
    <s v="2, 5, 12, 25, 26, 27"/>
    <x v="6"/>
    <s v="ANUSHA"/>
    <x v="2"/>
    <s v="Company"/>
    <s v="GS"/>
    <d v="1899-12-30T08:53:20"/>
    <d v="1899-12-30T18:25:59"/>
    <n v="9.5399999999999991"/>
    <s v="00:06:40"/>
    <n v="0"/>
    <s v="00:55:59"/>
    <n v="0.93"/>
    <n v="0.93"/>
    <x v="20"/>
    <s v="P"/>
    <d v="2026-07-07T00:00:00"/>
    <n v="1"/>
    <n v="1"/>
    <n v="0"/>
    <n v="0"/>
    <n v="0"/>
  </r>
  <r>
    <x v="20"/>
    <n v="24"/>
    <n v="3"/>
    <n v="0"/>
    <n v="0"/>
    <s v="2, 5, 12, 25, 26, 27"/>
    <x v="7"/>
    <s v="ANUSHA"/>
    <x v="2"/>
    <s v="Company"/>
    <s v="GS"/>
    <d v="1899-12-30T08:56:18"/>
    <d v="1899-12-30T18:27:17"/>
    <n v="9.52"/>
    <s v="00:03:42"/>
    <n v="0"/>
    <s v="00:57:17"/>
    <n v="0.95"/>
    <n v="0.95"/>
    <x v="20"/>
    <s v="P"/>
    <d v="2026-07-08T00:00:00"/>
    <n v="1"/>
    <n v="1"/>
    <n v="0"/>
    <n v="0"/>
    <n v="0"/>
  </r>
  <r>
    <x v="20"/>
    <n v="24"/>
    <n v="3"/>
    <n v="0"/>
    <n v="0"/>
    <s v="2, 5, 12, 25, 26, 27"/>
    <x v="8"/>
    <s v="ANUSHA"/>
    <x v="2"/>
    <s v="Company"/>
    <s v="GS"/>
    <d v="1899-12-30T08:50:43"/>
    <d v="1899-12-30T18:26:08"/>
    <n v="9.59"/>
    <s v="00:09:17"/>
    <n v="0"/>
    <s v="00:56:08"/>
    <n v="0.94"/>
    <n v="0.94"/>
    <x v="20"/>
    <s v="P"/>
    <d v="2026-07-09T00:00:00"/>
    <n v="1"/>
    <n v="1"/>
    <n v="0"/>
    <n v="0"/>
    <n v="0"/>
  </r>
  <r>
    <x v="20"/>
    <n v="24"/>
    <n v="3"/>
    <n v="0"/>
    <n v="0"/>
    <s v="2, 5, 12, 25, 26, 27"/>
    <x v="9"/>
    <s v="ANUSHA"/>
    <x v="2"/>
    <s v="Company"/>
    <s v="GS"/>
    <d v="1899-12-30T08:57:53"/>
    <d v="1899-12-30T18:26:00"/>
    <n v="9.4700000000000006"/>
    <s v="00:02:07"/>
    <n v="0"/>
    <s v="00:56:00"/>
    <n v="0.93"/>
    <n v="0.93"/>
    <x v="20"/>
    <s v="P"/>
    <d v="2026-07-10T00:00:00"/>
    <n v="1"/>
    <n v="1"/>
    <n v="0"/>
    <n v="0"/>
    <n v="0"/>
  </r>
  <r>
    <x v="20"/>
    <n v="24"/>
    <n v="3"/>
    <n v="0"/>
    <n v="0"/>
    <s v="2, 5, 12, 25, 26, 27"/>
    <x v="10"/>
    <s v="ANUSHA"/>
    <x v="2"/>
    <s v="Company"/>
    <s v="GS"/>
    <d v="1899-12-30T09:00:29"/>
    <d v="1899-12-30T18:26:30"/>
    <n v="9.43"/>
    <s v="-00:00:29"/>
    <n v="0"/>
    <s v="00:56:30"/>
    <n v="0.94"/>
    <n v="0.94"/>
    <x v="20"/>
    <s v="P"/>
    <d v="2026-07-11T00:00:00"/>
    <n v="1"/>
    <n v="1"/>
    <n v="0"/>
    <n v="0"/>
    <n v="0"/>
  </r>
  <r>
    <x v="20"/>
    <n v="24"/>
    <n v="3"/>
    <n v="0"/>
    <n v="0"/>
    <s v="2, 5, 12, 25, 26, 27"/>
    <x v="11"/>
    <s v="ANUSHA"/>
    <x v="2"/>
    <s v="Company"/>
    <s v="NA"/>
    <d v="1899-12-30T00:00:00"/>
    <d v="1899-12-30T00:00:00"/>
    <n v="0"/>
    <s v="09:00:00"/>
    <n v="9"/>
    <s v="-17:30:00"/>
    <n v="0"/>
    <n v="9"/>
    <x v="20"/>
    <s v="A"/>
    <d v="2026-07-12T00:00:00"/>
    <n v="0"/>
    <n v="0"/>
    <n v="0"/>
    <n v="0"/>
    <n v="0"/>
  </r>
  <r>
    <x v="20"/>
    <n v="24"/>
    <n v="3"/>
    <n v="0"/>
    <n v="0"/>
    <s v="2, 5, 12, 25, 26, 27"/>
    <x v="12"/>
    <s v="ANUSHA"/>
    <x v="2"/>
    <s v="Company"/>
    <s v="GS"/>
    <d v="1899-12-30T08:47:48"/>
    <d v="1899-12-30T18:27:33"/>
    <n v="9.66"/>
    <s v="00:12:12"/>
    <n v="0"/>
    <s v="00:57:33"/>
    <n v="0.96"/>
    <n v="0.96"/>
    <x v="20"/>
    <s v="P"/>
    <d v="2026-07-13T00:00:00"/>
    <n v="1"/>
    <n v="1"/>
    <n v="0"/>
    <n v="0"/>
    <n v="0"/>
  </r>
  <r>
    <x v="20"/>
    <n v="24"/>
    <n v="3"/>
    <n v="0"/>
    <n v="0"/>
    <s v="2, 5, 12, 25, 26, 27"/>
    <x v="13"/>
    <s v="ANUSHA"/>
    <x v="2"/>
    <s v="Company"/>
    <s v="GS"/>
    <d v="1899-12-30T08:55:35"/>
    <d v="1899-12-30T18:26:05"/>
    <n v="9.51"/>
    <s v="00:04:25"/>
    <n v="0"/>
    <s v="00:56:05"/>
    <n v="0.93"/>
    <n v="0.93"/>
    <x v="20"/>
    <s v="P"/>
    <d v="2026-07-14T00:00:00"/>
    <n v="1"/>
    <n v="1"/>
    <n v="0"/>
    <n v="0"/>
    <n v="0"/>
  </r>
  <r>
    <x v="20"/>
    <n v="24"/>
    <n v="3"/>
    <n v="0"/>
    <n v="0"/>
    <s v="2, 5, 12, 25, 26, 27"/>
    <x v="14"/>
    <s v="ANUSHA"/>
    <x v="2"/>
    <s v="Company"/>
    <s v="GS"/>
    <d v="1899-12-30T08:52:09"/>
    <d v="1899-12-30T18:26:45"/>
    <n v="9.58"/>
    <s v="00:07:51"/>
    <n v="0"/>
    <s v="00:56:45"/>
    <n v="0.95"/>
    <n v="0.95"/>
    <x v="20"/>
    <s v="P"/>
    <d v="2026-07-15T00:00:00"/>
    <n v="1"/>
    <n v="1"/>
    <n v="0"/>
    <n v="0"/>
    <n v="0"/>
  </r>
  <r>
    <x v="20"/>
    <n v="24"/>
    <n v="3"/>
    <n v="0"/>
    <n v="0"/>
    <s v="2, 5, 12, 25, 26, 27"/>
    <x v="15"/>
    <s v="ANUSHA"/>
    <x v="2"/>
    <s v="Company"/>
    <s v="GS"/>
    <d v="1899-12-30T08:53:30"/>
    <d v="1899-12-30T18:26:09"/>
    <n v="9.5399999999999991"/>
    <s v="00:06:30"/>
    <n v="0"/>
    <s v="00:56:09"/>
    <n v="0.94"/>
    <n v="0.94"/>
    <x v="20"/>
    <s v="P"/>
    <d v="2026-07-16T00:00:00"/>
    <n v="1"/>
    <n v="1"/>
    <n v="0"/>
    <n v="0"/>
    <n v="0"/>
  </r>
  <r>
    <x v="20"/>
    <n v="24"/>
    <n v="3"/>
    <n v="0"/>
    <n v="0"/>
    <s v="2, 5, 12, 25, 26, 27"/>
    <x v="16"/>
    <s v="ANUSHA"/>
    <x v="2"/>
    <s v="Company"/>
    <s v="GS"/>
    <d v="1899-12-30T11:55:49"/>
    <d v="1899-12-30T18:25:03"/>
    <n v="6.49"/>
    <s v="-02:55:49"/>
    <n v="0"/>
    <s v="00:55:03"/>
    <n v="0.92"/>
    <n v="0.92"/>
    <x v="20"/>
    <s v="P"/>
    <d v="2026-07-17T00:00:00"/>
    <n v="1"/>
    <n v="1"/>
    <n v="0"/>
    <n v="0"/>
    <n v="0"/>
  </r>
  <r>
    <x v="20"/>
    <n v="24"/>
    <n v="3"/>
    <n v="0"/>
    <n v="0"/>
    <s v="2, 5, 12, 25, 26, 27"/>
    <x v="17"/>
    <s v="ANUSHA"/>
    <x v="2"/>
    <s v="Company"/>
    <s v="GS"/>
    <d v="1899-12-30T08:58:16"/>
    <d v="1899-12-30T17:30:39"/>
    <n v="8.5399999999999991"/>
    <s v="00:01:44"/>
    <n v="0"/>
    <s v="00:00:39"/>
    <n v="0"/>
    <n v="0"/>
    <x v="20"/>
    <s v="P"/>
    <d v="2026-07-18T00:00:00"/>
    <n v="1"/>
    <n v="1"/>
    <n v="0"/>
    <n v="0"/>
    <n v="0"/>
  </r>
  <r>
    <x v="20"/>
    <n v="24"/>
    <n v="3"/>
    <n v="0"/>
    <n v="0"/>
    <s v="2, 5, 12, 25, 26, 27"/>
    <x v="18"/>
    <s v="ANUSHA"/>
    <x v="2"/>
    <s v="Company"/>
    <s v="GS"/>
    <d v="1899-12-30T08:58:49"/>
    <d v="1899-12-30T16:27:55"/>
    <n v="7.48"/>
    <s v="00:01:11"/>
    <n v="0"/>
    <s v="-01:02:05"/>
    <n v="0"/>
    <n v="0"/>
    <x v="20"/>
    <s v="P"/>
    <d v="2026-07-19T00:00:00"/>
    <n v="1"/>
    <n v="0"/>
    <n v="1"/>
    <n v="0"/>
    <n v="0"/>
  </r>
  <r>
    <x v="20"/>
    <n v="24"/>
    <n v="3"/>
    <n v="0"/>
    <n v="0"/>
    <s v="2, 5, 12, 25, 26, 27"/>
    <x v="19"/>
    <s v="ANUSHA"/>
    <x v="2"/>
    <s v="Company"/>
    <s v="GS"/>
    <d v="1899-12-30T08:56:36"/>
    <d v="1899-12-30T18:25:56"/>
    <n v="9.49"/>
    <s v="00:03:24"/>
    <n v="0"/>
    <s v="00:55:56"/>
    <n v="0.93"/>
    <n v="0.93"/>
    <x v="20"/>
    <s v="P"/>
    <d v="2026-07-20T00:00:00"/>
    <n v="1"/>
    <n v="1"/>
    <n v="0"/>
    <n v="0"/>
    <n v="0"/>
  </r>
  <r>
    <x v="20"/>
    <n v="24"/>
    <n v="3"/>
    <n v="0"/>
    <n v="0"/>
    <s v="2, 5, 12, 25, 26, 27"/>
    <x v="20"/>
    <s v="ANUSHA"/>
    <x v="2"/>
    <s v="Company"/>
    <s v="GS"/>
    <d v="1899-12-30T08:52:35"/>
    <d v="1899-12-30T17:28:20"/>
    <n v="8.6"/>
    <s v="00:07:25"/>
    <n v="0"/>
    <s v="-00:01:40"/>
    <n v="0"/>
    <n v="0"/>
    <x v="20"/>
    <s v="P"/>
    <d v="2026-07-21T00:00:00"/>
    <n v="1"/>
    <n v="1"/>
    <n v="0"/>
    <n v="0"/>
    <n v="0"/>
  </r>
  <r>
    <x v="20"/>
    <n v="24"/>
    <n v="3"/>
    <n v="0"/>
    <n v="0"/>
    <s v="2, 5, 12, 25, 26, 27"/>
    <x v="21"/>
    <s v="ANUSHA"/>
    <x v="2"/>
    <s v="Company"/>
    <s v="GS"/>
    <d v="1899-12-30T08:53:24"/>
    <d v="1899-12-30T18:26:13"/>
    <n v="9.5500000000000007"/>
    <s v="00:06:36"/>
    <n v="0"/>
    <s v="00:56:13"/>
    <n v="0.94"/>
    <n v="0.94"/>
    <x v="20"/>
    <s v="P"/>
    <d v="2026-07-22T00:00:00"/>
    <n v="1"/>
    <n v="1"/>
    <n v="0"/>
    <n v="0"/>
    <n v="0"/>
  </r>
  <r>
    <x v="20"/>
    <n v="24"/>
    <n v="3"/>
    <n v="0"/>
    <n v="0"/>
    <s v="2, 5, 12, 25, 26, 27"/>
    <x v="22"/>
    <s v="ANUSHA"/>
    <x v="2"/>
    <s v="Company"/>
    <s v="GS"/>
    <d v="1899-12-30T08:55:07"/>
    <d v="1899-12-30T17:32:36"/>
    <n v="8.6199999999999992"/>
    <s v="00:04:53"/>
    <n v="0"/>
    <s v="00:02:36"/>
    <n v="0"/>
    <n v="0"/>
    <x v="20"/>
    <s v="P"/>
    <d v="2026-07-23T00:00:00"/>
    <n v="1"/>
    <n v="1"/>
    <n v="0"/>
    <n v="0"/>
    <n v="0"/>
  </r>
  <r>
    <x v="20"/>
    <n v="24"/>
    <n v="3"/>
    <n v="0"/>
    <n v="0"/>
    <s v="2, 5, 12, 25, 26, 27"/>
    <x v="23"/>
    <s v="ANUSHA"/>
    <x v="2"/>
    <s v="Company"/>
    <s v="GS"/>
    <d v="1899-12-30T08:54:46"/>
    <d v="1899-12-30T18:28:55"/>
    <n v="9.57"/>
    <s v="00:05:14"/>
    <n v="0"/>
    <s v="00:58:55"/>
    <n v="0.98"/>
    <n v="0.98"/>
    <x v="20"/>
    <s v="P"/>
    <d v="2026-07-24T00:00:00"/>
    <n v="1"/>
    <n v="1"/>
    <n v="0"/>
    <n v="0"/>
    <n v="0"/>
  </r>
  <r>
    <x v="20"/>
    <n v="24"/>
    <n v="3"/>
    <n v="0"/>
    <n v="0"/>
    <s v="2, 5, 12, 25, 26, 27"/>
    <x v="24"/>
    <s v="ANUSHA"/>
    <x v="2"/>
    <s v="Company"/>
    <s v="NA"/>
    <d v="1899-12-30T00:00:00"/>
    <d v="1899-12-30T00:00:00"/>
    <n v="0"/>
    <s v="09:00:00"/>
    <n v="9"/>
    <s v="-17:30:00"/>
    <n v="0"/>
    <n v="9"/>
    <x v="20"/>
    <s v="A"/>
    <d v="2026-07-25T00:00:00"/>
    <n v="0"/>
    <n v="0"/>
    <n v="0"/>
    <n v="0"/>
    <n v="0"/>
  </r>
  <r>
    <x v="20"/>
    <n v="24"/>
    <n v="3"/>
    <n v="0"/>
    <n v="0"/>
    <s v="2, 5, 12, 25, 26, 27"/>
    <x v="25"/>
    <s v="ANUSHA"/>
    <x v="2"/>
    <s v="Company"/>
    <s v="NA"/>
    <d v="1899-12-30T00:00:00"/>
    <d v="1899-12-30T00:00:00"/>
    <n v="0"/>
    <s v="09:00:00"/>
    <n v="9"/>
    <s v="-17:30:00"/>
    <n v="0"/>
    <n v="9"/>
    <x v="20"/>
    <s v="A"/>
    <d v="2026-07-26T00:00:00"/>
    <n v="0"/>
    <n v="0"/>
    <n v="0"/>
    <n v="0"/>
    <n v="0"/>
  </r>
  <r>
    <x v="20"/>
    <n v="24"/>
    <n v="3"/>
    <n v="0"/>
    <n v="0"/>
    <s v="2, 5, 12, 25, 26, 27"/>
    <x v="26"/>
    <s v="ANUSHA"/>
    <x v="2"/>
    <s v="Company"/>
    <s v="NA"/>
    <d v="1899-12-30T00:00:00"/>
    <d v="1899-12-30T00:00:00"/>
    <n v="0"/>
    <s v="09:00:00"/>
    <n v="9"/>
    <s v="-17:30:00"/>
    <n v="0"/>
    <n v="9"/>
    <x v="20"/>
    <s v="A"/>
    <d v="2026-07-27T00:00:00"/>
    <n v="0"/>
    <n v="0"/>
    <n v="0"/>
    <n v="0"/>
    <n v="0"/>
  </r>
  <r>
    <x v="20"/>
    <n v="24"/>
    <n v="3"/>
    <n v="0"/>
    <n v="0"/>
    <s v="2, 5, 12, 25, 26, 27"/>
    <x v="27"/>
    <s v="ANUSHA"/>
    <x v="2"/>
    <s v="Company"/>
    <s v="GS"/>
    <d v="1899-12-30T08:51:36"/>
    <d v="1899-12-30T18:25:42"/>
    <n v="9.57"/>
    <s v="00:08:24"/>
    <n v="0"/>
    <s v="00:55:42"/>
    <n v="0.93"/>
    <n v="0.93"/>
    <x v="20"/>
    <s v="P"/>
    <d v="2026-07-28T00:00:00"/>
    <n v="1"/>
    <n v="1"/>
    <n v="0"/>
    <n v="0"/>
    <n v="0"/>
  </r>
  <r>
    <x v="20"/>
    <n v="24"/>
    <n v="3"/>
    <n v="0"/>
    <n v="0"/>
    <s v="2, 5, 12, 25, 26, 27"/>
    <x v="28"/>
    <s v="ANUSHA"/>
    <x v="2"/>
    <s v="Company"/>
    <s v="GS"/>
    <d v="1899-12-30T08:53:09"/>
    <d v="1899-12-30T17:30:55"/>
    <n v="8.6300000000000008"/>
    <s v="00:06:51"/>
    <n v="0"/>
    <s v="00:00:55"/>
    <n v="0"/>
    <n v="0"/>
    <x v="20"/>
    <s v="P"/>
    <d v="2026-07-29T00:00:00"/>
    <n v="1"/>
    <n v="1"/>
    <n v="0"/>
    <n v="0"/>
    <n v="0"/>
  </r>
  <r>
    <x v="20"/>
    <n v="24"/>
    <n v="3"/>
    <n v="0"/>
    <n v="0"/>
    <s v="2, 5, 12, 25, 26, 27"/>
    <x v="29"/>
    <s v="ANUSHA"/>
    <x v="2"/>
    <s v="Company"/>
    <s v="GS"/>
    <d v="1899-12-30T08:58:04"/>
    <d v="1899-12-30T18:24:59"/>
    <n v="9.4499999999999993"/>
    <s v="00:01:56"/>
    <n v="0"/>
    <s v="00:54:59"/>
    <n v="0.92"/>
    <n v="0.92"/>
    <x v="20"/>
    <s v="P"/>
    <d v="2026-07-30T00:00:00"/>
    <n v="1"/>
    <n v="1"/>
    <n v="0"/>
    <n v="0"/>
    <n v="0"/>
  </r>
  <r>
    <x v="20"/>
    <n v="24"/>
    <n v="3"/>
    <n v="0"/>
    <n v="0"/>
    <s v="2, 5, 12, 25, 26, 27"/>
    <x v="30"/>
    <s v="ANUSHA"/>
    <x v="2"/>
    <s v="Company"/>
    <s v="GS"/>
    <d v="1899-12-30T08:57:17"/>
    <d v="1899-12-30T15:41:22"/>
    <n v="6.73"/>
    <s v="00:02:43"/>
    <n v="0"/>
    <s v="-01:48:38"/>
    <n v="0"/>
    <n v="0"/>
    <x v="20"/>
    <s v="P"/>
    <d v="2026-07-31T00:00:00"/>
    <n v="1"/>
    <n v="1"/>
    <n v="0"/>
    <n v="0"/>
    <n v="0"/>
  </r>
  <r>
    <x v="21"/>
    <n v="24.5"/>
    <n v="2.5"/>
    <n v="0"/>
    <n v="0"/>
    <s v="5, 12, 14, 23, 26"/>
    <x v="0"/>
    <s v="ROOPA"/>
    <x v="3"/>
    <s v="Company"/>
    <s v="GS"/>
    <d v="1899-12-30T08:58:04"/>
    <d v="1899-12-30T17:32:07"/>
    <n v="8.57"/>
    <s v="00:01:56"/>
    <n v="0"/>
    <s v="00:02:07"/>
    <n v="0"/>
    <n v="0"/>
    <x v="21"/>
    <s v="P"/>
    <d v="2026-07-01T00:00:00"/>
    <n v="1"/>
    <n v="1"/>
    <n v="0"/>
    <n v="0"/>
    <n v="0"/>
  </r>
  <r>
    <x v="21"/>
    <n v="24.5"/>
    <n v="2.5"/>
    <n v="0"/>
    <n v="0"/>
    <s v="5, 12, 14, 23, 26"/>
    <x v="1"/>
    <s v="ROOPA"/>
    <x v="3"/>
    <s v="Company"/>
    <s v="GS"/>
    <d v="1899-12-30T09:03:42"/>
    <d v="1899-12-30T17:31:06"/>
    <n v="8.4600000000000009"/>
    <s v="-00:03:42"/>
    <n v="0"/>
    <s v="00:01:06"/>
    <n v="0"/>
    <n v="0"/>
    <x v="21"/>
    <s v="P"/>
    <d v="2026-07-02T00:00:00"/>
    <n v="1"/>
    <n v="1"/>
    <n v="0"/>
    <n v="0"/>
    <n v="0"/>
  </r>
  <r>
    <x v="21"/>
    <n v="24.5"/>
    <n v="2.5"/>
    <n v="0"/>
    <n v="0"/>
    <s v="5, 12, 14, 23, 26"/>
    <x v="2"/>
    <s v="ROOPA"/>
    <x v="3"/>
    <s v="Company"/>
    <s v="GS"/>
    <d v="1899-12-30T09:00:27"/>
    <d v="1899-12-30T17:33:14"/>
    <n v="8.5500000000000007"/>
    <s v="-00:00:27"/>
    <n v="0"/>
    <s v="00:03:14"/>
    <n v="0"/>
    <n v="0"/>
    <x v="21"/>
    <s v="P"/>
    <d v="2026-07-03T00:00:00"/>
    <n v="1"/>
    <n v="1"/>
    <n v="0"/>
    <n v="0"/>
    <n v="0"/>
  </r>
  <r>
    <x v="21"/>
    <n v="24.5"/>
    <n v="2.5"/>
    <n v="0"/>
    <n v="0"/>
    <s v="5, 12, 14, 23, 26"/>
    <x v="3"/>
    <s v="ROOPA"/>
    <x v="3"/>
    <s v="Company"/>
    <s v="GS"/>
    <d v="1899-12-30T08:55:43"/>
    <d v="1899-12-30T17:31:13"/>
    <n v="8.59"/>
    <s v="00:04:17"/>
    <n v="0"/>
    <s v="00:01:13"/>
    <n v="0"/>
    <n v="0"/>
    <x v="21"/>
    <s v="P"/>
    <d v="2026-07-04T00:00:00"/>
    <n v="1"/>
    <n v="1"/>
    <n v="0"/>
    <n v="0"/>
    <n v="0"/>
  </r>
  <r>
    <x v="21"/>
    <n v="24.5"/>
    <n v="2.5"/>
    <n v="0"/>
    <n v="0"/>
    <s v="5, 12, 14, 23, 26"/>
    <x v="4"/>
    <s v="ROOPA"/>
    <x v="3"/>
    <s v="Company"/>
    <s v="NA"/>
    <d v="1899-12-30T00:00:00"/>
    <d v="1899-12-30T00:00:00"/>
    <n v="0"/>
    <s v="09:00:00"/>
    <n v="9"/>
    <s v="-17:30:00"/>
    <n v="0"/>
    <n v="9"/>
    <x v="21"/>
    <s v="A"/>
    <d v="2026-07-05T00:00:00"/>
    <n v="0"/>
    <n v="0"/>
    <n v="0"/>
    <n v="0"/>
    <n v="0"/>
  </r>
  <r>
    <x v="21"/>
    <n v="24.5"/>
    <n v="2.5"/>
    <n v="0"/>
    <n v="0"/>
    <s v="5, 12, 14, 23, 26"/>
    <x v="5"/>
    <s v="ROOPA"/>
    <x v="3"/>
    <s v="Company"/>
    <s v="GS"/>
    <d v="1899-12-30T09:06:33"/>
    <d v="1899-12-30T17:32:36"/>
    <n v="8.43"/>
    <s v="-00:06:33"/>
    <n v="0"/>
    <s v="00:02:36"/>
    <n v="0"/>
    <n v="0"/>
    <x v="21"/>
    <s v="P"/>
    <d v="2026-07-06T00:00:00"/>
    <n v="1"/>
    <n v="1"/>
    <n v="0"/>
    <n v="0"/>
    <n v="0"/>
  </r>
  <r>
    <x v="21"/>
    <n v="24.5"/>
    <n v="2.5"/>
    <n v="0"/>
    <n v="0"/>
    <s v="5, 12, 14, 23, 26"/>
    <x v="6"/>
    <s v="ROOPA"/>
    <x v="3"/>
    <s v="Company"/>
    <s v="GS"/>
    <d v="1899-12-30T09:00:48"/>
    <d v="1899-12-30T18:31:21"/>
    <n v="9.51"/>
    <s v="-00:00:48"/>
    <n v="0"/>
    <s v="01:01:21"/>
    <n v="1.02"/>
    <n v="1.02"/>
    <x v="21"/>
    <s v="P"/>
    <d v="2026-07-07T00:00:00"/>
    <n v="1"/>
    <n v="1"/>
    <n v="0"/>
    <n v="0"/>
    <n v="0"/>
  </r>
  <r>
    <x v="21"/>
    <n v="24.5"/>
    <n v="2.5"/>
    <n v="0"/>
    <n v="0"/>
    <s v="5, 12, 14, 23, 26"/>
    <x v="7"/>
    <s v="ROOPA"/>
    <x v="3"/>
    <s v="Company"/>
    <s v="GS"/>
    <d v="1899-12-30T09:00:28"/>
    <d v="1899-12-30T18:30:36"/>
    <n v="9.5"/>
    <s v="-00:00:28"/>
    <n v="0"/>
    <s v="01:00:36"/>
    <n v="1.01"/>
    <n v="1.01"/>
    <x v="21"/>
    <s v="P"/>
    <d v="2026-07-08T00:00:00"/>
    <n v="1"/>
    <n v="1"/>
    <n v="0"/>
    <n v="0"/>
    <n v="0"/>
  </r>
  <r>
    <x v="21"/>
    <n v="24.5"/>
    <n v="2.5"/>
    <n v="0"/>
    <n v="0"/>
    <s v="5, 12, 14, 23, 26"/>
    <x v="8"/>
    <s v="ROOPA"/>
    <x v="3"/>
    <s v="Company"/>
    <s v="GS"/>
    <d v="1899-12-30T09:01:03"/>
    <d v="1899-12-30T18:31:49"/>
    <n v="9.51"/>
    <s v="-00:01:03"/>
    <n v="0"/>
    <s v="01:01:49"/>
    <n v="1.03"/>
    <n v="1.03"/>
    <x v="21"/>
    <s v="P"/>
    <d v="2026-07-09T00:00:00"/>
    <n v="1"/>
    <n v="1"/>
    <n v="0"/>
    <n v="0"/>
    <n v="0"/>
  </r>
  <r>
    <x v="21"/>
    <n v="24.5"/>
    <n v="2.5"/>
    <n v="0"/>
    <n v="0"/>
    <s v="5, 12, 14, 23, 26"/>
    <x v="9"/>
    <s v="ROOPA"/>
    <x v="3"/>
    <s v="Company"/>
    <s v="GS"/>
    <d v="1899-12-30T09:02:31"/>
    <d v="1899-12-30T18:31:02"/>
    <n v="9.48"/>
    <s v="-00:02:31"/>
    <n v="0"/>
    <s v="01:01:02"/>
    <n v="1.02"/>
    <n v="1.02"/>
    <x v="21"/>
    <s v="P"/>
    <d v="2026-07-10T00:00:00"/>
    <n v="1"/>
    <n v="1"/>
    <n v="0"/>
    <n v="0"/>
    <n v="0"/>
  </r>
  <r>
    <x v="21"/>
    <n v="24.5"/>
    <n v="2.5"/>
    <n v="0"/>
    <n v="0"/>
    <s v="5, 12, 14, 23, 26"/>
    <x v="10"/>
    <s v="ROOPA"/>
    <x v="3"/>
    <s v="Company"/>
    <s v="GS"/>
    <d v="1899-12-30T09:25:20"/>
    <d v="1899-12-30T18:31:31"/>
    <n v="9.1"/>
    <s v="-00:25:20"/>
    <n v="0"/>
    <s v="01:01:31"/>
    <n v="1.03"/>
    <n v="1.03"/>
    <x v="21"/>
    <s v="P"/>
    <d v="2026-07-11T00:00:00"/>
    <n v="1"/>
    <n v="1"/>
    <n v="0"/>
    <n v="0"/>
    <n v="0"/>
  </r>
  <r>
    <x v="21"/>
    <n v="24.5"/>
    <n v="2.5"/>
    <n v="0"/>
    <n v="0"/>
    <s v="5, 12, 14, 23, 26"/>
    <x v="11"/>
    <s v="ROOPA"/>
    <x v="3"/>
    <s v="Company"/>
    <s v="NA"/>
    <d v="1899-12-30T00:00:00"/>
    <d v="1899-12-30T00:00:00"/>
    <n v="0"/>
    <s v="09:00:00"/>
    <n v="9"/>
    <s v="-17:30:00"/>
    <n v="0"/>
    <n v="9"/>
    <x v="21"/>
    <s v="A"/>
    <d v="2026-07-12T00:00:00"/>
    <n v="0"/>
    <n v="0"/>
    <n v="0"/>
    <n v="0"/>
    <n v="0"/>
  </r>
  <r>
    <x v="21"/>
    <n v="24.5"/>
    <n v="2.5"/>
    <n v="0"/>
    <n v="0"/>
    <s v="5, 12, 14, 23, 26"/>
    <x v="12"/>
    <s v="ROOPA"/>
    <x v="3"/>
    <s v="Company"/>
    <s v="GS"/>
    <d v="1899-12-30T08:51:47"/>
    <d v="1899-12-30T18:31:35"/>
    <n v="9.66"/>
    <s v="00:08:13"/>
    <n v="0"/>
    <s v="01:01:35"/>
    <n v="1.03"/>
    <n v="1.03"/>
    <x v="21"/>
    <s v="P"/>
    <d v="2026-07-13T00:00:00"/>
    <n v="1"/>
    <n v="1"/>
    <n v="0"/>
    <n v="0"/>
    <n v="0"/>
  </r>
  <r>
    <x v="21"/>
    <n v="24.5"/>
    <n v="2.5"/>
    <n v="0"/>
    <n v="0"/>
    <s v="5, 12, 14, 23, 26"/>
    <x v="13"/>
    <s v="ROOPA"/>
    <x v="3"/>
    <s v="Company"/>
    <s v="NA"/>
    <d v="1899-12-30T00:00:00"/>
    <d v="1899-12-30T00:00:00"/>
    <n v="0"/>
    <s v="09:00:00"/>
    <n v="9"/>
    <s v="-17:30:00"/>
    <n v="0"/>
    <n v="9"/>
    <x v="21"/>
    <s v="A"/>
    <d v="2026-07-14T00:00:00"/>
    <n v="0"/>
    <n v="0"/>
    <n v="0"/>
    <n v="0"/>
    <n v="0"/>
  </r>
  <r>
    <x v="21"/>
    <n v="24.5"/>
    <n v="2.5"/>
    <n v="0"/>
    <n v="0"/>
    <s v="5, 12, 14, 23, 26"/>
    <x v="14"/>
    <s v="ROOPA"/>
    <x v="3"/>
    <s v="Company"/>
    <s v="GS"/>
    <d v="1899-12-30T08:57:42"/>
    <d v="1899-12-30T14:18:30"/>
    <n v="5.35"/>
    <s v="00:02:18"/>
    <n v="0"/>
    <s v="-03:11:30"/>
    <n v="0"/>
    <n v="0"/>
    <x v="21"/>
    <s v="H"/>
    <d v="2026-07-15T00:00:00"/>
    <n v="0.5"/>
    <n v="0.5"/>
    <n v="0"/>
    <n v="0"/>
    <n v="0"/>
  </r>
  <r>
    <x v="21"/>
    <n v="24.5"/>
    <n v="2.5"/>
    <n v="0"/>
    <n v="0"/>
    <s v="5, 12, 14, 23, 26"/>
    <x v="15"/>
    <s v="ROOPA"/>
    <x v="3"/>
    <s v="Company"/>
    <s v="GS"/>
    <d v="1899-12-30T08:54:39"/>
    <d v="1899-12-30T18:31:08"/>
    <n v="9.61"/>
    <s v="00:05:21"/>
    <n v="0"/>
    <s v="01:01:08"/>
    <n v="1.02"/>
    <n v="1.02"/>
    <x v="21"/>
    <s v="P"/>
    <d v="2026-07-16T00:00:00"/>
    <n v="1"/>
    <n v="1"/>
    <n v="0"/>
    <n v="0"/>
    <n v="0"/>
  </r>
  <r>
    <x v="21"/>
    <n v="24.5"/>
    <n v="2.5"/>
    <n v="0"/>
    <n v="0"/>
    <s v="5, 12, 14, 23, 26"/>
    <x v="16"/>
    <s v="ROOPA"/>
    <x v="3"/>
    <s v="Company"/>
    <s v="GS"/>
    <d v="1899-12-30T09:00:26"/>
    <d v="1899-12-30T18:30:28"/>
    <n v="9.5"/>
    <s v="-00:00:26"/>
    <n v="0"/>
    <s v="01:00:28"/>
    <n v="1.01"/>
    <n v="1.01"/>
    <x v="21"/>
    <s v="P"/>
    <d v="2026-07-17T00:00:00"/>
    <n v="1"/>
    <n v="1"/>
    <n v="0"/>
    <n v="0"/>
    <n v="0"/>
  </r>
  <r>
    <x v="21"/>
    <n v="24.5"/>
    <n v="2.5"/>
    <n v="0"/>
    <n v="0"/>
    <s v="5, 12, 14, 23, 26"/>
    <x v="17"/>
    <s v="ROOPA"/>
    <x v="3"/>
    <s v="Company"/>
    <s v="GS"/>
    <d v="1899-12-30T08:58:46"/>
    <d v="1899-12-30T17:33:58"/>
    <n v="8.59"/>
    <s v="00:01:14"/>
    <n v="0"/>
    <s v="00:03:58"/>
    <n v="0"/>
    <n v="0"/>
    <x v="21"/>
    <s v="P"/>
    <d v="2026-07-18T00:00:00"/>
    <n v="1"/>
    <n v="1"/>
    <n v="0"/>
    <n v="0"/>
    <n v="0"/>
  </r>
  <r>
    <x v="21"/>
    <n v="24.5"/>
    <n v="2.5"/>
    <n v="0"/>
    <n v="0"/>
    <s v="5, 12, 14, 23, 26"/>
    <x v="18"/>
    <s v="ROOPA"/>
    <x v="3"/>
    <s v="Company"/>
    <s v="GS"/>
    <d v="1899-12-30T09:12:39"/>
    <d v="1899-12-30T16:33:18"/>
    <n v="7.34"/>
    <s v="-00:12:39"/>
    <n v="0"/>
    <s v="-00:56:42"/>
    <n v="0"/>
    <n v="0"/>
    <x v="21"/>
    <s v="P"/>
    <d v="2026-07-19T00:00:00"/>
    <n v="1"/>
    <n v="0"/>
    <n v="1"/>
    <n v="0"/>
    <n v="0"/>
  </r>
  <r>
    <x v="21"/>
    <n v="24.5"/>
    <n v="2.5"/>
    <n v="0"/>
    <n v="0"/>
    <s v="5, 12, 14, 23, 26"/>
    <x v="19"/>
    <s v="ROOPA"/>
    <x v="3"/>
    <s v="Company"/>
    <s v="GS"/>
    <d v="1899-12-30T08:57:47"/>
    <d v="1899-12-30T18:30:00"/>
    <n v="9.5399999999999991"/>
    <s v="00:02:13"/>
    <n v="0"/>
    <s v="01:00:00"/>
    <n v="1"/>
    <n v="1"/>
    <x v="21"/>
    <s v="P"/>
    <d v="2026-07-20T00:00:00"/>
    <n v="1"/>
    <n v="1"/>
    <n v="0"/>
    <n v="0"/>
    <n v="0"/>
  </r>
  <r>
    <x v="21"/>
    <n v="24.5"/>
    <n v="2.5"/>
    <n v="0"/>
    <n v="0"/>
    <s v="5, 12, 14, 23, 26"/>
    <x v="20"/>
    <s v="ROOPA"/>
    <x v="3"/>
    <s v="Company"/>
    <s v="GS"/>
    <d v="1899-12-30T08:58:21"/>
    <d v="1899-12-30T17:32:28"/>
    <n v="8.57"/>
    <s v="00:01:39"/>
    <n v="0"/>
    <s v="00:02:28"/>
    <n v="0"/>
    <n v="0"/>
    <x v="21"/>
    <s v="P"/>
    <d v="2026-07-21T00:00:00"/>
    <n v="1"/>
    <n v="1"/>
    <n v="0"/>
    <n v="0"/>
    <n v="0"/>
  </r>
  <r>
    <x v="21"/>
    <n v="24.5"/>
    <n v="2.5"/>
    <n v="0"/>
    <n v="0"/>
    <s v="5, 12, 14, 23, 26"/>
    <x v="21"/>
    <s v="ROOPA"/>
    <x v="3"/>
    <s v="Company"/>
    <s v="GS"/>
    <d v="1899-12-30T08:56:11"/>
    <d v="1899-12-30T17:35:57"/>
    <n v="8.66"/>
    <s v="00:03:49"/>
    <n v="0"/>
    <s v="00:05:57"/>
    <n v="0"/>
    <n v="0"/>
    <x v="21"/>
    <s v="P"/>
    <d v="2026-07-22T00:00:00"/>
    <n v="1"/>
    <n v="1"/>
    <n v="0"/>
    <n v="0"/>
    <n v="0"/>
  </r>
  <r>
    <x v="21"/>
    <n v="24.5"/>
    <n v="2.5"/>
    <n v="0"/>
    <n v="0"/>
    <s v="5, 12, 14, 23, 26"/>
    <x v="22"/>
    <s v="ROOPA"/>
    <x v="3"/>
    <s v="Company"/>
    <s v="NA"/>
    <d v="1899-12-30T00:00:00"/>
    <d v="1899-12-30T00:00:00"/>
    <n v="0"/>
    <s v="09:00:00"/>
    <n v="9"/>
    <s v="-17:30:00"/>
    <n v="0"/>
    <n v="9"/>
    <x v="21"/>
    <s v="A"/>
    <d v="2026-07-23T00:00:00"/>
    <n v="0"/>
    <n v="0"/>
    <n v="0"/>
    <n v="0"/>
    <n v="0"/>
  </r>
  <r>
    <x v="21"/>
    <n v="24.5"/>
    <n v="2.5"/>
    <n v="0"/>
    <n v="0"/>
    <s v="5, 12, 14, 23, 26"/>
    <x v="23"/>
    <s v="ROOPA"/>
    <x v="3"/>
    <s v="Company"/>
    <s v="GS"/>
    <d v="1899-12-30T08:56:18"/>
    <d v="1899-12-30T18:33:10"/>
    <n v="9.61"/>
    <s v="00:03:42"/>
    <n v="0"/>
    <s v="01:03:10"/>
    <n v="1.05"/>
    <n v="1.05"/>
    <x v="21"/>
    <s v="P"/>
    <d v="2026-07-24T00:00:00"/>
    <n v="1"/>
    <n v="1"/>
    <n v="0"/>
    <n v="0"/>
    <n v="0"/>
  </r>
  <r>
    <x v="21"/>
    <n v="24.5"/>
    <n v="2.5"/>
    <n v="0"/>
    <n v="0"/>
    <s v="5, 12, 14, 23, 26"/>
    <x v="24"/>
    <s v="ROOPA"/>
    <x v="3"/>
    <s v="Company"/>
    <s v="GS"/>
    <d v="1899-12-30T08:56:58"/>
    <d v="1899-12-30T18:31:02"/>
    <n v="9.57"/>
    <s v="00:03:02"/>
    <n v="0"/>
    <s v="01:01:02"/>
    <n v="1.02"/>
    <n v="1.02"/>
    <x v="21"/>
    <s v="P"/>
    <d v="2026-07-25T00:00:00"/>
    <n v="1"/>
    <n v="1"/>
    <n v="0"/>
    <n v="0"/>
    <n v="0"/>
  </r>
  <r>
    <x v="21"/>
    <n v="24.5"/>
    <n v="2.5"/>
    <n v="0"/>
    <n v="0"/>
    <s v="5, 12, 14, 23, 26"/>
    <x v="25"/>
    <s v="ROOPA"/>
    <x v="3"/>
    <s v="Company"/>
    <s v="NA"/>
    <d v="1899-12-30T00:00:00"/>
    <d v="1899-12-30T00:00:00"/>
    <n v="0"/>
    <s v="09:00:00"/>
    <n v="9"/>
    <s v="-17:30:00"/>
    <n v="0"/>
    <n v="9"/>
    <x v="21"/>
    <s v="A"/>
    <d v="2026-07-26T00:00:00"/>
    <n v="0"/>
    <n v="0"/>
    <n v="0"/>
    <n v="0"/>
    <n v="0"/>
  </r>
  <r>
    <x v="21"/>
    <n v="24.5"/>
    <n v="2.5"/>
    <n v="0"/>
    <n v="0"/>
    <s v="5, 12, 14, 23, 26"/>
    <x v="26"/>
    <s v="ROOPA"/>
    <x v="3"/>
    <s v="Company"/>
    <s v="GS"/>
    <d v="1899-12-30T08:53:56"/>
    <d v="1899-12-30T18:31:37"/>
    <n v="9.6300000000000008"/>
    <s v="00:06:04"/>
    <n v="0"/>
    <s v="01:01:37"/>
    <n v="1.03"/>
    <n v="1.03"/>
    <x v="21"/>
    <s v="P"/>
    <d v="2026-07-27T00:00:00"/>
    <n v="1"/>
    <n v="1"/>
    <n v="0"/>
    <n v="0"/>
    <n v="0"/>
  </r>
  <r>
    <x v="21"/>
    <n v="24.5"/>
    <n v="2.5"/>
    <n v="0"/>
    <n v="0"/>
    <s v="5, 12, 14, 23, 26"/>
    <x v="27"/>
    <s v="ROOPA"/>
    <x v="3"/>
    <s v="Company"/>
    <s v="GS"/>
    <d v="1899-12-30T08:53:57"/>
    <d v="1899-12-30T00:00:00"/>
    <n v="15.1"/>
    <s v="00:06:03"/>
    <n v="0"/>
    <s v="-17:30:00"/>
    <n v="0"/>
    <n v="0"/>
    <x v="21"/>
    <s v="P"/>
    <d v="2026-07-28T00:00:00"/>
    <n v="1"/>
    <n v="1"/>
    <n v="0"/>
    <n v="0"/>
    <n v="0"/>
  </r>
  <r>
    <x v="21"/>
    <n v="24.5"/>
    <n v="2.5"/>
    <n v="0"/>
    <n v="0"/>
    <s v="5, 12, 14, 23, 26"/>
    <x v="28"/>
    <s v="ROOPA"/>
    <x v="3"/>
    <s v="Company"/>
    <s v="GS"/>
    <d v="1899-12-30T08:55:50"/>
    <d v="1899-12-30T18:29:46"/>
    <n v="9.57"/>
    <s v="00:04:10"/>
    <n v="0"/>
    <s v="00:59:46"/>
    <n v="1"/>
    <n v="1"/>
    <x v="21"/>
    <s v="P"/>
    <d v="2026-07-29T00:00:00"/>
    <n v="1"/>
    <n v="1"/>
    <n v="0"/>
    <n v="0"/>
    <n v="0"/>
  </r>
  <r>
    <x v="21"/>
    <n v="24.5"/>
    <n v="2.5"/>
    <n v="0"/>
    <n v="0"/>
    <s v="5, 12, 14, 23, 26"/>
    <x v="29"/>
    <s v="ROOPA"/>
    <x v="3"/>
    <s v="Company"/>
    <s v="GS"/>
    <d v="1899-12-30T08:58:53"/>
    <d v="1899-12-30T18:31:01"/>
    <n v="9.5399999999999991"/>
    <s v="00:01:07"/>
    <n v="0"/>
    <s v="01:01:01"/>
    <n v="1.02"/>
    <n v="1.02"/>
    <x v="21"/>
    <s v="P"/>
    <d v="2026-07-30T00:00:00"/>
    <n v="1"/>
    <n v="1"/>
    <n v="0"/>
    <n v="0"/>
    <n v="0"/>
  </r>
  <r>
    <x v="21"/>
    <n v="24.5"/>
    <n v="2.5"/>
    <n v="0"/>
    <n v="0"/>
    <s v="5, 12, 14, 23, 26"/>
    <x v="30"/>
    <s v="ROOPA"/>
    <x v="3"/>
    <s v="Company"/>
    <s v="GS"/>
    <d v="1899-12-30T08:56:10"/>
    <d v="1899-12-30T18:29:16"/>
    <n v="9.5500000000000007"/>
    <s v="00:03:50"/>
    <n v="0"/>
    <s v="00:59:16"/>
    <n v="0.99"/>
    <n v="0.99"/>
    <x v="21"/>
    <s v="P"/>
    <d v="2026-07-31T00:00:00"/>
    <n v="1"/>
    <n v="1"/>
    <n v="0"/>
    <n v="0"/>
    <n v="0"/>
  </r>
  <r>
    <x v="22"/>
    <n v="25.5"/>
    <n v="1.5"/>
    <n v="0"/>
    <n v="0"/>
    <s v="7, 12, 26"/>
    <x v="0"/>
    <s v="MADAMMA"/>
    <x v="4"/>
    <s v="None"/>
    <s v="GS"/>
    <d v="1899-12-30T08:00:00"/>
    <d v="1899-12-30T16:00:00"/>
    <n v="8"/>
    <s v="01:00:00"/>
    <n v="1"/>
    <s v="-01:30:00"/>
    <n v="0"/>
    <n v="1"/>
    <x v="22"/>
    <s v="P"/>
    <d v="2026-07-01T00:00:00"/>
    <n v="1"/>
    <n v="1"/>
    <n v="0"/>
    <n v="0"/>
    <n v="0"/>
  </r>
  <r>
    <x v="22"/>
    <n v="25.5"/>
    <n v="1.5"/>
    <n v="0"/>
    <n v="0"/>
    <s v="7, 12, 26"/>
    <x v="1"/>
    <s v="MADAMMA"/>
    <x v="4"/>
    <s v="None"/>
    <s v="GS"/>
    <d v="1899-12-30T08:00:00"/>
    <d v="1899-12-30T16:25:40"/>
    <n v="8.43"/>
    <s v="01:00:00"/>
    <n v="1"/>
    <s v="-01:04:20"/>
    <n v="0"/>
    <n v="1"/>
    <x v="22"/>
    <s v="P"/>
    <d v="2026-07-02T00:00:00"/>
    <n v="1"/>
    <n v="1"/>
    <n v="0"/>
    <n v="0"/>
    <n v="0"/>
  </r>
  <r>
    <x v="22"/>
    <n v="25.5"/>
    <n v="1.5"/>
    <n v="0"/>
    <n v="0"/>
    <s v="7, 12, 26"/>
    <x v="2"/>
    <s v="MADAMMA"/>
    <x v="4"/>
    <s v="None"/>
    <s v="GS"/>
    <d v="1899-12-30T07:59:58"/>
    <d v="1899-12-30T16:00:00"/>
    <n v="8"/>
    <s v="01:00:02"/>
    <n v="1"/>
    <s v="-01:30:00"/>
    <n v="0"/>
    <n v="1"/>
    <x v="22"/>
    <s v="P"/>
    <d v="2026-07-03T00:00:00"/>
    <n v="1"/>
    <n v="1"/>
    <n v="0"/>
    <n v="0"/>
    <n v="0"/>
  </r>
  <r>
    <x v="22"/>
    <n v="25.5"/>
    <n v="1.5"/>
    <n v="0"/>
    <n v="0"/>
    <s v="7, 12, 26"/>
    <x v="3"/>
    <s v="MADAMMA"/>
    <x v="4"/>
    <s v="None"/>
    <s v="GS"/>
    <d v="1899-12-30T08:00:00"/>
    <d v="1899-12-30T16:00:00"/>
    <n v="8"/>
    <s v="01:00:00"/>
    <n v="1"/>
    <s v="-01:30:00"/>
    <n v="0"/>
    <n v="1"/>
    <x v="22"/>
    <s v="P"/>
    <d v="2026-07-04T00:00:00"/>
    <n v="1"/>
    <n v="1"/>
    <n v="0"/>
    <n v="0"/>
    <n v="0"/>
  </r>
  <r>
    <x v="22"/>
    <n v="25.5"/>
    <n v="1.5"/>
    <n v="0"/>
    <n v="0"/>
    <s v="7, 12, 26"/>
    <x v="4"/>
    <s v="MADAMMA"/>
    <x v="4"/>
    <s v="None"/>
    <s v="GS"/>
    <d v="1899-12-30T08:00:00"/>
    <d v="1899-12-30T16:00:00"/>
    <n v="8"/>
    <s v="01:00:00"/>
    <n v="1"/>
    <s v="-01:30:00"/>
    <n v="0"/>
    <n v="1"/>
    <x v="22"/>
    <s v="P"/>
    <d v="2026-07-05T00:00:00"/>
    <n v="1"/>
    <n v="0"/>
    <n v="1"/>
    <n v="0"/>
    <n v="0"/>
  </r>
  <r>
    <x v="22"/>
    <n v="25.5"/>
    <n v="1.5"/>
    <n v="0"/>
    <n v="0"/>
    <s v="7, 12, 26"/>
    <x v="5"/>
    <s v="MADAMMA"/>
    <x v="4"/>
    <s v="None"/>
    <s v="GS"/>
    <d v="1899-12-30T08:30:52"/>
    <d v="1899-12-30T16:02:42"/>
    <n v="7.53"/>
    <s v="00:29:08"/>
    <n v="0"/>
    <s v="-01:27:18"/>
    <n v="0"/>
    <n v="0"/>
    <x v="22"/>
    <s v="P"/>
    <d v="2026-07-06T00:00:00"/>
    <n v="1"/>
    <n v="1"/>
    <n v="0"/>
    <n v="0"/>
    <n v="0"/>
  </r>
  <r>
    <x v="22"/>
    <n v="25.5"/>
    <n v="1.5"/>
    <n v="0"/>
    <n v="0"/>
    <s v="7, 12, 26"/>
    <x v="6"/>
    <s v="MADAMMA"/>
    <x v="4"/>
    <s v="None"/>
    <s v="NA"/>
    <d v="1899-12-30T00:00:00"/>
    <d v="1899-12-30T00:00:00"/>
    <n v="0"/>
    <s v="09:00:00"/>
    <n v="9"/>
    <s v="-17:30:00"/>
    <n v="0"/>
    <n v="9"/>
    <x v="22"/>
    <s v="A"/>
    <d v="2026-07-07T00:00:00"/>
    <n v="0"/>
    <n v="0"/>
    <n v="0"/>
    <n v="0"/>
    <n v="0"/>
  </r>
  <r>
    <x v="22"/>
    <n v="25.5"/>
    <n v="1.5"/>
    <n v="0"/>
    <n v="0"/>
    <s v="7, 12, 26"/>
    <x v="7"/>
    <s v="MADAMMA"/>
    <x v="4"/>
    <s v="None"/>
    <s v="GS"/>
    <d v="1899-12-30T08:31:58"/>
    <d v="1899-12-30T15:51:05"/>
    <n v="7.32"/>
    <s v="00:28:02"/>
    <n v="0"/>
    <s v="-01:38:55"/>
    <n v="0"/>
    <n v="0"/>
    <x v="22"/>
    <s v="P"/>
    <d v="2026-07-08T00:00:00"/>
    <n v="1"/>
    <n v="1"/>
    <n v="0"/>
    <n v="0"/>
    <n v="0"/>
  </r>
  <r>
    <x v="22"/>
    <n v="25.5"/>
    <n v="1.5"/>
    <n v="0"/>
    <n v="0"/>
    <s v="7, 12, 26"/>
    <x v="8"/>
    <s v="MADAMMA"/>
    <x v="4"/>
    <s v="None"/>
    <s v="GS"/>
    <d v="1899-12-30T08:16:39"/>
    <d v="1899-12-30T16:08:19"/>
    <n v="7.86"/>
    <s v="00:43:21"/>
    <n v="0.5"/>
    <s v="-01:21:41"/>
    <n v="0"/>
    <n v="0.5"/>
    <x v="22"/>
    <s v="P"/>
    <d v="2026-07-09T00:00:00"/>
    <n v="1"/>
    <n v="1"/>
    <n v="0"/>
    <n v="0"/>
    <n v="0"/>
  </r>
  <r>
    <x v="22"/>
    <n v="25.5"/>
    <n v="1.5"/>
    <n v="0"/>
    <n v="0"/>
    <s v="7, 12, 26"/>
    <x v="9"/>
    <s v="MADAMMA"/>
    <x v="4"/>
    <s v="None"/>
    <s v="GS"/>
    <d v="1899-12-30T08:20:59"/>
    <d v="1899-12-30T15:54:19"/>
    <n v="7.56"/>
    <s v="00:39:01"/>
    <n v="0.5"/>
    <s v="-01:35:41"/>
    <n v="0"/>
    <n v="0.5"/>
    <x v="22"/>
    <s v="P"/>
    <d v="2026-07-10T00:00:00"/>
    <n v="1"/>
    <n v="1"/>
    <n v="0"/>
    <n v="0"/>
    <n v="0"/>
  </r>
  <r>
    <x v="22"/>
    <n v="25.5"/>
    <n v="1.5"/>
    <n v="0"/>
    <n v="0"/>
    <s v="7, 12, 26"/>
    <x v="10"/>
    <s v="MADAMMA"/>
    <x v="4"/>
    <s v="None"/>
    <s v="GS"/>
    <d v="1899-12-30T07:55:11"/>
    <d v="1899-12-30T16:00:00"/>
    <n v="8.08"/>
    <s v="01:04:49"/>
    <n v="1.08"/>
    <s v="-01:30:00"/>
    <n v="0"/>
    <n v="1.08"/>
    <x v="22"/>
    <s v="P"/>
    <d v="2026-07-11T00:00:00"/>
    <n v="1"/>
    <n v="1"/>
    <n v="0"/>
    <n v="0"/>
    <n v="0"/>
  </r>
  <r>
    <x v="22"/>
    <n v="25.5"/>
    <n v="1.5"/>
    <n v="0"/>
    <n v="0"/>
    <s v="7, 12, 26"/>
    <x v="11"/>
    <s v="MADAMMA"/>
    <x v="4"/>
    <s v="None"/>
    <s v="NA"/>
    <d v="1899-12-30T00:00:00"/>
    <d v="1899-12-30T00:00:00"/>
    <n v="0"/>
    <s v="09:00:00"/>
    <n v="9"/>
    <s v="-17:30:00"/>
    <n v="0"/>
    <n v="9"/>
    <x v="22"/>
    <s v="A"/>
    <d v="2026-07-12T00:00:00"/>
    <n v="0"/>
    <n v="0"/>
    <n v="0"/>
    <n v="0"/>
    <n v="0"/>
  </r>
  <r>
    <x v="22"/>
    <n v="25.5"/>
    <n v="1.5"/>
    <n v="0"/>
    <n v="0"/>
    <s v="7, 12, 26"/>
    <x v="12"/>
    <s v="MADAMMA"/>
    <x v="4"/>
    <s v="None"/>
    <s v="NA"/>
    <d v="1899-12-30T00:00:00"/>
    <d v="1899-12-30T14:00:00"/>
    <n v="14"/>
    <s v="09:00:00"/>
    <n v="9"/>
    <s v="-03:30:00"/>
    <n v="0"/>
    <n v="9"/>
    <x v="22"/>
    <s v="P"/>
    <d v="2026-07-13T00:00:00"/>
    <n v="1"/>
    <n v="1"/>
    <n v="0"/>
    <n v="0"/>
    <n v="0"/>
  </r>
  <r>
    <x v="22"/>
    <n v="25.5"/>
    <n v="1.5"/>
    <n v="0"/>
    <n v="0"/>
    <s v="7, 12, 26"/>
    <x v="13"/>
    <s v="MADAMMA"/>
    <x v="4"/>
    <s v="None"/>
    <s v="GS"/>
    <d v="1899-12-30T08:12:10"/>
    <d v="1899-12-30T16:00:00"/>
    <n v="7.8"/>
    <s v="00:47:50"/>
    <n v="0.8"/>
    <s v="-01:30:00"/>
    <n v="0"/>
    <n v="0.8"/>
    <x v="22"/>
    <s v="P"/>
    <d v="2026-07-14T00:00:00"/>
    <n v="1"/>
    <n v="1"/>
    <n v="0"/>
    <n v="0"/>
    <n v="0"/>
  </r>
  <r>
    <x v="22"/>
    <n v="25.5"/>
    <n v="1.5"/>
    <n v="0"/>
    <n v="0"/>
    <s v="7, 12, 26"/>
    <x v="14"/>
    <s v="MADAMMA"/>
    <x v="4"/>
    <s v="None"/>
    <s v="GS"/>
    <d v="1899-12-30T08:35:27"/>
    <d v="1899-12-30T13:00:00"/>
    <n v="4.41"/>
    <s v="00:24:33"/>
    <n v="0"/>
    <s v="-04:30:00"/>
    <n v="0"/>
    <n v="0"/>
    <x v="22"/>
    <s v="H"/>
    <d v="2026-07-15T00:00:00"/>
    <n v="0.5"/>
    <n v="0.5"/>
    <n v="0"/>
    <n v="0"/>
    <n v="0"/>
  </r>
  <r>
    <x v="22"/>
    <n v="25.5"/>
    <n v="1.5"/>
    <n v="0"/>
    <n v="0"/>
    <s v="7, 12, 26"/>
    <x v="15"/>
    <s v="MADAMMA"/>
    <x v="4"/>
    <s v="None"/>
    <s v="GS"/>
    <d v="1899-12-30T08:23:10"/>
    <d v="1899-12-30T15:57:35"/>
    <n v="7.57"/>
    <s v="00:36:50"/>
    <n v="0.5"/>
    <s v="-01:32:25"/>
    <n v="0"/>
    <n v="0.5"/>
    <x v="22"/>
    <s v="P"/>
    <d v="2026-07-16T00:00:00"/>
    <n v="1"/>
    <n v="1"/>
    <n v="0"/>
    <n v="0"/>
    <n v="0"/>
  </r>
  <r>
    <x v="22"/>
    <n v="25.5"/>
    <n v="1.5"/>
    <n v="0"/>
    <n v="0"/>
    <s v="7, 12, 26"/>
    <x v="16"/>
    <s v="MADAMMA"/>
    <x v="4"/>
    <s v="None"/>
    <s v="GS"/>
    <d v="1899-12-30T08:00:00"/>
    <d v="1899-12-30T16:30:27"/>
    <n v="8.51"/>
    <s v="01:00:00"/>
    <n v="1"/>
    <s v="-00:59:33"/>
    <n v="0"/>
    <n v="1"/>
    <x v="22"/>
    <s v="P"/>
    <d v="2026-07-17T00:00:00"/>
    <n v="1"/>
    <n v="1"/>
    <n v="0"/>
    <n v="0"/>
    <n v="0"/>
  </r>
  <r>
    <x v="22"/>
    <n v="25.5"/>
    <n v="1.5"/>
    <n v="0"/>
    <n v="0"/>
    <s v="7, 12, 26"/>
    <x v="17"/>
    <s v="MADAMMA"/>
    <x v="4"/>
    <s v="None"/>
    <s v="GS"/>
    <d v="1899-12-30T08:24:08"/>
    <d v="1899-12-30T16:00:00"/>
    <n v="7.6"/>
    <s v="00:35:52"/>
    <n v="0.5"/>
    <s v="-01:30:00"/>
    <n v="0"/>
    <n v="0.5"/>
    <x v="22"/>
    <s v="P"/>
    <d v="2026-07-18T00:00:00"/>
    <n v="1"/>
    <n v="1"/>
    <n v="0"/>
    <n v="0"/>
    <n v="0"/>
  </r>
  <r>
    <x v="22"/>
    <n v="25.5"/>
    <n v="1.5"/>
    <n v="0"/>
    <n v="0"/>
    <s v="7, 12, 26"/>
    <x v="18"/>
    <s v="MADAMMA"/>
    <x v="4"/>
    <s v="None"/>
    <s v="GS"/>
    <d v="1899-12-30T08:25:06"/>
    <d v="1899-12-30T15:35:15"/>
    <n v="7.17"/>
    <s v="00:34:54"/>
    <n v="0.5"/>
    <s v="-01:54:45"/>
    <n v="0"/>
    <n v="0.5"/>
    <x v="22"/>
    <s v="P"/>
    <d v="2026-07-19T00:00:00"/>
    <n v="1"/>
    <n v="0"/>
    <n v="1"/>
    <n v="0"/>
    <n v="0"/>
  </r>
  <r>
    <x v="22"/>
    <n v="25.5"/>
    <n v="1.5"/>
    <n v="0"/>
    <n v="0"/>
    <s v="7, 12, 26"/>
    <x v="19"/>
    <s v="MADAMMA"/>
    <x v="4"/>
    <s v="None"/>
    <s v="GS"/>
    <d v="1899-12-30T16:04:46"/>
    <d v="1899-12-30T00:00:00"/>
    <n v="7.92"/>
    <s v="-07:04:46"/>
    <n v="0"/>
    <s v="-17:30:00"/>
    <n v="0"/>
    <n v="0"/>
    <x v="22"/>
    <s v="P"/>
    <d v="2026-07-20T00:00:00"/>
    <n v="1"/>
    <n v="1"/>
    <n v="0"/>
    <n v="0"/>
    <n v="0"/>
  </r>
  <r>
    <x v="22"/>
    <n v="25.5"/>
    <n v="1.5"/>
    <n v="0"/>
    <n v="0"/>
    <s v="7, 12, 26"/>
    <x v="20"/>
    <s v="MADAMMA"/>
    <x v="4"/>
    <s v="None"/>
    <s v="GS"/>
    <d v="1899-12-30T08:01:52"/>
    <d v="1899-12-30T16:48:38"/>
    <n v="8.7799999999999994"/>
    <s v="00:58:08"/>
    <n v="0.97"/>
    <s v="-00:41:22"/>
    <n v="0"/>
    <n v="0.97"/>
    <x v="22"/>
    <s v="P"/>
    <d v="2026-07-21T00:00:00"/>
    <n v="1"/>
    <n v="1"/>
    <n v="0"/>
    <n v="0"/>
    <n v="0"/>
  </r>
  <r>
    <x v="22"/>
    <n v="25.5"/>
    <n v="1.5"/>
    <n v="0"/>
    <n v="0"/>
    <s v="7, 12, 26"/>
    <x v="21"/>
    <s v="MADAMMA"/>
    <x v="4"/>
    <s v="None"/>
    <s v="GS"/>
    <d v="1899-12-30T16:29:21"/>
    <d v="1899-12-30T00:00:00"/>
    <n v="7.51"/>
    <s v="-07:29:21"/>
    <n v="0"/>
    <s v="-17:30:00"/>
    <n v="0"/>
    <n v="0"/>
    <x v="22"/>
    <s v="P"/>
    <d v="2026-07-22T00:00:00"/>
    <n v="1"/>
    <n v="1"/>
    <n v="0"/>
    <n v="0"/>
    <n v="0"/>
  </r>
  <r>
    <x v="22"/>
    <n v="25.5"/>
    <n v="1.5"/>
    <n v="0"/>
    <n v="0"/>
    <s v="7, 12, 26"/>
    <x v="22"/>
    <s v="MADAMMA"/>
    <x v="4"/>
    <s v="None"/>
    <s v="GS"/>
    <d v="1899-12-30T07:59:04"/>
    <d v="1899-12-30T17:05:44"/>
    <n v="9.11"/>
    <s v="01:00:56"/>
    <n v="1.02"/>
    <s v="-00:24:16"/>
    <n v="0"/>
    <n v="1.02"/>
    <x v="22"/>
    <s v="P"/>
    <d v="2026-07-23T00:00:00"/>
    <n v="1"/>
    <n v="1"/>
    <n v="0"/>
    <n v="0"/>
    <n v="0"/>
  </r>
  <r>
    <x v="22"/>
    <n v="25.5"/>
    <n v="1.5"/>
    <n v="0"/>
    <n v="0"/>
    <s v="7, 12, 26"/>
    <x v="23"/>
    <s v="MADAMMA"/>
    <x v="4"/>
    <s v="None"/>
    <s v="GS"/>
    <d v="1899-12-30T16:25:02"/>
    <d v="1899-12-30T00:00:00"/>
    <n v="7.58"/>
    <s v="-07:25:02"/>
    <n v="0"/>
    <s v="-17:30:00"/>
    <n v="0"/>
    <n v="0"/>
    <x v="22"/>
    <s v="P"/>
    <d v="2026-07-24T00:00:00"/>
    <n v="1"/>
    <n v="1"/>
    <n v="0"/>
    <n v="0"/>
    <n v="0"/>
  </r>
  <r>
    <x v="22"/>
    <n v="25.5"/>
    <n v="1.5"/>
    <n v="0"/>
    <n v="0"/>
    <s v="7, 12, 26"/>
    <x v="24"/>
    <s v="MADAMMA"/>
    <x v="4"/>
    <s v="None"/>
    <s v="GS"/>
    <d v="1899-12-30T08:28:55"/>
    <d v="1899-12-30T15:22:49"/>
    <n v="6.9"/>
    <s v="00:31:05"/>
    <n v="0.5"/>
    <s v="-02:07:11"/>
    <n v="0"/>
    <n v="0.5"/>
    <x v="22"/>
    <s v="P"/>
    <d v="2026-07-25T00:00:00"/>
    <n v="1"/>
    <n v="1"/>
    <n v="0"/>
    <n v="0"/>
    <n v="0"/>
  </r>
  <r>
    <x v="22"/>
    <n v="25.5"/>
    <n v="1.5"/>
    <n v="0"/>
    <n v="0"/>
    <s v="7, 12, 26"/>
    <x v="25"/>
    <s v="MADAMMA"/>
    <x v="4"/>
    <s v="None"/>
    <s v="NA"/>
    <d v="1899-12-30T00:00:00"/>
    <d v="1899-12-30T00:00:00"/>
    <n v="0"/>
    <s v="09:00:00"/>
    <n v="9"/>
    <s v="-17:30:00"/>
    <n v="0"/>
    <n v="9"/>
    <x v="22"/>
    <s v="A"/>
    <d v="2026-07-26T00:00:00"/>
    <n v="0"/>
    <n v="0"/>
    <n v="0"/>
    <n v="0"/>
    <n v="0"/>
  </r>
  <r>
    <x v="22"/>
    <n v="25.5"/>
    <n v="1.5"/>
    <n v="0"/>
    <n v="0"/>
    <s v="7, 12, 26"/>
    <x v="26"/>
    <s v="MADAMMA"/>
    <x v="4"/>
    <s v="None"/>
    <s v="GS"/>
    <d v="1899-12-30T08:12:34"/>
    <d v="1899-12-30T15:44:20"/>
    <n v="7.53"/>
    <s v="00:47:26"/>
    <n v="0.79"/>
    <s v="-01:45:40"/>
    <n v="0"/>
    <n v="0.79"/>
    <x v="22"/>
    <s v="P"/>
    <d v="2026-07-27T00:00:00"/>
    <n v="1"/>
    <n v="1"/>
    <n v="0"/>
    <n v="0"/>
    <n v="0"/>
  </r>
  <r>
    <x v="22"/>
    <n v="25.5"/>
    <n v="1.5"/>
    <n v="0"/>
    <n v="0"/>
    <s v="7, 12, 26"/>
    <x v="27"/>
    <s v="MADAMMA"/>
    <x v="4"/>
    <s v="None"/>
    <s v="GS"/>
    <d v="1899-12-30T08:08:41"/>
    <d v="1899-12-30T16:05:09"/>
    <n v="7.94"/>
    <s v="00:51:19"/>
    <n v="0.86"/>
    <s v="-01:24:51"/>
    <n v="0"/>
    <n v="0.86"/>
    <x v="22"/>
    <s v="P"/>
    <d v="2026-07-28T00:00:00"/>
    <n v="1"/>
    <n v="1"/>
    <n v="0"/>
    <n v="0"/>
    <n v="0"/>
  </r>
  <r>
    <x v="22"/>
    <n v="25.5"/>
    <n v="1.5"/>
    <n v="0"/>
    <n v="0"/>
    <s v="7, 12, 26"/>
    <x v="28"/>
    <s v="MADAMMA"/>
    <x v="4"/>
    <s v="None"/>
    <s v="GS"/>
    <d v="1899-12-30T08:23:52"/>
    <d v="1899-12-30T15:54:39"/>
    <n v="7.51"/>
    <s v="00:36:08"/>
    <n v="0.5"/>
    <s v="-01:35:21"/>
    <n v="0"/>
    <n v="0.5"/>
    <x v="22"/>
    <s v="P"/>
    <d v="2026-07-29T00:00:00"/>
    <n v="1"/>
    <n v="1"/>
    <n v="0"/>
    <n v="0"/>
    <n v="0"/>
  </r>
  <r>
    <x v="22"/>
    <n v="25.5"/>
    <n v="1.5"/>
    <n v="0"/>
    <n v="0"/>
    <s v="7, 12, 26"/>
    <x v="29"/>
    <s v="MADAMMA"/>
    <x v="4"/>
    <s v="None"/>
    <s v="GS"/>
    <d v="1899-12-30T08:07:17"/>
    <d v="1899-12-30T16:05:54"/>
    <n v="7.98"/>
    <s v="00:52:43"/>
    <n v="0.88"/>
    <s v="-01:24:06"/>
    <n v="0"/>
    <n v="0.88"/>
    <x v="22"/>
    <s v="P"/>
    <d v="2026-07-30T00:00:00"/>
    <n v="1"/>
    <n v="1"/>
    <n v="0"/>
    <n v="0"/>
    <n v="0"/>
  </r>
  <r>
    <x v="22"/>
    <n v="25.5"/>
    <n v="1.5"/>
    <n v="0"/>
    <n v="0"/>
    <s v="7, 12, 26"/>
    <x v="30"/>
    <s v="MADAMMA"/>
    <x v="4"/>
    <s v="None"/>
    <s v="GS"/>
    <d v="1899-12-30T08:37:42"/>
    <d v="1899-12-30T14:57:41"/>
    <n v="6.33"/>
    <s v="00:22:18"/>
    <n v="0"/>
    <s v="-02:32:19"/>
    <n v="0"/>
    <n v="0"/>
    <x v="22"/>
    <s v="P"/>
    <d v="2026-07-31T00:00:00"/>
    <n v="1"/>
    <n v="1"/>
    <n v="0"/>
    <n v="0"/>
    <n v="0"/>
  </r>
  <r>
    <x v="23"/>
    <n v="27"/>
    <n v="0"/>
    <n v="0"/>
    <n v="0"/>
    <s v="26"/>
    <x v="0"/>
    <s v="Yaswanth"/>
    <x v="1"/>
    <s v="Helper"/>
    <s v="GS"/>
    <d v="1899-12-30T08:30:19"/>
    <d v="1899-12-30T17:49:34"/>
    <n v="9.32"/>
    <s v="00:29:41"/>
    <n v="0"/>
    <s v="00:19:34"/>
    <n v="0"/>
    <n v="0"/>
    <x v="23"/>
    <s v="P"/>
    <d v="2026-07-01T00:00:00"/>
    <n v="1"/>
    <n v="1"/>
    <n v="0"/>
    <n v="0"/>
    <n v="0"/>
  </r>
  <r>
    <x v="23"/>
    <n v="27"/>
    <n v="0"/>
    <n v="0"/>
    <n v="0"/>
    <s v="26"/>
    <x v="1"/>
    <s v="Yaswanth"/>
    <x v="1"/>
    <s v="Helper"/>
    <s v="GS"/>
    <d v="1899-12-30T08:23:59"/>
    <d v="1899-12-30T17:41:09"/>
    <n v="9.2899999999999991"/>
    <s v="00:36:01"/>
    <n v="0.5"/>
    <s v="00:11:09"/>
    <n v="0"/>
    <n v="0.5"/>
    <x v="23"/>
    <s v="P"/>
    <d v="2026-07-02T00:00:00"/>
    <n v="1"/>
    <n v="1"/>
    <n v="0"/>
    <n v="0"/>
    <n v="0"/>
  </r>
  <r>
    <x v="23"/>
    <n v="27"/>
    <n v="0"/>
    <n v="0"/>
    <n v="0"/>
    <s v="26"/>
    <x v="2"/>
    <s v="Yaswanth"/>
    <x v="1"/>
    <s v="Helper"/>
    <s v="GS"/>
    <d v="1899-12-30T08:20:05"/>
    <d v="1899-12-30T17:50:32"/>
    <n v="9.51"/>
    <s v="00:39:55"/>
    <n v="0.5"/>
    <s v="00:20:32"/>
    <n v="0"/>
    <n v="0.5"/>
    <x v="23"/>
    <s v="P"/>
    <d v="2026-07-03T00:00:00"/>
    <n v="1"/>
    <n v="1"/>
    <n v="0"/>
    <n v="0"/>
    <n v="0"/>
  </r>
  <r>
    <x v="23"/>
    <n v="27"/>
    <n v="0"/>
    <n v="0"/>
    <n v="0"/>
    <s v="26"/>
    <x v="3"/>
    <s v="Yaswanth"/>
    <x v="1"/>
    <s v="Helper"/>
    <s v="GS"/>
    <d v="1899-12-30T07:52:44"/>
    <d v="1899-12-30T18:30:20"/>
    <n v="10.63"/>
    <s v="01:07:16"/>
    <n v="1.1200000000000001"/>
    <s v="01:00:20"/>
    <n v="1.01"/>
    <n v="2.13"/>
    <x v="23"/>
    <s v="P"/>
    <d v="2026-07-04T00:00:00"/>
    <n v="1"/>
    <n v="1"/>
    <n v="0"/>
    <n v="0"/>
    <n v="0"/>
  </r>
  <r>
    <x v="23"/>
    <n v="27"/>
    <n v="0"/>
    <n v="0"/>
    <n v="0"/>
    <s v="26"/>
    <x v="4"/>
    <s v="Yaswanth"/>
    <x v="1"/>
    <s v="Helper"/>
    <s v="GS"/>
    <d v="1899-12-30T09:00:00"/>
    <d v="1899-12-30T12:35:52"/>
    <n v="3.6"/>
    <s v="00:00:00"/>
    <n v="0"/>
    <s v="-04:54:08"/>
    <n v="0"/>
    <n v="0"/>
    <x v="23"/>
    <s v="H"/>
    <d v="2026-07-05T00:00:00"/>
    <n v="0.5"/>
    <n v="0"/>
    <n v="0.5"/>
    <n v="0"/>
    <n v="0"/>
  </r>
  <r>
    <x v="23"/>
    <n v="27"/>
    <n v="0"/>
    <n v="0"/>
    <n v="0"/>
    <s v="26"/>
    <x v="5"/>
    <s v="Yaswanth"/>
    <x v="1"/>
    <s v="Helper"/>
    <s v="GS"/>
    <d v="1899-12-30T08:26:58"/>
    <d v="1899-12-30T17:32:00"/>
    <n v="9.08"/>
    <s v="00:33:02"/>
    <n v="0.5"/>
    <s v="00:02:00"/>
    <n v="0"/>
    <n v="0.5"/>
    <x v="23"/>
    <s v="P"/>
    <d v="2026-07-06T00:00:00"/>
    <n v="1"/>
    <n v="1"/>
    <n v="0"/>
    <n v="0"/>
    <n v="0"/>
  </r>
  <r>
    <x v="23"/>
    <n v="27"/>
    <n v="0"/>
    <n v="0"/>
    <n v="0"/>
    <s v="26"/>
    <x v="6"/>
    <s v="Yaswanth"/>
    <x v="1"/>
    <s v="Helper"/>
    <s v="GS"/>
    <d v="1899-12-30T08:28:06"/>
    <d v="1899-12-30T19:31:25"/>
    <n v="11.06"/>
    <s v="00:31:54"/>
    <n v="0.5"/>
    <s v="02:01:25"/>
    <n v="2.02"/>
    <n v="2.52"/>
    <x v="23"/>
    <s v="P"/>
    <d v="2026-07-07T00:00:00"/>
    <n v="1"/>
    <n v="1"/>
    <n v="0"/>
    <n v="0"/>
    <n v="0"/>
  </r>
  <r>
    <x v="23"/>
    <n v="27"/>
    <n v="0"/>
    <n v="0"/>
    <n v="0"/>
    <s v="26"/>
    <x v="7"/>
    <s v="Yaswanth"/>
    <x v="1"/>
    <s v="Helper"/>
    <s v="GS"/>
    <d v="1899-12-30T08:30:27"/>
    <d v="1899-12-30T19:44:42"/>
    <n v="11.24"/>
    <s v="00:29:33"/>
    <n v="0"/>
    <s v="02:14:42"/>
    <n v="2.2400000000000002"/>
    <n v="2.2400000000000002"/>
    <x v="23"/>
    <s v="P"/>
    <d v="2026-07-08T00:00:00"/>
    <n v="1"/>
    <n v="1"/>
    <n v="0"/>
    <n v="0"/>
    <n v="0"/>
  </r>
  <r>
    <x v="23"/>
    <n v="27"/>
    <n v="0"/>
    <n v="0"/>
    <n v="0"/>
    <s v="26"/>
    <x v="8"/>
    <s v="Yaswanth"/>
    <x v="1"/>
    <s v="Helper"/>
    <s v="GS"/>
    <d v="1899-12-30T08:28:02"/>
    <d v="1899-12-30T18:58:01"/>
    <n v="10.5"/>
    <s v="00:31:58"/>
    <n v="0.5"/>
    <s v="01:28:01"/>
    <n v="1.47"/>
    <n v="1.97"/>
    <x v="23"/>
    <s v="P"/>
    <d v="2026-07-09T00:00:00"/>
    <n v="1"/>
    <n v="1"/>
    <n v="0"/>
    <n v="0"/>
    <n v="0"/>
  </r>
  <r>
    <x v="23"/>
    <n v="27"/>
    <n v="0"/>
    <n v="0"/>
    <n v="0"/>
    <s v="26"/>
    <x v="9"/>
    <s v="Yaswanth"/>
    <x v="1"/>
    <s v="Helper"/>
    <s v="GS"/>
    <d v="1899-12-30T08:26:54"/>
    <d v="1899-12-30T18:30:56"/>
    <n v="10.07"/>
    <s v="00:33:06"/>
    <n v="0.5"/>
    <s v="01:00:56"/>
    <n v="1.02"/>
    <n v="1.52"/>
    <x v="23"/>
    <s v="P"/>
    <d v="2026-07-10T00:00:00"/>
    <n v="1"/>
    <n v="1"/>
    <n v="0"/>
    <n v="0"/>
    <n v="0"/>
  </r>
  <r>
    <x v="23"/>
    <n v="27"/>
    <n v="0"/>
    <n v="0"/>
    <n v="0"/>
    <s v="26"/>
    <x v="10"/>
    <s v="Yaswanth"/>
    <x v="1"/>
    <s v="Helper"/>
    <s v="GS"/>
    <d v="1899-12-30T08:55:49"/>
    <d v="1899-12-30T18:57:47"/>
    <n v="10.029999999999999"/>
    <s v="00:04:11"/>
    <n v="0"/>
    <s v="01:27:47"/>
    <n v="1.46"/>
    <n v="1.46"/>
    <x v="23"/>
    <s v="P"/>
    <d v="2026-07-11T00:00:00"/>
    <n v="1"/>
    <n v="1"/>
    <n v="0"/>
    <n v="0"/>
    <n v="0"/>
  </r>
  <r>
    <x v="23"/>
    <n v="27"/>
    <n v="0"/>
    <n v="0"/>
    <n v="0"/>
    <s v="26"/>
    <x v="11"/>
    <s v="Yaswanth"/>
    <x v="1"/>
    <s v="Helper"/>
    <s v="GS"/>
    <d v="1899-12-30T08:26:33"/>
    <d v="1899-12-30T16:39:04"/>
    <n v="8.2100000000000009"/>
    <s v="00:33:27"/>
    <n v="0.5"/>
    <s v="-00:50:56"/>
    <n v="0"/>
    <n v="0.5"/>
    <x v="23"/>
    <s v="P"/>
    <d v="2026-07-12T00:00:00"/>
    <n v="1"/>
    <n v="0"/>
    <n v="1"/>
    <n v="0"/>
    <n v="0"/>
  </r>
  <r>
    <x v="23"/>
    <n v="27"/>
    <n v="0"/>
    <n v="0"/>
    <n v="0"/>
    <s v="26"/>
    <x v="12"/>
    <s v="Yaswanth"/>
    <x v="1"/>
    <s v="Helper"/>
    <s v="GS"/>
    <d v="1899-12-30T08:25:38"/>
    <d v="1899-12-30T19:17:30"/>
    <n v="10.86"/>
    <s v="00:34:22"/>
    <n v="0.5"/>
    <s v="01:47:30"/>
    <n v="1.79"/>
    <n v="2.29"/>
    <x v="23"/>
    <s v="P"/>
    <d v="2026-07-13T00:00:00"/>
    <n v="1"/>
    <n v="1"/>
    <n v="0"/>
    <n v="0"/>
    <n v="0"/>
  </r>
  <r>
    <x v="23"/>
    <n v="27"/>
    <n v="0"/>
    <n v="0"/>
    <n v="0"/>
    <s v="26"/>
    <x v="13"/>
    <s v="Yaswanth"/>
    <x v="1"/>
    <s v="Helper"/>
    <s v="GS"/>
    <d v="1899-12-30T09:00:00"/>
    <d v="1899-12-30T18:32:24"/>
    <n v="9.5399999999999991"/>
    <s v="00:00:00"/>
    <n v="0"/>
    <s v="01:02:24"/>
    <n v="1.04"/>
    <n v="1.04"/>
    <x v="23"/>
    <s v="P"/>
    <d v="2026-07-14T00:00:00"/>
    <n v="1"/>
    <n v="1"/>
    <n v="0"/>
    <n v="0"/>
    <n v="0"/>
  </r>
  <r>
    <x v="23"/>
    <n v="27"/>
    <n v="0"/>
    <n v="0"/>
    <n v="0"/>
    <s v="26"/>
    <x v="14"/>
    <s v="Yaswanth"/>
    <x v="1"/>
    <s v="Helper"/>
    <s v="GS"/>
    <d v="1899-12-30T08:13:59"/>
    <d v="1899-12-30T18:35:55"/>
    <n v="10.37"/>
    <s v="00:46:01"/>
    <n v="0.77"/>
    <s v="01:05:55"/>
    <n v="1.1000000000000001"/>
    <n v="1.87"/>
    <x v="23"/>
    <s v="P"/>
    <d v="2026-07-15T00:00:00"/>
    <n v="1"/>
    <n v="1"/>
    <n v="0"/>
    <n v="0"/>
    <n v="0"/>
  </r>
  <r>
    <x v="23"/>
    <n v="27"/>
    <n v="0"/>
    <n v="0"/>
    <n v="0"/>
    <s v="26"/>
    <x v="15"/>
    <s v="Yaswanth"/>
    <x v="1"/>
    <s v="Helper"/>
    <s v="GS"/>
    <d v="1899-12-30T08:29:41"/>
    <d v="1899-12-30T19:44:52"/>
    <n v="11.25"/>
    <s v="00:30:19"/>
    <n v="0.5"/>
    <s v="02:14:52"/>
    <n v="2.25"/>
    <n v="2.75"/>
    <x v="23"/>
    <s v="P"/>
    <d v="2026-07-16T00:00:00"/>
    <n v="1"/>
    <n v="1"/>
    <n v="0"/>
    <n v="0"/>
    <n v="0"/>
  </r>
  <r>
    <x v="23"/>
    <n v="27"/>
    <n v="0"/>
    <n v="0"/>
    <n v="0"/>
    <s v="26"/>
    <x v="16"/>
    <s v="Yaswanth"/>
    <x v="1"/>
    <s v="Helper"/>
    <s v="GS"/>
    <d v="1899-12-30T08:36:01"/>
    <d v="1899-12-30T20:00:17"/>
    <n v="11.4"/>
    <s v="00:23:59"/>
    <n v="0"/>
    <s v="02:30:17"/>
    <n v="2.5"/>
    <n v="2.5"/>
    <x v="23"/>
    <s v="P"/>
    <d v="2026-07-17T00:00:00"/>
    <n v="1"/>
    <n v="1"/>
    <n v="0"/>
    <n v="0"/>
    <n v="0"/>
  </r>
  <r>
    <x v="23"/>
    <n v="27"/>
    <n v="0"/>
    <n v="0"/>
    <n v="0"/>
    <s v="26"/>
    <x v="17"/>
    <s v="Yaswanth"/>
    <x v="1"/>
    <s v="Helper"/>
    <s v="GS"/>
    <d v="1899-12-30T08:30:57"/>
    <d v="1899-12-30T19:29:19"/>
    <n v="10.97"/>
    <s v="00:29:03"/>
    <n v="0"/>
    <s v="01:59:19"/>
    <n v="1.99"/>
    <n v="1.99"/>
    <x v="23"/>
    <s v="P"/>
    <d v="2026-07-18T00:00:00"/>
    <n v="1"/>
    <n v="1"/>
    <n v="0"/>
    <n v="0"/>
    <n v="0"/>
  </r>
  <r>
    <x v="23"/>
    <n v="27"/>
    <n v="0"/>
    <n v="0"/>
    <n v="0"/>
    <s v="26"/>
    <x v="18"/>
    <s v="Yaswanth"/>
    <x v="1"/>
    <s v="Helper"/>
    <s v="GS"/>
    <d v="1899-12-30T08:39:24"/>
    <d v="1899-12-30T16:37:41"/>
    <n v="7.97"/>
    <s v="00:20:36"/>
    <n v="0"/>
    <s v="-00:52:19"/>
    <n v="0"/>
    <n v="0"/>
    <x v="23"/>
    <s v="P"/>
    <d v="2026-07-19T00:00:00"/>
    <n v="1"/>
    <n v="0"/>
    <n v="1"/>
    <n v="0"/>
    <n v="0"/>
  </r>
  <r>
    <x v="23"/>
    <n v="27"/>
    <n v="0"/>
    <n v="0"/>
    <n v="0"/>
    <s v="26"/>
    <x v="19"/>
    <s v="Yaswanth"/>
    <x v="1"/>
    <s v="Helper"/>
    <s v="GS"/>
    <d v="1899-12-30T08:57:36"/>
    <d v="1899-12-30T19:33:58"/>
    <n v="10.61"/>
    <s v="00:02:24"/>
    <n v="0"/>
    <s v="02:03:58"/>
    <n v="2.0699999999999998"/>
    <n v="2.0699999999999998"/>
    <x v="23"/>
    <s v="P"/>
    <d v="2026-07-20T00:00:00"/>
    <n v="1"/>
    <n v="1"/>
    <n v="0"/>
    <n v="0"/>
    <n v="0"/>
  </r>
  <r>
    <x v="23"/>
    <n v="27"/>
    <n v="0"/>
    <n v="0"/>
    <n v="0"/>
    <s v="26"/>
    <x v="20"/>
    <s v="Yaswanth"/>
    <x v="1"/>
    <s v="Helper"/>
    <s v="GS"/>
    <d v="1899-12-30T08:34:08"/>
    <d v="1899-12-30T20:01:34"/>
    <n v="11.46"/>
    <s v="00:25:52"/>
    <n v="0"/>
    <s v="02:31:34"/>
    <n v="2.5299999999999998"/>
    <n v="2.5299999999999998"/>
    <x v="23"/>
    <s v="P"/>
    <d v="2026-07-21T00:00:00"/>
    <n v="1"/>
    <n v="1"/>
    <n v="0"/>
    <n v="0"/>
    <n v="0"/>
  </r>
  <r>
    <x v="23"/>
    <n v="27"/>
    <n v="0"/>
    <n v="0"/>
    <n v="0"/>
    <s v="26"/>
    <x v="21"/>
    <s v="Yaswanth"/>
    <x v="1"/>
    <s v="Helper"/>
    <s v="GS"/>
    <d v="1899-12-30T08:07:30"/>
    <d v="1899-12-30T18:12:46"/>
    <n v="10.09"/>
    <s v="00:52:30"/>
    <n v="0.88"/>
    <s v="00:42:46"/>
    <n v="0.5"/>
    <n v="1.38"/>
    <x v="23"/>
    <s v="P"/>
    <d v="2026-07-22T00:00:00"/>
    <n v="1"/>
    <n v="1"/>
    <n v="0"/>
    <n v="0"/>
    <n v="0"/>
  </r>
  <r>
    <x v="23"/>
    <n v="27"/>
    <n v="0"/>
    <n v="0"/>
    <n v="0"/>
    <s v="26"/>
    <x v="22"/>
    <s v="Yaswanth"/>
    <x v="1"/>
    <s v="Helper"/>
    <s v="GS"/>
    <d v="1899-12-30T08:23:20"/>
    <d v="1899-12-30T18:31:25"/>
    <n v="10.130000000000001"/>
    <s v="00:36:40"/>
    <n v="0.5"/>
    <s v="01:01:25"/>
    <n v="1.02"/>
    <n v="1.52"/>
    <x v="23"/>
    <s v="P"/>
    <d v="2026-07-23T00:00:00"/>
    <n v="1"/>
    <n v="1"/>
    <n v="0"/>
    <n v="0"/>
    <n v="0"/>
  </r>
  <r>
    <x v="23"/>
    <n v="27"/>
    <n v="0"/>
    <n v="0"/>
    <n v="0"/>
    <s v="26"/>
    <x v="23"/>
    <s v="Yaswanth"/>
    <x v="1"/>
    <s v="Helper"/>
    <s v="GS"/>
    <d v="1899-12-30T08:29:07"/>
    <d v="1899-12-30T19:31:57"/>
    <n v="11.05"/>
    <s v="00:30:53"/>
    <n v="0.5"/>
    <s v="02:01:57"/>
    <n v="2.0299999999999998"/>
    <n v="2.5299999999999998"/>
    <x v="23"/>
    <s v="P"/>
    <d v="2026-07-24T00:00:00"/>
    <n v="1"/>
    <n v="1"/>
    <n v="0"/>
    <n v="0"/>
    <n v="0"/>
  </r>
  <r>
    <x v="23"/>
    <n v="27"/>
    <n v="0"/>
    <n v="0"/>
    <n v="0"/>
    <s v="26"/>
    <x v="24"/>
    <s v="Yaswanth"/>
    <x v="1"/>
    <s v="Helper"/>
    <s v="GS"/>
    <d v="1899-12-30T08:34:06"/>
    <d v="1899-12-30T19:02:05"/>
    <n v="10.47"/>
    <s v="00:25:54"/>
    <n v="0"/>
    <s v="01:32:05"/>
    <n v="1.53"/>
    <n v="1.53"/>
    <x v="23"/>
    <s v="P"/>
    <d v="2026-07-25T00:00:00"/>
    <n v="1"/>
    <n v="1"/>
    <n v="0"/>
    <n v="0"/>
    <n v="0"/>
  </r>
  <r>
    <x v="23"/>
    <n v="27"/>
    <n v="0"/>
    <n v="0"/>
    <n v="0"/>
    <s v="26"/>
    <x v="25"/>
    <s v="Yaswanth"/>
    <x v="1"/>
    <s v="Helper"/>
    <s v="NA"/>
    <d v="1899-12-30T00:00:00"/>
    <d v="1899-12-30T00:00:00"/>
    <n v="0"/>
    <s v="09:00:00"/>
    <n v="9"/>
    <s v="-17:30:00"/>
    <n v="0"/>
    <n v="9"/>
    <x v="23"/>
    <s v="A"/>
    <d v="2026-07-26T00:00:00"/>
    <n v="0"/>
    <n v="0"/>
    <n v="0"/>
    <n v="0"/>
    <n v="0"/>
  </r>
  <r>
    <x v="23"/>
    <n v="27"/>
    <n v="0"/>
    <n v="0"/>
    <n v="0"/>
    <s v="26"/>
    <x v="26"/>
    <s v="Yaswanth"/>
    <x v="1"/>
    <s v="Helper"/>
    <s v="GS"/>
    <d v="1899-12-30T08:50:31"/>
    <d v="1899-12-30T18:46:33"/>
    <n v="9.93"/>
    <s v="00:09:29"/>
    <n v="0"/>
    <s v="01:16:33"/>
    <n v="1.28"/>
    <n v="1.28"/>
    <x v="23"/>
    <s v="P"/>
    <d v="2026-07-27T00:00:00"/>
    <n v="1"/>
    <n v="1"/>
    <n v="0"/>
    <n v="0"/>
    <n v="0"/>
  </r>
  <r>
    <x v="23"/>
    <n v="27"/>
    <n v="0"/>
    <n v="0"/>
    <n v="0"/>
    <s v="26"/>
    <x v="27"/>
    <s v="Yaswanth"/>
    <x v="1"/>
    <s v="Helper"/>
    <s v="GS"/>
    <d v="1899-12-30T08:32:04"/>
    <d v="1899-12-30T20:26:41"/>
    <n v="11.91"/>
    <s v="00:27:56"/>
    <n v="0"/>
    <s v="02:56:41"/>
    <n v="2.94"/>
    <n v="2.94"/>
    <x v="23"/>
    <s v="P"/>
    <d v="2026-07-28T00:00:00"/>
    <n v="1"/>
    <n v="1"/>
    <n v="0"/>
    <n v="0"/>
    <n v="0"/>
  </r>
  <r>
    <x v="23"/>
    <n v="27"/>
    <n v="0"/>
    <n v="0"/>
    <n v="0"/>
    <s v="26"/>
    <x v="28"/>
    <s v="Yaswanth"/>
    <x v="1"/>
    <s v="Helper"/>
    <s v="GS"/>
    <d v="1899-12-30T08:31:55"/>
    <d v="1899-12-30T21:01:37"/>
    <n v="12.5"/>
    <s v="00:28:05"/>
    <n v="0"/>
    <s v="03:31:37"/>
    <n v="3.53"/>
    <n v="3.53"/>
    <x v="23"/>
    <s v="P"/>
    <d v="2026-07-29T00:00:00"/>
    <n v="1"/>
    <n v="1"/>
    <n v="0"/>
    <n v="0"/>
    <n v="0"/>
  </r>
  <r>
    <x v="23"/>
    <n v="27"/>
    <n v="0"/>
    <n v="0"/>
    <n v="0"/>
    <s v="26"/>
    <x v="29"/>
    <s v="Yaswanth"/>
    <x v="1"/>
    <s v="Helper"/>
    <s v="GS"/>
    <d v="1899-12-30T08:31:52"/>
    <d v="1899-12-30T23:37:24"/>
    <n v="15.09"/>
    <s v="00:28:08"/>
    <n v="0"/>
    <s v="06:07:24"/>
    <n v="6.12"/>
    <n v="6.12"/>
    <x v="23"/>
    <s v="P"/>
    <d v="2026-07-30T00:00:00"/>
    <n v="1"/>
    <n v="1"/>
    <n v="0"/>
    <n v="0"/>
    <n v="0"/>
  </r>
  <r>
    <x v="23"/>
    <n v="27"/>
    <n v="0"/>
    <n v="0"/>
    <n v="0"/>
    <s v="26"/>
    <x v="30"/>
    <s v="Yaswanth"/>
    <x v="1"/>
    <s v="Helper"/>
    <s v="GS"/>
    <d v="1899-12-30T08:25:29"/>
    <d v="1899-12-30T23:08:39"/>
    <n v="14.72"/>
    <s v="00:34:31"/>
    <n v="0.5"/>
    <s v="05:38:39"/>
    <n v="5.64"/>
    <n v="6.14"/>
    <x v="23"/>
    <s v="P"/>
    <d v="2026-07-31T00:00:00"/>
    <n v="1"/>
    <n v="1"/>
    <n v="0"/>
    <n v="0"/>
    <n v="0"/>
  </r>
  <r>
    <x v="24"/>
    <n v="24"/>
    <n v="3"/>
    <n v="0"/>
    <n v="0"/>
    <s v="5, 8, 12, 17, 20, 26"/>
    <x v="0"/>
    <s v="MANJULA V.M"/>
    <x v="3"/>
    <s v="None"/>
    <s v="GS"/>
    <d v="1899-12-30T09:04:47"/>
    <d v="1899-12-30T17:29:07"/>
    <n v="8.41"/>
    <s v="-00:04:47"/>
    <n v="0"/>
    <s v="-00:00:53"/>
    <n v="0"/>
    <n v="0"/>
    <x v="24"/>
    <s v="P"/>
    <d v="2026-07-01T00:00:00"/>
    <n v="1"/>
    <n v="1"/>
    <n v="0"/>
    <n v="0"/>
    <n v="0"/>
  </r>
  <r>
    <x v="24"/>
    <n v="24"/>
    <n v="3"/>
    <n v="0"/>
    <n v="0"/>
    <s v="5, 8, 12, 17, 20, 26"/>
    <x v="1"/>
    <s v="MANJULA V.M"/>
    <x v="3"/>
    <s v="None"/>
    <s v="GS"/>
    <d v="1899-12-30T09:29:22"/>
    <d v="1899-12-30T16:25:21"/>
    <n v="6.93"/>
    <s v="-00:29:22"/>
    <n v="0"/>
    <s v="-01:04:39"/>
    <n v="0"/>
    <n v="0"/>
    <x v="24"/>
    <s v="P"/>
    <d v="2026-07-02T00:00:00"/>
    <n v="1"/>
    <n v="1"/>
    <n v="0"/>
    <n v="0"/>
    <n v="0"/>
  </r>
  <r>
    <x v="24"/>
    <n v="24"/>
    <n v="3"/>
    <n v="0"/>
    <n v="0"/>
    <s v="5, 8, 12, 17, 20, 26"/>
    <x v="2"/>
    <s v="MANJULA V.M"/>
    <x v="3"/>
    <s v="None"/>
    <s v="GS"/>
    <d v="1899-12-30T09:03:15"/>
    <d v="1899-12-30T17:27:54"/>
    <n v="8.41"/>
    <s v="-00:03:15"/>
    <n v="0"/>
    <s v="-00:02:06"/>
    <n v="0"/>
    <n v="0"/>
    <x v="24"/>
    <s v="P"/>
    <d v="2026-07-03T00:00:00"/>
    <n v="1"/>
    <n v="1"/>
    <n v="0"/>
    <n v="0"/>
    <n v="0"/>
  </r>
  <r>
    <x v="24"/>
    <n v="24"/>
    <n v="3"/>
    <n v="0"/>
    <n v="0"/>
    <s v="5, 8, 12, 17, 20, 26"/>
    <x v="3"/>
    <s v="MANJULA V.M"/>
    <x v="3"/>
    <s v="None"/>
    <s v="GS"/>
    <d v="1899-12-30T08:55:18"/>
    <d v="1899-12-30T17:24:00"/>
    <n v="8.48"/>
    <s v="00:04:42"/>
    <n v="0"/>
    <s v="-00:06:00"/>
    <n v="0"/>
    <n v="0"/>
    <x v="24"/>
    <s v="P"/>
    <d v="2026-07-04T00:00:00"/>
    <n v="1"/>
    <n v="1"/>
    <n v="0"/>
    <n v="0"/>
    <n v="0"/>
  </r>
  <r>
    <x v="24"/>
    <n v="24"/>
    <n v="3"/>
    <n v="0"/>
    <n v="0"/>
    <s v="5, 8, 12, 17, 20, 26"/>
    <x v="4"/>
    <s v="MANJULA V.M"/>
    <x v="3"/>
    <s v="None"/>
    <s v="NA"/>
    <d v="1899-12-30T00:00:00"/>
    <d v="1899-12-30T00:00:00"/>
    <n v="0"/>
    <s v="09:00:00"/>
    <n v="9"/>
    <s v="-17:30:00"/>
    <n v="0"/>
    <n v="9"/>
    <x v="24"/>
    <s v="A"/>
    <d v="2026-07-05T00:00:00"/>
    <n v="0"/>
    <n v="0"/>
    <n v="0"/>
    <n v="0"/>
    <n v="0"/>
  </r>
  <r>
    <x v="24"/>
    <n v="24"/>
    <n v="3"/>
    <n v="0"/>
    <n v="0"/>
    <s v="5, 8, 12, 17, 20, 26"/>
    <x v="5"/>
    <s v="MANJULA V.M"/>
    <x v="3"/>
    <s v="None"/>
    <s v="GS"/>
    <d v="1899-12-30T08:49:57"/>
    <d v="1899-12-30T18:24:27"/>
    <n v="9.58"/>
    <s v="00:10:03"/>
    <n v="0"/>
    <s v="00:54:27"/>
    <n v="0.91"/>
    <n v="0.91"/>
    <x v="24"/>
    <s v="P"/>
    <d v="2026-07-06T00:00:00"/>
    <n v="1"/>
    <n v="1"/>
    <n v="0"/>
    <n v="0"/>
    <n v="0"/>
  </r>
  <r>
    <x v="24"/>
    <n v="24"/>
    <n v="3"/>
    <n v="0"/>
    <n v="0"/>
    <s v="5, 8, 12, 17, 20, 26"/>
    <x v="6"/>
    <s v="MANJULA V.M"/>
    <x v="3"/>
    <s v="None"/>
    <s v="GS"/>
    <d v="1899-12-30T09:02:40"/>
    <d v="1899-12-30T18:26:45"/>
    <n v="9.4"/>
    <s v="-00:02:40"/>
    <n v="0"/>
    <s v="00:56:45"/>
    <n v="0.95"/>
    <n v="0.95"/>
    <x v="24"/>
    <s v="P"/>
    <d v="2026-07-07T00:00:00"/>
    <n v="1"/>
    <n v="1"/>
    <n v="0"/>
    <n v="0"/>
    <n v="0"/>
  </r>
  <r>
    <x v="24"/>
    <n v="24"/>
    <n v="3"/>
    <n v="0"/>
    <n v="0"/>
    <s v="5, 8, 12, 17, 20, 26"/>
    <x v="7"/>
    <s v="MANJULA V.M"/>
    <x v="3"/>
    <s v="None"/>
    <s v="NA"/>
    <d v="1899-12-30T00:00:00"/>
    <d v="1899-12-30T00:00:00"/>
    <n v="0"/>
    <s v="09:00:00"/>
    <n v="9"/>
    <s v="-17:30:00"/>
    <n v="0"/>
    <n v="9"/>
    <x v="24"/>
    <s v="A"/>
    <d v="2026-07-08T00:00:00"/>
    <n v="0"/>
    <n v="0"/>
    <n v="0"/>
    <n v="0"/>
    <n v="0"/>
  </r>
  <r>
    <x v="24"/>
    <n v="24"/>
    <n v="3"/>
    <n v="0"/>
    <n v="0"/>
    <s v="5, 8, 12, 17, 20, 26"/>
    <x v="8"/>
    <s v="MANJULA V.M"/>
    <x v="3"/>
    <s v="None"/>
    <s v="GS"/>
    <d v="1899-12-30T08:45:44"/>
    <d v="1899-12-30T18:27:40"/>
    <n v="9.6999999999999993"/>
    <s v="00:14:16"/>
    <n v="0"/>
    <s v="00:57:40"/>
    <n v="0.96"/>
    <n v="0.96"/>
    <x v="24"/>
    <s v="P"/>
    <d v="2026-07-09T00:00:00"/>
    <n v="1"/>
    <n v="1"/>
    <n v="0"/>
    <n v="0"/>
    <n v="0"/>
  </r>
  <r>
    <x v="24"/>
    <n v="24"/>
    <n v="3"/>
    <n v="0"/>
    <n v="0"/>
    <s v="5, 8, 12, 17, 20, 26"/>
    <x v="9"/>
    <s v="MANJULA V.M"/>
    <x v="3"/>
    <s v="None"/>
    <s v="GS"/>
    <d v="1899-12-30T09:00:08"/>
    <d v="1899-12-30T19:36:15"/>
    <n v="10.6"/>
    <s v="-00:00:08"/>
    <n v="0"/>
    <s v="02:06:15"/>
    <n v="2.1"/>
    <n v="2.1"/>
    <x v="24"/>
    <s v="P"/>
    <d v="2026-07-10T00:00:00"/>
    <n v="1"/>
    <n v="1"/>
    <n v="0"/>
    <n v="0"/>
    <n v="0"/>
  </r>
  <r>
    <x v="24"/>
    <n v="24"/>
    <n v="3"/>
    <n v="0"/>
    <n v="0"/>
    <s v="5, 8, 12, 17, 20, 26"/>
    <x v="10"/>
    <s v="MANJULA V.M"/>
    <x v="3"/>
    <s v="None"/>
    <s v="GS"/>
    <d v="1899-12-30T08:59:22"/>
    <d v="1899-12-30T20:02:23"/>
    <n v="11.05"/>
    <s v="00:00:38"/>
    <n v="0"/>
    <s v="02:32:23"/>
    <n v="2.54"/>
    <n v="2.54"/>
    <x v="24"/>
    <s v="P"/>
    <d v="2026-07-11T00:00:00"/>
    <n v="1"/>
    <n v="1"/>
    <n v="0"/>
    <n v="0"/>
    <n v="0"/>
  </r>
  <r>
    <x v="24"/>
    <n v="24"/>
    <n v="3"/>
    <n v="0"/>
    <n v="0"/>
    <s v="5, 8, 12, 17, 20, 26"/>
    <x v="11"/>
    <s v="MANJULA V.M"/>
    <x v="3"/>
    <s v="None"/>
    <s v="NA"/>
    <d v="1899-12-30T00:00:00"/>
    <d v="1899-12-30T00:00:00"/>
    <n v="0"/>
    <s v="09:00:00"/>
    <n v="9"/>
    <s v="-17:30:00"/>
    <n v="0"/>
    <n v="9"/>
    <x v="24"/>
    <s v="A"/>
    <d v="2026-07-12T00:00:00"/>
    <n v="0"/>
    <n v="0"/>
    <n v="0"/>
    <n v="0"/>
    <n v="0"/>
  </r>
  <r>
    <x v="24"/>
    <n v="24"/>
    <n v="3"/>
    <n v="0"/>
    <n v="0"/>
    <s v="5, 8, 12, 17, 20, 26"/>
    <x v="12"/>
    <s v="MANJULA V.M"/>
    <x v="3"/>
    <s v="None"/>
    <s v="GS"/>
    <d v="1899-12-30T09:21:29"/>
    <d v="1899-12-30T19:51:53"/>
    <n v="10.51"/>
    <s v="-00:21:29"/>
    <n v="0"/>
    <s v="02:21:53"/>
    <n v="2.36"/>
    <n v="2.36"/>
    <x v="24"/>
    <s v="P"/>
    <d v="2026-07-13T00:00:00"/>
    <n v="1"/>
    <n v="1"/>
    <n v="0"/>
    <n v="0"/>
    <n v="0"/>
  </r>
  <r>
    <x v="24"/>
    <n v="24"/>
    <n v="3"/>
    <n v="0"/>
    <n v="0"/>
    <s v="5, 8, 12, 17, 20, 26"/>
    <x v="13"/>
    <s v="MANJULA V.M"/>
    <x v="3"/>
    <s v="None"/>
    <s v="GS"/>
    <d v="1899-12-30T08:44:54"/>
    <d v="1899-12-30T19:36:35"/>
    <n v="10.86"/>
    <s v="00:15:06"/>
    <n v="0"/>
    <s v="02:06:35"/>
    <n v="2.11"/>
    <n v="2.11"/>
    <x v="24"/>
    <s v="P"/>
    <d v="2026-07-14T00:00:00"/>
    <n v="1"/>
    <n v="1"/>
    <n v="0"/>
    <n v="0"/>
    <n v="0"/>
  </r>
  <r>
    <x v="24"/>
    <n v="24"/>
    <n v="3"/>
    <n v="0"/>
    <n v="0"/>
    <s v="5, 8, 12, 17, 20, 26"/>
    <x v="14"/>
    <s v="MANJULA V.M"/>
    <x v="3"/>
    <s v="None"/>
    <s v="GS"/>
    <d v="1899-12-30T08:45:37"/>
    <d v="1899-12-30T19:37:01"/>
    <n v="10.86"/>
    <s v="00:14:23"/>
    <n v="0"/>
    <s v="02:07:01"/>
    <n v="2.12"/>
    <n v="2.12"/>
    <x v="24"/>
    <s v="P"/>
    <d v="2026-07-15T00:00:00"/>
    <n v="1"/>
    <n v="1"/>
    <n v="0"/>
    <n v="0"/>
    <n v="0"/>
  </r>
  <r>
    <x v="24"/>
    <n v="24"/>
    <n v="3"/>
    <n v="0"/>
    <n v="0"/>
    <s v="5, 8, 12, 17, 20, 26"/>
    <x v="15"/>
    <s v="MANJULA V.M"/>
    <x v="3"/>
    <s v="None"/>
    <s v="GS"/>
    <d v="1899-12-30T08:37:48"/>
    <d v="1899-12-30T17:29:54"/>
    <n v="8.8699999999999992"/>
    <s v="00:22:12"/>
    <n v="0"/>
    <s v="-00:00:06"/>
    <n v="0"/>
    <n v="0"/>
    <x v="24"/>
    <s v="P"/>
    <d v="2026-07-16T00:00:00"/>
    <n v="1"/>
    <n v="1"/>
    <n v="0"/>
    <n v="0"/>
    <n v="0"/>
  </r>
  <r>
    <x v="24"/>
    <n v="24"/>
    <n v="3"/>
    <n v="0"/>
    <n v="0"/>
    <s v="5, 8, 12, 17, 20, 26"/>
    <x v="16"/>
    <s v="MANJULA V.M"/>
    <x v="3"/>
    <s v="None"/>
    <s v="NA"/>
    <d v="1899-12-30T00:00:00"/>
    <d v="1899-12-30T00:00:00"/>
    <n v="0"/>
    <s v="09:00:00"/>
    <n v="9"/>
    <s v="-17:30:00"/>
    <n v="0"/>
    <n v="9"/>
    <x v="24"/>
    <s v="A"/>
    <d v="2026-07-17T00:00:00"/>
    <n v="0"/>
    <n v="0"/>
    <n v="0"/>
    <n v="0"/>
    <n v="0"/>
  </r>
  <r>
    <x v="24"/>
    <n v="24"/>
    <n v="3"/>
    <n v="0"/>
    <n v="0"/>
    <s v="5, 8, 12, 17, 20, 26"/>
    <x v="17"/>
    <s v="MANJULA V.M"/>
    <x v="3"/>
    <s v="None"/>
    <s v="GS"/>
    <d v="1899-12-30T08:38:37"/>
    <d v="1899-12-30T17:29:08"/>
    <n v="8.84"/>
    <s v="00:21:23"/>
    <n v="0"/>
    <s v="-00:00:52"/>
    <n v="0"/>
    <n v="0"/>
    <x v="24"/>
    <s v="P"/>
    <d v="2026-07-18T00:00:00"/>
    <n v="1"/>
    <n v="1"/>
    <n v="0"/>
    <n v="0"/>
    <n v="0"/>
  </r>
  <r>
    <x v="24"/>
    <n v="24"/>
    <n v="3"/>
    <n v="0"/>
    <n v="0"/>
    <s v="5, 8, 12, 17, 20, 26"/>
    <x v="18"/>
    <s v="MANJULA V.M"/>
    <x v="3"/>
    <s v="None"/>
    <s v="GS"/>
    <d v="1899-12-30T08:36:28"/>
    <d v="1899-12-30T16:28:02"/>
    <n v="7.86"/>
    <s v="00:23:32"/>
    <n v="0"/>
    <s v="-01:01:58"/>
    <n v="0"/>
    <n v="0"/>
    <x v="24"/>
    <s v="P"/>
    <d v="2026-07-19T00:00:00"/>
    <n v="1"/>
    <n v="0"/>
    <n v="1"/>
    <n v="0"/>
    <n v="0"/>
  </r>
  <r>
    <x v="24"/>
    <n v="24"/>
    <n v="3"/>
    <n v="0"/>
    <n v="0"/>
    <s v="5, 8, 12, 17, 20, 26"/>
    <x v="19"/>
    <s v="MANJULA V.M"/>
    <x v="3"/>
    <s v="None"/>
    <s v="NA"/>
    <d v="1899-12-30T00:00:00"/>
    <d v="1899-12-30T00:00:00"/>
    <n v="0"/>
    <s v="09:00:00"/>
    <n v="9"/>
    <s v="-17:30:00"/>
    <n v="0"/>
    <n v="9"/>
    <x v="24"/>
    <s v="A"/>
    <d v="2026-07-20T00:00:00"/>
    <n v="0"/>
    <n v="0"/>
    <n v="0"/>
    <n v="0"/>
    <n v="0"/>
  </r>
  <r>
    <x v="24"/>
    <n v="24"/>
    <n v="3"/>
    <n v="0"/>
    <n v="0"/>
    <s v="5, 8, 12, 17, 20, 26"/>
    <x v="20"/>
    <s v="MANJULA V.M"/>
    <x v="3"/>
    <s v="None"/>
    <s v="GS"/>
    <d v="1899-12-30T08:56:56"/>
    <d v="1899-12-30T18:26:32"/>
    <n v="9.49"/>
    <s v="00:03:04"/>
    <n v="0"/>
    <s v="00:56:32"/>
    <n v="0.94"/>
    <n v="0.94"/>
    <x v="24"/>
    <s v="P"/>
    <d v="2026-07-21T00:00:00"/>
    <n v="1"/>
    <n v="1"/>
    <n v="0"/>
    <n v="0"/>
    <n v="0"/>
  </r>
  <r>
    <x v="24"/>
    <n v="24"/>
    <n v="3"/>
    <n v="0"/>
    <n v="0"/>
    <s v="5, 8, 12, 17, 20, 26"/>
    <x v="21"/>
    <s v="MANJULA V.M"/>
    <x v="3"/>
    <s v="None"/>
    <s v="GS"/>
    <d v="1899-12-30T09:01:06"/>
    <d v="1899-12-30T18:27:24"/>
    <n v="9.44"/>
    <s v="-00:01:06"/>
    <n v="0"/>
    <s v="00:57:24"/>
    <n v="0.96"/>
    <n v="0.96"/>
    <x v="24"/>
    <s v="P"/>
    <d v="2026-07-22T00:00:00"/>
    <n v="1"/>
    <n v="1"/>
    <n v="0"/>
    <n v="0"/>
    <n v="0"/>
  </r>
  <r>
    <x v="24"/>
    <n v="24"/>
    <n v="3"/>
    <n v="0"/>
    <n v="0"/>
    <s v="5, 8, 12, 17, 20, 26"/>
    <x v="22"/>
    <s v="MANJULA V.M"/>
    <x v="3"/>
    <s v="None"/>
    <s v="GS"/>
    <d v="1899-12-30T08:21:58"/>
    <d v="1899-12-30T18:27:11"/>
    <n v="10.09"/>
    <s v="00:38:02"/>
    <n v="0.5"/>
    <s v="00:57:11"/>
    <n v="0.95"/>
    <n v="1.45"/>
    <x v="24"/>
    <s v="P"/>
    <d v="2026-07-23T00:00:00"/>
    <n v="1"/>
    <n v="1"/>
    <n v="0"/>
    <n v="0"/>
    <n v="0"/>
  </r>
  <r>
    <x v="24"/>
    <n v="24"/>
    <n v="3"/>
    <n v="0"/>
    <n v="0"/>
    <s v="5, 8, 12, 17, 20, 26"/>
    <x v="23"/>
    <s v="MANJULA V.M"/>
    <x v="3"/>
    <s v="None"/>
    <s v="GS"/>
    <d v="1899-12-30T09:06:07"/>
    <d v="1899-12-30T18:26:55"/>
    <n v="9.35"/>
    <s v="-00:06:07"/>
    <n v="0"/>
    <s v="00:56:55"/>
    <n v="0.95"/>
    <n v="0.95"/>
    <x v="24"/>
    <s v="P"/>
    <d v="2026-07-24T00:00:00"/>
    <n v="1"/>
    <n v="1"/>
    <n v="0"/>
    <n v="0"/>
    <n v="0"/>
  </r>
  <r>
    <x v="24"/>
    <n v="24"/>
    <n v="3"/>
    <n v="0"/>
    <n v="0"/>
    <s v="5, 8, 12, 17, 20, 26"/>
    <x v="24"/>
    <s v="MANJULA V.M"/>
    <x v="3"/>
    <s v="None"/>
    <s v="GS"/>
    <d v="1899-12-30T09:04:37"/>
    <d v="1899-12-30T17:25:23"/>
    <n v="8.35"/>
    <s v="-00:04:37"/>
    <n v="0"/>
    <s v="-00:04:37"/>
    <n v="0"/>
    <n v="0"/>
    <x v="24"/>
    <s v="P"/>
    <d v="2026-07-25T00:00:00"/>
    <n v="1"/>
    <n v="1"/>
    <n v="0"/>
    <n v="0"/>
    <n v="0"/>
  </r>
  <r>
    <x v="24"/>
    <n v="24"/>
    <n v="3"/>
    <n v="0"/>
    <n v="0"/>
    <s v="5, 8, 12, 17, 20, 26"/>
    <x v="25"/>
    <s v="MANJULA V.M"/>
    <x v="3"/>
    <s v="None"/>
    <s v="NA"/>
    <d v="1899-12-30T00:00:00"/>
    <d v="1899-12-30T00:00:00"/>
    <n v="0"/>
    <s v="09:00:00"/>
    <n v="9"/>
    <s v="-17:30:00"/>
    <n v="0"/>
    <n v="9"/>
    <x v="24"/>
    <s v="A"/>
    <d v="2026-07-26T00:00:00"/>
    <n v="0"/>
    <n v="0"/>
    <n v="0"/>
    <n v="0"/>
    <n v="0"/>
  </r>
  <r>
    <x v="24"/>
    <n v="24"/>
    <n v="3"/>
    <n v="0"/>
    <n v="0"/>
    <s v="5, 8, 12, 17, 20, 26"/>
    <x v="26"/>
    <s v="MANJULA V.M"/>
    <x v="3"/>
    <s v="None"/>
    <s v="GS"/>
    <d v="1899-12-30T08:56:40"/>
    <d v="1899-12-30T19:31:32"/>
    <n v="10.58"/>
    <s v="00:03:20"/>
    <n v="0"/>
    <s v="02:01:32"/>
    <n v="2.0299999999999998"/>
    <n v="2.0299999999999998"/>
    <x v="24"/>
    <s v="P"/>
    <d v="2026-07-27T00:00:00"/>
    <n v="1"/>
    <n v="1"/>
    <n v="0"/>
    <n v="0"/>
    <n v="0"/>
  </r>
  <r>
    <x v="24"/>
    <n v="24"/>
    <n v="3"/>
    <n v="0"/>
    <n v="0"/>
    <s v="5, 8, 12, 17, 20, 26"/>
    <x v="27"/>
    <s v="MANJULA V.M"/>
    <x v="3"/>
    <s v="None"/>
    <s v="GS"/>
    <d v="1899-12-30T09:03:04"/>
    <d v="1899-12-30T19:33:27"/>
    <n v="10.51"/>
    <s v="-00:03:04"/>
    <n v="0"/>
    <s v="02:03:27"/>
    <n v="2.06"/>
    <n v="2.06"/>
    <x v="24"/>
    <s v="P"/>
    <d v="2026-07-28T00:00:00"/>
    <n v="1"/>
    <n v="1"/>
    <n v="0"/>
    <n v="0"/>
    <n v="0"/>
  </r>
  <r>
    <x v="24"/>
    <n v="24"/>
    <n v="3"/>
    <n v="0"/>
    <n v="0"/>
    <s v="5, 8, 12, 17, 20, 26"/>
    <x v="28"/>
    <s v="MANJULA V.M"/>
    <x v="3"/>
    <s v="None"/>
    <s v="GS"/>
    <d v="1899-12-30T08:57:45"/>
    <d v="1899-12-30T18:25:08"/>
    <n v="9.4600000000000009"/>
    <s v="00:02:15"/>
    <n v="0"/>
    <s v="00:55:08"/>
    <n v="0.92"/>
    <n v="0.92"/>
    <x v="24"/>
    <s v="P"/>
    <d v="2026-07-29T00:00:00"/>
    <n v="1"/>
    <n v="1"/>
    <n v="0"/>
    <n v="0"/>
    <n v="0"/>
  </r>
  <r>
    <x v="24"/>
    <n v="24"/>
    <n v="3"/>
    <n v="0"/>
    <n v="0"/>
    <s v="5, 8, 12, 17, 20, 26"/>
    <x v="29"/>
    <s v="MANJULA V.M"/>
    <x v="3"/>
    <s v="None"/>
    <s v="GS"/>
    <d v="1899-12-30T08:50:31"/>
    <d v="1899-12-30T18:24:46"/>
    <n v="9.57"/>
    <s v="00:09:29"/>
    <n v="0"/>
    <s v="00:54:46"/>
    <n v="0.91"/>
    <n v="0.91"/>
    <x v="24"/>
    <s v="P"/>
    <d v="2026-07-30T00:00:00"/>
    <n v="1"/>
    <n v="1"/>
    <n v="0"/>
    <n v="0"/>
    <n v="0"/>
  </r>
  <r>
    <x v="24"/>
    <n v="24"/>
    <n v="3"/>
    <n v="0"/>
    <n v="0"/>
    <s v="5, 8, 12, 17, 20, 26"/>
    <x v="30"/>
    <s v="MANJULA V.M"/>
    <x v="3"/>
    <s v="None"/>
    <s v="GS"/>
    <d v="1899-12-30T08:46:59"/>
    <d v="1899-12-30T17:33:28"/>
    <n v="8.77"/>
    <s v="00:13:01"/>
    <n v="0"/>
    <s v="00:03:28"/>
    <n v="0"/>
    <n v="0"/>
    <x v="24"/>
    <s v="P"/>
    <d v="2026-07-31T00:00:00"/>
    <n v="1"/>
    <n v="1"/>
    <n v="0"/>
    <n v="0"/>
    <n v="0"/>
  </r>
  <r>
    <x v="25"/>
    <n v="27"/>
    <n v="0"/>
    <n v="0"/>
    <n v="0"/>
    <s v="5, 12, 26"/>
    <x v="0"/>
    <s v="KAVITHA"/>
    <x v="1"/>
    <s v="Helper"/>
    <s v="GS"/>
    <d v="1899-12-30T09:01:07"/>
    <d v="1899-12-30T17:26:58"/>
    <n v="8.43"/>
    <s v="-00:01:07"/>
    <n v="0"/>
    <s v="-00:03:02"/>
    <n v="0"/>
    <n v="0"/>
    <x v="25"/>
    <s v="P"/>
    <d v="2026-07-01T00:00:00"/>
    <n v="1"/>
    <n v="1"/>
    <n v="0"/>
    <n v="0"/>
    <n v="0"/>
  </r>
  <r>
    <x v="25"/>
    <n v="27"/>
    <n v="0"/>
    <n v="0"/>
    <n v="0"/>
    <s v="5, 12, 26"/>
    <x v="1"/>
    <s v="KAVITHA"/>
    <x v="1"/>
    <s v="Helper"/>
    <s v="GS"/>
    <d v="1899-12-30T09:27:07"/>
    <d v="1899-12-30T17:25:48"/>
    <n v="7.98"/>
    <s v="-00:27:07"/>
    <n v="0"/>
    <s v="-00:04:12"/>
    <n v="0"/>
    <n v="0"/>
    <x v="25"/>
    <s v="P"/>
    <d v="2026-07-02T00:00:00"/>
    <n v="1"/>
    <n v="1"/>
    <n v="0"/>
    <n v="0"/>
    <n v="0"/>
  </r>
  <r>
    <x v="25"/>
    <n v="27"/>
    <n v="0"/>
    <n v="0"/>
    <n v="0"/>
    <s v="5, 12, 26"/>
    <x v="2"/>
    <s v="KAVITHA"/>
    <x v="1"/>
    <s v="Helper"/>
    <s v="GS"/>
    <d v="1899-12-30T08:55:47"/>
    <d v="1899-12-30T17:27:51"/>
    <n v="8.5299999999999994"/>
    <s v="00:04:13"/>
    <n v="0"/>
    <s v="-00:02:09"/>
    <n v="0"/>
    <n v="0"/>
    <x v="25"/>
    <s v="P"/>
    <d v="2026-07-03T00:00:00"/>
    <n v="1"/>
    <n v="1"/>
    <n v="0"/>
    <n v="0"/>
    <n v="0"/>
  </r>
  <r>
    <x v="25"/>
    <n v="27"/>
    <n v="0"/>
    <n v="0"/>
    <n v="0"/>
    <s v="5, 12, 26"/>
    <x v="3"/>
    <s v="KAVITHA"/>
    <x v="1"/>
    <s v="Helper"/>
    <s v="GS"/>
    <d v="1899-12-30T08:59:01"/>
    <d v="1899-12-30T17:25:48"/>
    <n v="8.4499999999999993"/>
    <s v="00:00:59"/>
    <n v="0"/>
    <s v="-00:04:12"/>
    <n v="0"/>
    <n v="0"/>
    <x v="25"/>
    <s v="P"/>
    <d v="2026-07-04T00:00:00"/>
    <n v="1"/>
    <n v="1"/>
    <n v="0"/>
    <n v="0"/>
    <n v="0"/>
  </r>
  <r>
    <x v="25"/>
    <n v="27"/>
    <n v="0"/>
    <n v="0"/>
    <n v="0"/>
    <s v="5, 12, 26"/>
    <x v="4"/>
    <s v="KAVITHA"/>
    <x v="1"/>
    <s v="Helper"/>
    <s v="NA"/>
    <d v="1899-12-30T00:00:00"/>
    <d v="1899-12-30T00:00:00"/>
    <n v="0"/>
    <s v="09:00:00"/>
    <n v="9"/>
    <s v="-17:30:00"/>
    <n v="0"/>
    <n v="9"/>
    <x v="25"/>
    <s v="A"/>
    <d v="2026-07-05T00:00:00"/>
    <n v="0"/>
    <n v="0"/>
    <n v="0"/>
    <n v="0"/>
    <n v="0"/>
  </r>
  <r>
    <x v="25"/>
    <n v="27"/>
    <n v="0"/>
    <n v="0"/>
    <n v="0"/>
    <s v="5, 12, 26"/>
    <x v="5"/>
    <s v="KAVITHA"/>
    <x v="1"/>
    <s v="Helper"/>
    <s v="GS"/>
    <d v="1899-12-30T08:53:05"/>
    <d v="1899-12-30T17:27:03"/>
    <n v="8.57"/>
    <s v="00:06:55"/>
    <n v="0"/>
    <s v="-00:02:57"/>
    <n v="0"/>
    <n v="0"/>
    <x v="25"/>
    <s v="P"/>
    <d v="2026-07-06T00:00:00"/>
    <n v="1"/>
    <n v="1"/>
    <n v="0"/>
    <n v="0"/>
    <n v="0"/>
  </r>
  <r>
    <x v="25"/>
    <n v="27"/>
    <n v="0"/>
    <n v="0"/>
    <n v="0"/>
    <s v="5, 12, 26"/>
    <x v="6"/>
    <s v="KAVITHA"/>
    <x v="1"/>
    <s v="Helper"/>
    <s v="GS"/>
    <d v="1899-12-30T08:58:26"/>
    <d v="1899-12-30T18:25:39"/>
    <n v="9.4499999999999993"/>
    <s v="00:01:34"/>
    <n v="0"/>
    <s v="00:55:39"/>
    <n v="0.93"/>
    <n v="0.93"/>
    <x v="25"/>
    <s v="P"/>
    <d v="2026-07-07T00:00:00"/>
    <n v="1"/>
    <n v="1"/>
    <n v="0"/>
    <n v="0"/>
    <n v="0"/>
  </r>
  <r>
    <x v="25"/>
    <n v="27"/>
    <n v="0"/>
    <n v="0"/>
    <n v="0"/>
    <s v="5, 12, 26"/>
    <x v="7"/>
    <s v="KAVITHA"/>
    <x v="1"/>
    <s v="Helper"/>
    <s v="GS"/>
    <d v="1899-12-30T08:57:40"/>
    <d v="1899-12-30T18:25:28"/>
    <n v="9.4600000000000009"/>
    <s v="00:02:20"/>
    <n v="0"/>
    <s v="00:55:28"/>
    <n v="0.92"/>
    <n v="0.92"/>
    <x v="25"/>
    <s v="P"/>
    <d v="2026-07-08T00:00:00"/>
    <n v="1"/>
    <n v="1"/>
    <n v="0"/>
    <n v="0"/>
    <n v="0"/>
  </r>
  <r>
    <x v="25"/>
    <n v="27"/>
    <n v="0"/>
    <n v="0"/>
    <n v="0"/>
    <s v="5, 12, 26"/>
    <x v="8"/>
    <s v="KAVITHA"/>
    <x v="1"/>
    <s v="Helper"/>
    <s v="GS"/>
    <d v="1899-12-30T09:01:42"/>
    <d v="1899-12-30T18:25:59"/>
    <n v="9.4"/>
    <s v="-00:01:42"/>
    <n v="0"/>
    <s v="00:55:59"/>
    <n v="0.93"/>
    <n v="0.93"/>
    <x v="25"/>
    <s v="P"/>
    <d v="2026-07-09T00:00:00"/>
    <n v="1"/>
    <n v="1"/>
    <n v="0"/>
    <n v="0"/>
    <n v="0"/>
  </r>
  <r>
    <x v="25"/>
    <n v="27"/>
    <n v="0"/>
    <n v="0"/>
    <n v="0"/>
    <s v="5, 12, 26"/>
    <x v="9"/>
    <s v="KAVITHA"/>
    <x v="1"/>
    <s v="Helper"/>
    <s v="GS"/>
    <d v="1899-12-30T09:01:04"/>
    <d v="1899-12-30T18:25:54"/>
    <n v="9.41"/>
    <s v="-00:01:04"/>
    <n v="0"/>
    <s v="00:55:54"/>
    <n v="0.93"/>
    <n v="0.93"/>
    <x v="25"/>
    <s v="P"/>
    <d v="2026-07-10T00:00:00"/>
    <n v="1"/>
    <n v="1"/>
    <n v="0"/>
    <n v="0"/>
    <n v="0"/>
  </r>
  <r>
    <x v="25"/>
    <n v="27"/>
    <n v="0"/>
    <n v="0"/>
    <n v="0"/>
    <s v="5, 12, 26"/>
    <x v="10"/>
    <s v="KAVITHA"/>
    <x v="1"/>
    <s v="Helper"/>
    <s v="GS"/>
    <d v="1899-12-30T08:58:37"/>
    <d v="1899-12-30T18:25:51"/>
    <n v="9.4499999999999993"/>
    <s v="00:01:23"/>
    <n v="0"/>
    <s v="00:55:51"/>
    <n v="0.93"/>
    <n v="0.93"/>
    <x v="25"/>
    <s v="P"/>
    <d v="2026-07-11T00:00:00"/>
    <n v="1"/>
    <n v="1"/>
    <n v="0"/>
    <n v="0"/>
    <n v="0"/>
  </r>
  <r>
    <x v="25"/>
    <n v="27"/>
    <n v="0"/>
    <n v="0"/>
    <n v="0"/>
    <s v="5, 12, 26"/>
    <x v="11"/>
    <s v="KAVITHA"/>
    <x v="1"/>
    <s v="Helper"/>
    <s v="NA"/>
    <d v="1899-12-30T00:00:00"/>
    <d v="1899-12-30T00:00:00"/>
    <n v="0"/>
    <s v="09:00:00"/>
    <n v="9"/>
    <s v="-17:30:00"/>
    <n v="0"/>
    <n v="9"/>
    <x v="25"/>
    <s v="A"/>
    <d v="2026-07-12T00:00:00"/>
    <n v="0"/>
    <n v="0"/>
    <n v="0"/>
    <n v="0"/>
    <n v="0"/>
  </r>
  <r>
    <x v="25"/>
    <n v="27"/>
    <n v="0"/>
    <n v="0"/>
    <n v="0"/>
    <s v="5, 12, 26"/>
    <x v="12"/>
    <s v="KAVITHA"/>
    <x v="1"/>
    <s v="Helper"/>
    <s v="GS"/>
    <d v="1899-12-30T09:02:02"/>
    <d v="1899-12-30T18:26:14"/>
    <n v="9.4"/>
    <s v="-00:02:02"/>
    <n v="0"/>
    <s v="00:56:14"/>
    <n v="0.94"/>
    <n v="0.94"/>
    <x v="25"/>
    <s v="P"/>
    <d v="2026-07-13T00:00:00"/>
    <n v="1"/>
    <n v="1"/>
    <n v="0"/>
    <n v="0"/>
    <n v="0"/>
  </r>
  <r>
    <x v="25"/>
    <n v="27"/>
    <n v="0"/>
    <n v="0"/>
    <n v="0"/>
    <s v="5, 12, 26"/>
    <x v="13"/>
    <s v="KAVITHA"/>
    <x v="1"/>
    <s v="Helper"/>
    <s v="GS"/>
    <d v="1899-12-30T08:54:26"/>
    <d v="1899-12-30T18:26:01"/>
    <n v="9.5299999999999994"/>
    <s v="00:05:34"/>
    <n v="0"/>
    <s v="00:56:01"/>
    <n v="0.93"/>
    <n v="0.93"/>
    <x v="25"/>
    <s v="P"/>
    <d v="2026-07-14T00:00:00"/>
    <n v="1"/>
    <n v="1"/>
    <n v="0"/>
    <n v="0"/>
    <n v="0"/>
  </r>
  <r>
    <x v="25"/>
    <n v="27"/>
    <n v="0"/>
    <n v="0"/>
    <n v="0"/>
    <s v="5, 12, 26"/>
    <x v="14"/>
    <s v="KAVITHA"/>
    <x v="1"/>
    <s v="Helper"/>
    <s v="GS"/>
    <d v="1899-12-30T08:58:50"/>
    <d v="1899-12-30T18:26:18"/>
    <n v="9.4600000000000009"/>
    <s v="00:01:10"/>
    <n v="0"/>
    <s v="00:56:18"/>
    <n v="0.94"/>
    <n v="0.94"/>
    <x v="25"/>
    <s v="P"/>
    <d v="2026-07-15T00:00:00"/>
    <n v="1"/>
    <n v="1"/>
    <n v="0"/>
    <n v="0"/>
    <n v="0"/>
  </r>
  <r>
    <x v="25"/>
    <n v="27"/>
    <n v="0"/>
    <n v="0"/>
    <n v="0"/>
    <s v="5, 12, 26"/>
    <x v="15"/>
    <s v="KAVITHA"/>
    <x v="1"/>
    <s v="Helper"/>
    <s v="GS"/>
    <d v="1899-12-30T09:34:51"/>
    <d v="1899-12-30T18:26:00"/>
    <n v="8.85"/>
    <s v="-00:34:51"/>
    <n v="0"/>
    <s v="00:56:00"/>
    <n v="0.93"/>
    <n v="0.93"/>
    <x v="25"/>
    <s v="P"/>
    <d v="2026-07-16T00:00:00"/>
    <n v="1"/>
    <n v="1"/>
    <n v="0"/>
    <n v="0"/>
    <n v="0"/>
  </r>
  <r>
    <x v="25"/>
    <n v="27"/>
    <n v="0"/>
    <n v="0"/>
    <n v="0"/>
    <s v="5, 12, 26"/>
    <x v="16"/>
    <s v="KAVITHA"/>
    <x v="1"/>
    <s v="Helper"/>
    <s v="GS"/>
    <d v="1899-12-30T08:51:56"/>
    <d v="1899-12-30T18:24:54"/>
    <n v="9.5500000000000007"/>
    <s v="00:08:04"/>
    <n v="0"/>
    <s v="00:54:54"/>
    <n v="0.92"/>
    <n v="0.92"/>
    <x v="25"/>
    <s v="P"/>
    <d v="2026-07-17T00:00:00"/>
    <n v="1"/>
    <n v="1"/>
    <n v="0"/>
    <n v="0"/>
    <n v="0"/>
  </r>
  <r>
    <x v="25"/>
    <n v="27"/>
    <n v="0"/>
    <n v="0"/>
    <n v="0"/>
    <s v="5, 12, 26"/>
    <x v="17"/>
    <s v="KAVITHA"/>
    <x v="1"/>
    <s v="Helper"/>
    <s v="GS"/>
    <d v="1899-12-30T08:56:08"/>
    <d v="1899-12-30T17:28:27"/>
    <n v="8.5399999999999991"/>
    <s v="00:03:52"/>
    <n v="0"/>
    <s v="-00:01:33"/>
    <n v="0"/>
    <n v="0"/>
    <x v="25"/>
    <s v="P"/>
    <d v="2026-07-18T00:00:00"/>
    <n v="1"/>
    <n v="1"/>
    <n v="0"/>
    <n v="0"/>
    <n v="0"/>
  </r>
  <r>
    <x v="25"/>
    <n v="27"/>
    <n v="0"/>
    <n v="0"/>
    <n v="0"/>
    <s v="5, 12, 26"/>
    <x v="18"/>
    <s v="KAVITHA"/>
    <x v="1"/>
    <s v="Helper"/>
    <s v="GS"/>
    <d v="1899-12-30T08:55:43"/>
    <d v="1899-12-30T16:27:22"/>
    <n v="7.53"/>
    <s v="00:04:17"/>
    <n v="0"/>
    <s v="-01:02:38"/>
    <n v="0"/>
    <n v="0"/>
    <x v="25"/>
    <s v="P"/>
    <d v="2026-07-19T00:00:00"/>
    <n v="1"/>
    <n v="0"/>
    <n v="1"/>
    <n v="0"/>
    <n v="0"/>
  </r>
  <r>
    <x v="25"/>
    <n v="27"/>
    <n v="0"/>
    <n v="0"/>
    <n v="0"/>
    <s v="5, 12, 26"/>
    <x v="19"/>
    <s v="KAVITHA"/>
    <x v="1"/>
    <s v="Helper"/>
    <s v="GS"/>
    <d v="1899-12-30T08:54:14"/>
    <d v="1899-12-30T18:25:40"/>
    <n v="9.52"/>
    <s v="00:05:46"/>
    <n v="0"/>
    <s v="00:55:40"/>
    <n v="0.93"/>
    <n v="0.93"/>
    <x v="25"/>
    <s v="P"/>
    <d v="2026-07-20T00:00:00"/>
    <n v="1"/>
    <n v="1"/>
    <n v="0"/>
    <n v="0"/>
    <n v="0"/>
  </r>
  <r>
    <x v="25"/>
    <n v="27"/>
    <n v="0"/>
    <n v="0"/>
    <n v="0"/>
    <s v="5, 12, 26"/>
    <x v="20"/>
    <s v="KAVITHA"/>
    <x v="1"/>
    <s v="Helper"/>
    <s v="GS"/>
    <d v="1899-12-30T08:59:16"/>
    <d v="1899-12-30T17:26:51"/>
    <n v="8.4600000000000009"/>
    <s v="00:00:44"/>
    <n v="0"/>
    <s v="-00:03:09"/>
    <n v="0"/>
    <n v="0"/>
    <x v="25"/>
    <s v="P"/>
    <d v="2026-07-21T00:00:00"/>
    <n v="1"/>
    <n v="1"/>
    <n v="0"/>
    <n v="0"/>
    <n v="0"/>
  </r>
  <r>
    <x v="25"/>
    <n v="27"/>
    <n v="0"/>
    <n v="0"/>
    <n v="0"/>
    <s v="5, 12, 26"/>
    <x v="21"/>
    <s v="KAVITHA"/>
    <x v="1"/>
    <s v="Helper"/>
    <s v="GS"/>
    <d v="1899-12-30T08:56:36"/>
    <d v="1899-12-30T18:26:53"/>
    <n v="9.5"/>
    <s v="00:03:24"/>
    <n v="0"/>
    <s v="00:56:53"/>
    <n v="0.95"/>
    <n v="0.95"/>
    <x v="25"/>
    <s v="P"/>
    <d v="2026-07-22T00:00:00"/>
    <n v="1"/>
    <n v="1"/>
    <n v="0"/>
    <n v="0"/>
    <n v="0"/>
  </r>
  <r>
    <x v="25"/>
    <n v="27"/>
    <n v="0"/>
    <n v="0"/>
    <n v="0"/>
    <s v="5, 12, 26"/>
    <x v="22"/>
    <s v="KAVITHA"/>
    <x v="1"/>
    <s v="Helper"/>
    <s v="GS"/>
    <d v="1899-12-30T08:57:48"/>
    <d v="1899-12-30T18:25:59"/>
    <n v="9.4700000000000006"/>
    <s v="00:02:12"/>
    <n v="0"/>
    <s v="00:55:59"/>
    <n v="0.93"/>
    <n v="0.93"/>
    <x v="25"/>
    <s v="P"/>
    <d v="2026-07-23T00:00:00"/>
    <n v="1"/>
    <n v="1"/>
    <n v="0"/>
    <n v="0"/>
    <n v="0"/>
  </r>
  <r>
    <x v="25"/>
    <n v="27"/>
    <n v="0"/>
    <n v="0"/>
    <n v="0"/>
    <s v="5, 12, 26"/>
    <x v="23"/>
    <s v="KAVITHA"/>
    <x v="1"/>
    <s v="Helper"/>
    <s v="GS"/>
    <d v="1899-12-30T09:00:34"/>
    <d v="1899-12-30T18:26:23"/>
    <n v="9.43"/>
    <s v="-00:00:34"/>
    <n v="0"/>
    <s v="00:56:23"/>
    <n v="0.94"/>
    <n v="0.94"/>
    <x v="25"/>
    <s v="P"/>
    <d v="2026-07-24T00:00:00"/>
    <n v="1"/>
    <n v="1"/>
    <n v="0"/>
    <n v="0"/>
    <n v="0"/>
  </r>
  <r>
    <x v="25"/>
    <n v="27"/>
    <n v="0"/>
    <n v="0"/>
    <n v="0"/>
    <s v="5, 12, 26"/>
    <x v="24"/>
    <s v="KAVITHA"/>
    <x v="1"/>
    <s v="Helper"/>
    <s v="GS"/>
    <d v="1899-12-30T08:52:14"/>
    <d v="1899-12-30T18:25:17"/>
    <n v="9.5500000000000007"/>
    <s v="00:07:46"/>
    <n v="0"/>
    <s v="00:55:17"/>
    <n v="0.92"/>
    <n v="0.92"/>
    <x v="25"/>
    <s v="P"/>
    <d v="2026-07-25T00:00:00"/>
    <n v="1"/>
    <n v="1"/>
    <n v="0"/>
    <n v="0"/>
    <n v="0"/>
  </r>
  <r>
    <x v="25"/>
    <n v="27"/>
    <n v="0"/>
    <n v="0"/>
    <n v="0"/>
    <s v="5, 12, 26"/>
    <x v="25"/>
    <s v="KAVITHA"/>
    <x v="1"/>
    <s v="Helper"/>
    <s v="NA"/>
    <d v="1899-12-30T00:00:00"/>
    <d v="1899-12-30T00:00:00"/>
    <n v="0"/>
    <s v="09:00:00"/>
    <n v="9"/>
    <s v="-17:30:00"/>
    <n v="0"/>
    <n v="9"/>
    <x v="25"/>
    <s v="A"/>
    <d v="2026-07-26T00:00:00"/>
    <n v="0"/>
    <n v="0"/>
    <n v="0"/>
    <n v="0"/>
    <n v="0"/>
  </r>
  <r>
    <x v="25"/>
    <n v="27"/>
    <n v="0"/>
    <n v="0"/>
    <n v="0"/>
    <s v="5, 12, 26"/>
    <x v="26"/>
    <s v="KAVITHA"/>
    <x v="1"/>
    <s v="Helper"/>
    <s v="GS"/>
    <d v="1899-12-30T08:53:03"/>
    <d v="1899-12-30T18:27:09"/>
    <n v="9.57"/>
    <s v="00:06:57"/>
    <n v="0"/>
    <s v="00:57:09"/>
    <n v="0.95"/>
    <n v="0.95"/>
    <x v="25"/>
    <s v="P"/>
    <d v="2026-07-27T00:00:00"/>
    <n v="1"/>
    <n v="1"/>
    <n v="0"/>
    <n v="0"/>
    <n v="0"/>
  </r>
  <r>
    <x v="25"/>
    <n v="27"/>
    <n v="0"/>
    <n v="0"/>
    <n v="0"/>
    <s v="5, 12, 26"/>
    <x v="27"/>
    <s v="KAVITHA"/>
    <x v="1"/>
    <s v="Helper"/>
    <s v="GS"/>
    <d v="1899-12-30T09:00:06"/>
    <d v="1899-12-30T18:26:06"/>
    <n v="9.43"/>
    <s v="-00:00:06"/>
    <n v="0"/>
    <s v="00:56:06"/>
    <n v="0.94"/>
    <n v="0.94"/>
    <x v="25"/>
    <s v="P"/>
    <d v="2026-07-28T00:00:00"/>
    <n v="1"/>
    <n v="1"/>
    <n v="0"/>
    <n v="0"/>
    <n v="0"/>
  </r>
  <r>
    <x v="25"/>
    <n v="27"/>
    <n v="0"/>
    <n v="0"/>
    <n v="0"/>
    <s v="5, 12, 26"/>
    <x v="28"/>
    <s v="KAVITHA"/>
    <x v="1"/>
    <s v="Helper"/>
    <s v="GS"/>
    <d v="1899-12-30T08:58:35"/>
    <d v="1899-12-30T18:25:27"/>
    <n v="9.4499999999999993"/>
    <s v="00:01:25"/>
    <n v="0"/>
    <s v="00:55:27"/>
    <n v="0.92"/>
    <n v="0.92"/>
    <x v="25"/>
    <s v="P"/>
    <d v="2026-07-29T00:00:00"/>
    <n v="1"/>
    <n v="1"/>
    <n v="0"/>
    <n v="0"/>
    <n v="0"/>
  </r>
  <r>
    <x v="25"/>
    <n v="27"/>
    <n v="0"/>
    <n v="0"/>
    <n v="0"/>
    <s v="5, 12, 26"/>
    <x v="29"/>
    <s v="KAVITHA"/>
    <x v="1"/>
    <s v="Helper"/>
    <s v="GS"/>
    <d v="1899-12-30T08:58:36"/>
    <d v="1899-12-30T18:24:28"/>
    <n v="9.43"/>
    <s v="00:01:24"/>
    <n v="0"/>
    <s v="00:54:28"/>
    <n v="0.91"/>
    <n v="0.91"/>
    <x v="25"/>
    <s v="P"/>
    <d v="2026-07-30T00:00:00"/>
    <n v="1"/>
    <n v="1"/>
    <n v="0"/>
    <n v="0"/>
    <n v="0"/>
  </r>
  <r>
    <x v="25"/>
    <n v="27"/>
    <n v="0"/>
    <n v="0"/>
    <n v="0"/>
    <s v="5, 12, 26"/>
    <x v="30"/>
    <s v="KAVITHA"/>
    <x v="1"/>
    <s v="Helper"/>
    <s v="GS"/>
    <d v="1899-12-30T08:57:05"/>
    <d v="1899-12-30T18:24:09"/>
    <n v="9.4499999999999993"/>
    <s v="00:02:55"/>
    <n v="0"/>
    <s v="00:54:09"/>
    <n v="0.9"/>
    <n v="0.9"/>
    <x v="25"/>
    <s v="P"/>
    <d v="2026-07-31T00:00:00"/>
    <n v="1"/>
    <n v="1"/>
    <n v="0"/>
    <n v="0"/>
    <n v="0"/>
  </r>
  <r>
    <x v="26"/>
    <n v="26"/>
    <n v="1"/>
    <n v="0"/>
    <n v="0"/>
    <s v="5, 12, 26"/>
    <x v="0"/>
    <s v="BASKAR"/>
    <x v="1"/>
    <s v="Company"/>
    <s v="GS"/>
    <d v="1899-12-30T08:24:57"/>
    <d v="1899-12-30T17:30:00"/>
    <n v="9.08"/>
    <s v="00:35:03"/>
    <n v="0.5"/>
    <s v="00:00:00"/>
    <n v="0"/>
    <n v="0.5"/>
    <x v="26"/>
    <s v="P"/>
    <d v="2026-07-01T00:00:00"/>
    <n v="1"/>
    <n v="1"/>
    <n v="0"/>
    <n v="0"/>
    <n v="0"/>
  </r>
  <r>
    <x v="26"/>
    <n v="26"/>
    <n v="1"/>
    <n v="0"/>
    <n v="0"/>
    <s v="5, 12, 26"/>
    <x v="1"/>
    <s v="BASKAR"/>
    <x v="1"/>
    <s v="Company"/>
    <s v="GS"/>
    <d v="1899-12-30T08:14:28"/>
    <d v="1899-12-30T19:24:42"/>
    <n v="11.17"/>
    <s v="00:45:32"/>
    <n v="0.76"/>
    <s v="01:54:42"/>
    <n v="1.91"/>
    <n v="2.67"/>
    <x v="26"/>
    <s v="P"/>
    <d v="2026-07-02T00:00:00"/>
    <n v="1"/>
    <n v="1"/>
    <n v="0"/>
    <n v="0"/>
    <n v="0"/>
  </r>
  <r>
    <x v="26"/>
    <n v="26"/>
    <n v="1"/>
    <n v="0"/>
    <n v="0"/>
    <s v="5, 12, 26"/>
    <x v="2"/>
    <s v="BASKAR"/>
    <x v="1"/>
    <s v="Company"/>
    <s v="GS"/>
    <d v="1899-12-30T08:14:05"/>
    <d v="1899-12-30T19:56:53"/>
    <n v="11.71"/>
    <s v="00:45:55"/>
    <n v="0.77"/>
    <s v="02:26:53"/>
    <n v="2.4500000000000002"/>
    <n v="3.22"/>
    <x v="26"/>
    <s v="P"/>
    <d v="2026-07-03T00:00:00"/>
    <n v="1"/>
    <n v="1"/>
    <n v="0"/>
    <n v="0"/>
    <n v="0"/>
  </r>
  <r>
    <x v="26"/>
    <n v="26"/>
    <n v="1"/>
    <n v="0"/>
    <n v="0"/>
    <s v="5, 12, 26"/>
    <x v="3"/>
    <s v="BASKAR"/>
    <x v="1"/>
    <s v="Company"/>
    <s v="GS"/>
    <d v="1899-12-30T09:00:00"/>
    <d v="1899-12-30T18:25:22"/>
    <n v="9.42"/>
    <s v="00:00:00"/>
    <n v="0"/>
    <s v="00:55:22"/>
    <n v="0.92"/>
    <n v="0.92"/>
    <x v="26"/>
    <s v="P"/>
    <d v="2026-07-04T00:00:00"/>
    <n v="1"/>
    <n v="1"/>
    <n v="0"/>
    <n v="0"/>
    <n v="0"/>
  </r>
  <r>
    <x v="26"/>
    <n v="26"/>
    <n v="1"/>
    <n v="0"/>
    <n v="0"/>
    <s v="5, 12, 26"/>
    <x v="4"/>
    <s v="BASKAR"/>
    <x v="1"/>
    <s v="Company"/>
    <s v="NA"/>
    <d v="1899-12-30T00:00:00"/>
    <d v="1899-12-30T00:00:00"/>
    <n v="0"/>
    <s v="09:00:00"/>
    <n v="9"/>
    <s v="-17:30:00"/>
    <n v="0"/>
    <n v="9"/>
    <x v="26"/>
    <s v="A"/>
    <d v="2026-07-05T00:00:00"/>
    <n v="0"/>
    <n v="0"/>
    <n v="0"/>
    <n v="0"/>
    <n v="0"/>
  </r>
  <r>
    <x v="26"/>
    <n v="26"/>
    <n v="1"/>
    <n v="0"/>
    <n v="0"/>
    <s v="5, 12, 26"/>
    <x v="5"/>
    <s v="BASKAR"/>
    <x v="1"/>
    <s v="Company"/>
    <s v="GS"/>
    <d v="1899-12-30T09:00:00"/>
    <d v="1899-12-30T18:59:02"/>
    <n v="9.98"/>
    <s v="00:00:00"/>
    <n v="0"/>
    <s v="01:29:02"/>
    <n v="1.48"/>
    <n v="1.48"/>
    <x v="26"/>
    <s v="P"/>
    <d v="2026-07-06T00:00:00"/>
    <n v="1"/>
    <n v="1"/>
    <n v="0"/>
    <n v="0"/>
    <n v="0"/>
  </r>
  <r>
    <x v="26"/>
    <n v="26"/>
    <n v="1"/>
    <n v="0"/>
    <n v="0"/>
    <s v="5, 12, 26"/>
    <x v="6"/>
    <s v="BASKAR"/>
    <x v="1"/>
    <s v="Company"/>
    <s v="GS"/>
    <d v="1899-12-30T08:23:55"/>
    <d v="1899-12-30T19:58:42"/>
    <n v="11.58"/>
    <s v="00:36:05"/>
    <n v="0.5"/>
    <s v="02:28:42"/>
    <n v="2.48"/>
    <n v="2.98"/>
    <x v="26"/>
    <s v="P"/>
    <d v="2026-07-07T00:00:00"/>
    <n v="1"/>
    <n v="1"/>
    <n v="0"/>
    <n v="0"/>
    <n v="0"/>
  </r>
  <r>
    <x v="26"/>
    <n v="26"/>
    <n v="1"/>
    <n v="0"/>
    <n v="0"/>
    <s v="5, 12, 26"/>
    <x v="7"/>
    <s v="BASKAR"/>
    <x v="1"/>
    <s v="Company"/>
    <s v="GS"/>
    <d v="1899-12-30T08:25:30"/>
    <d v="1899-12-30T00:52:51"/>
    <n v="16.46"/>
    <s v="00:34:30"/>
    <n v="0.5"/>
    <s v="-16:37:09"/>
    <n v="0"/>
    <n v="0.5"/>
    <x v="26"/>
    <s v="P"/>
    <d v="2026-07-08T00:00:00"/>
    <n v="1"/>
    <n v="1"/>
    <n v="0"/>
    <n v="0"/>
    <n v="0"/>
  </r>
  <r>
    <x v="26"/>
    <n v="26"/>
    <n v="1"/>
    <n v="0"/>
    <n v="0"/>
    <s v="5, 12, 26"/>
    <x v="8"/>
    <s v="BASKAR"/>
    <x v="1"/>
    <s v="Company"/>
    <s v="GS"/>
    <d v="1899-12-30T08:20:11"/>
    <d v="1899-12-30T20:08:13"/>
    <n v="11.8"/>
    <s v="00:39:49"/>
    <n v="0.5"/>
    <s v="02:38:13"/>
    <n v="2.64"/>
    <n v="3.14"/>
    <x v="26"/>
    <s v="P"/>
    <d v="2026-07-09T00:00:00"/>
    <n v="1"/>
    <n v="1"/>
    <n v="0"/>
    <n v="0"/>
    <n v="0"/>
  </r>
  <r>
    <x v="26"/>
    <n v="26"/>
    <n v="1"/>
    <n v="0"/>
    <n v="0"/>
    <s v="5, 12, 26"/>
    <x v="9"/>
    <s v="BASKAR"/>
    <x v="1"/>
    <s v="Company"/>
    <s v="GS"/>
    <d v="1899-12-30T08:20:47"/>
    <d v="1899-12-30T17:30:00"/>
    <n v="9.15"/>
    <s v="00:39:13"/>
    <n v="0.5"/>
    <s v="00:00:00"/>
    <n v="0"/>
    <n v="0.5"/>
    <x v="26"/>
    <s v="P"/>
    <d v="2026-07-10T00:00:00"/>
    <n v="1"/>
    <n v="1"/>
    <n v="0"/>
    <n v="0"/>
    <n v="0"/>
  </r>
  <r>
    <x v="26"/>
    <n v="26"/>
    <n v="1"/>
    <n v="0"/>
    <n v="0"/>
    <s v="5, 12, 26"/>
    <x v="10"/>
    <s v="BASKAR"/>
    <x v="1"/>
    <s v="Company"/>
    <s v="GS"/>
    <d v="1899-12-30T08:50:06"/>
    <d v="1899-12-30T17:30:00"/>
    <n v="8.66"/>
    <s v="00:09:54"/>
    <n v="0"/>
    <s v="00:00:00"/>
    <n v="0"/>
    <n v="0"/>
    <x v="26"/>
    <s v="P"/>
    <d v="2026-07-11T00:00:00"/>
    <n v="1"/>
    <n v="1"/>
    <n v="0"/>
    <n v="0"/>
    <n v="0"/>
  </r>
  <r>
    <x v="26"/>
    <n v="26"/>
    <n v="1"/>
    <n v="0"/>
    <n v="0"/>
    <s v="5, 12, 26"/>
    <x v="11"/>
    <s v="BASKAR"/>
    <x v="1"/>
    <s v="Company"/>
    <s v="NA"/>
    <d v="1899-12-30T00:00:00"/>
    <d v="1899-12-30T00:00:00"/>
    <n v="0"/>
    <s v="09:00:00"/>
    <n v="9"/>
    <s v="-17:30:00"/>
    <n v="0"/>
    <n v="9"/>
    <x v="26"/>
    <s v="A"/>
    <d v="2026-07-12T00:00:00"/>
    <n v="0"/>
    <n v="0"/>
    <n v="0"/>
    <n v="0"/>
    <n v="0"/>
  </r>
  <r>
    <x v="26"/>
    <n v="26"/>
    <n v="1"/>
    <n v="0"/>
    <n v="0"/>
    <s v="5, 12, 26"/>
    <x v="12"/>
    <s v="BASKAR"/>
    <x v="1"/>
    <s v="Company"/>
    <s v="GS"/>
    <d v="1899-12-30T08:20:19"/>
    <d v="1899-12-30T20:10:49"/>
    <n v="11.84"/>
    <s v="00:39:41"/>
    <n v="0.5"/>
    <s v="02:40:49"/>
    <n v="2.68"/>
    <n v="3.18"/>
    <x v="26"/>
    <s v="P"/>
    <d v="2026-07-13T00:00:00"/>
    <n v="1"/>
    <n v="1"/>
    <n v="0"/>
    <n v="0"/>
    <n v="0"/>
  </r>
  <r>
    <x v="26"/>
    <n v="26"/>
    <n v="1"/>
    <n v="0"/>
    <n v="0"/>
    <s v="5, 12, 26"/>
    <x v="13"/>
    <s v="BASKAR"/>
    <x v="1"/>
    <s v="Company"/>
    <s v="GS"/>
    <d v="1899-12-30T19:58:22"/>
    <d v="1899-12-30T00:00:00"/>
    <n v="4.03"/>
    <s v="-10:58:22"/>
    <n v="0"/>
    <s v="-17:30:00"/>
    <n v="0"/>
    <n v="0"/>
    <x v="26"/>
    <s v="H"/>
    <d v="2026-07-14T00:00:00"/>
    <n v="0.5"/>
    <n v="0.5"/>
    <n v="0"/>
    <n v="0"/>
    <n v="0"/>
  </r>
  <r>
    <x v="26"/>
    <n v="26"/>
    <n v="1"/>
    <n v="0"/>
    <n v="0"/>
    <s v="5, 12, 26"/>
    <x v="14"/>
    <s v="BASKAR"/>
    <x v="1"/>
    <s v="Company"/>
    <s v="GS"/>
    <d v="1899-12-30T08:10:52"/>
    <d v="1899-12-30T19:36:55"/>
    <n v="11.43"/>
    <s v="00:49:08"/>
    <n v="0.82"/>
    <s v="02:06:55"/>
    <n v="2.12"/>
    <n v="2.94"/>
    <x v="26"/>
    <s v="P"/>
    <d v="2026-07-15T00:00:00"/>
    <n v="1"/>
    <n v="1"/>
    <n v="0"/>
    <n v="0"/>
    <n v="0"/>
  </r>
  <r>
    <x v="26"/>
    <n v="26"/>
    <n v="1"/>
    <n v="0"/>
    <n v="0"/>
    <s v="5, 12, 26"/>
    <x v="15"/>
    <s v="BASKAR"/>
    <x v="1"/>
    <s v="Company"/>
    <s v="GS"/>
    <d v="1899-12-30T08:23:26"/>
    <d v="1899-12-30T20:02:41"/>
    <n v="11.65"/>
    <s v="00:36:34"/>
    <n v="0.5"/>
    <s v="02:32:41"/>
    <n v="2.54"/>
    <n v="3.04"/>
    <x v="26"/>
    <s v="P"/>
    <d v="2026-07-16T00:00:00"/>
    <n v="1"/>
    <n v="1"/>
    <n v="0"/>
    <n v="0"/>
    <n v="0"/>
  </r>
  <r>
    <x v="26"/>
    <n v="26"/>
    <n v="1"/>
    <n v="0"/>
    <n v="0"/>
    <s v="5, 12, 26"/>
    <x v="16"/>
    <s v="BASKAR"/>
    <x v="1"/>
    <s v="Company"/>
    <s v="GS"/>
    <d v="1899-12-30T08:29:16"/>
    <d v="1899-12-30T19:55:50"/>
    <n v="11.44"/>
    <s v="00:30:44"/>
    <n v="0.5"/>
    <s v="02:25:50"/>
    <n v="2.4300000000000002"/>
    <n v="2.93"/>
    <x v="26"/>
    <s v="P"/>
    <d v="2026-07-17T00:00:00"/>
    <n v="1"/>
    <n v="1"/>
    <n v="0"/>
    <n v="0"/>
    <n v="0"/>
  </r>
  <r>
    <x v="26"/>
    <n v="26"/>
    <n v="1"/>
    <n v="0"/>
    <n v="0"/>
    <s v="5, 12, 26"/>
    <x v="17"/>
    <s v="BASKAR"/>
    <x v="1"/>
    <s v="Company"/>
    <s v="GS"/>
    <d v="1899-12-30T08:22:43"/>
    <d v="1899-12-30T19:25:01"/>
    <n v="11.04"/>
    <s v="00:37:17"/>
    <n v="0.5"/>
    <s v="01:55:01"/>
    <n v="1.92"/>
    <n v="2.42"/>
    <x v="26"/>
    <s v="P"/>
    <d v="2026-07-18T00:00:00"/>
    <n v="1"/>
    <n v="1"/>
    <n v="0"/>
    <n v="0"/>
    <n v="0"/>
  </r>
  <r>
    <x v="26"/>
    <n v="26"/>
    <n v="1"/>
    <n v="0"/>
    <n v="0"/>
    <s v="5, 12, 26"/>
    <x v="18"/>
    <s v="BASKAR"/>
    <x v="1"/>
    <s v="Company"/>
    <s v="GS"/>
    <d v="1899-12-30T08:25:03"/>
    <d v="1899-12-30T16:32:55"/>
    <n v="8.1300000000000008"/>
    <s v="00:34:57"/>
    <n v="0.5"/>
    <s v="-00:57:05"/>
    <n v="0"/>
    <n v="0.5"/>
    <x v="26"/>
    <s v="P"/>
    <d v="2026-07-19T00:00:00"/>
    <n v="1"/>
    <n v="0"/>
    <n v="1"/>
    <n v="0"/>
    <n v="0"/>
  </r>
  <r>
    <x v="26"/>
    <n v="26"/>
    <n v="1"/>
    <n v="0"/>
    <n v="0"/>
    <s v="5, 12, 26"/>
    <x v="19"/>
    <s v="BASKAR"/>
    <x v="1"/>
    <s v="Company"/>
    <s v="GS"/>
    <d v="1899-12-30T20:01:54"/>
    <d v="1899-12-30T00:00:00"/>
    <n v="3.97"/>
    <s v="-11:01:54"/>
    <n v="0"/>
    <s v="-17:30:00"/>
    <n v="0"/>
    <n v="0"/>
    <x v="26"/>
    <s v="H"/>
    <d v="2026-07-20T00:00:00"/>
    <n v="0.5"/>
    <n v="0.5"/>
    <n v="0"/>
    <n v="0"/>
    <n v="0"/>
  </r>
  <r>
    <x v="26"/>
    <n v="26"/>
    <n v="1"/>
    <n v="0"/>
    <n v="0"/>
    <s v="5, 12, 26"/>
    <x v="20"/>
    <s v="BASKAR"/>
    <x v="1"/>
    <s v="Company"/>
    <s v="GS"/>
    <d v="1899-12-30T08:27:30"/>
    <d v="1899-12-30T19:58:21"/>
    <n v="11.51"/>
    <s v="00:32:30"/>
    <n v="0.5"/>
    <s v="02:28:21"/>
    <n v="2.4700000000000002"/>
    <n v="2.97"/>
    <x v="26"/>
    <s v="P"/>
    <d v="2026-07-21T00:00:00"/>
    <n v="1"/>
    <n v="1"/>
    <n v="0"/>
    <n v="0"/>
    <n v="0"/>
  </r>
  <r>
    <x v="26"/>
    <n v="26"/>
    <n v="1"/>
    <n v="0"/>
    <n v="0"/>
    <s v="5, 12, 26"/>
    <x v="21"/>
    <s v="BASKAR"/>
    <x v="1"/>
    <s v="Company"/>
    <s v="GS"/>
    <d v="1899-12-30T08:00:58"/>
    <d v="1899-12-30T20:49:46"/>
    <n v="12.81"/>
    <s v="00:59:02"/>
    <n v="0.98"/>
    <s v="03:19:46"/>
    <n v="3.33"/>
    <n v="4.3100000000000005"/>
    <x v="26"/>
    <s v="P"/>
    <d v="2026-07-22T00:00:00"/>
    <n v="1"/>
    <n v="1"/>
    <n v="0"/>
    <n v="0"/>
    <n v="0"/>
  </r>
  <r>
    <x v="26"/>
    <n v="26"/>
    <n v="1"/>
    <n v="0"/>
    <n v="0"/>
    <s v="5, 12, 26"/>
    <x v="22"/>
    <s v="BASKAR"/>
    <x v="1"/>
    <s v="Company"/>
    <s v="GS"/>
    <d v="1899-12-30T08:16:29"/>
    <d v="1899-12-30T19:55:02"/>
    <n v="11.64"/>
    <s v="00:43:31"/>
    <n v="0.5"/>
    <s v="02:25:02"/>
    <n v="2.42"/>
    <n v="2.92"/>
    <x v="26"/>
    <s v="P"/>
    <d v="2026-07-23T00:00:00"/>
    <n v="1"/>
    <n v="1"/>
    <n v="0"/>
    <n v="0"/>
    <n v="0"/>
  </r>
  <r>
    <x v="26"/>
    <n v="26"/>
    <n v="1"/>
    <n v="0"/>
    <n v="0"/>
    <s v="5, 12, 26"/>
    <x v="23"/>
    <s v="BASKAR"/>
    <x v="1"/>
    <s v="Company"/>
    <s v="GS"/>
    <d v="1899-12-30T08:14:40"/>
    <d v="1899-12-30T19:48:01"/>
    <n v="11.56"/>
    <s v="00:45:20"/>
    <n v="0.76"/>
    <s v="02:18:01"/>
    <n v="2.2999999999999998"/>
    <n v="3.0599999999999996"/>
    <x v="26"/>
    <s v="P"/>
    <d v="2026-07-24T00:00:00"/>
    <n v="1"/>
    <n v="1"/>
    <n v="0"/>
    <n v="0"/>
    <n v="0"/>
  </r>
  <r>
    <x v="26"/>
    <n v="26"/>
    <n v="1"/>
    <n v="0"/>
    <n v="0"/>
    <s v="5, 12, 26"/>
    <x v="24"/>
    <s v="BASKAR"/>
    <x v="1"/>
    <s v="Company"/>
    <s v="GS"/>
    <d v="1899-12-30T08:22:02"/>
    <d v="1899-12-30T18:26:58"/>
    <n v="10.08"/>
    <s v="00:37:58"/>
    <n v="0.5"/>
    <s v="00:56:58"/>
    <n v="0.95"/>
    <n v="1.45"/>
    <x v="26"/>
    <s v="P"/>
    <d v="2026-07-25T00:00:00"/>
    <n v="1"/>
    <n v="1"/>
    <n v="0"/>
    <n v="0"/>
    <n v="0"/>
  </r>
  <r>
    <x v="26"/>
    <n v="26"/>
    <n v="1"/>
    <n v="0"/>
    <n v="0"/>
    <s v="5, 12, 26"/>
    <x v="25"/>
    <s v="BASKAR"/>
    <x v="1"/>
    <s v="Company"/>
    <s v="NA"/>
    <d v="1899-12-30T00:00:00"/>
    <d v="1899-12-30T00:00:00"/>
    <n v="0"/>
    <s v="09:00:00"/>
    <n v="9"/>
    <s v="-17:30:00"/>
    <n v="0"/>
    <n v="9"/>
    <x v="26"/>
    <s v="A"/>
    <d v="2026-07-26T00:00:00"/>
    <n v="0"/>
    <n v="0"/>
    <n v="0"/>
    <n v="0"/>
    <n v="0"/>
  </r>
  <r>
    <x v="26"/>
    <n v="26"/>
    <n v="1"/>
    <n v="0"/>
    <n v="0"/>
    <s v="5, 12, 26"/>
    <x v="26"/>
    <s v="BASKAR"/>
    <x v="1"/>
    <s v="Company"/>
    <s v="GS"/>
    <d v="1899-12-30T08:24:53"/>
    <d v="1899-12-30T19:35:35"/>
    <n v="11.18"/>
    <s v="00:35:07"/>
    <n v="0.5"/>
    <s v="02:05:35"/>
    <n v="2.09"/>
    <n v="2.59"/>
    <x v="26"/>
    <s v="P"/>
    <d v="2026-07-27T00:00:00"/>
    <n v="1"/>
    <n v="1"/>
    <n v="0"/>
    <n v="0"/>
    <n v="0"/>
  </r>
  <r>
    <x v="26"/>
    <n v="26"/>
    <n v="1"/>
    <n v="0"/>
    <n v="0"/>
    <s v="5, 12, 26"/>
    <x v="27"/>
    <s v="BASKAR"/>
    <x v="1"/>
    <s v="Company"/>
    <s v="GS"/>
    <d v="1899-12-30T08:24:58"/>
    <d v="1899-12-30T00:00:00"/>
    <n v="15.58"/>
    <s v="00:35:02"/>
    <n v="0.5"/>
    <s v="-17:30:00"/>
    <n v="0"/>
    <n v="0.5"/>
    <x v="26"/>
    <s v="P"/>
    <d v="2026-07-28T00:00:00"/>
    <n v="1"/>
    <n v="1"/>
    <n v="0"/>
    <n v="0"/>
    <n v="0"/>
  </r>
  <r>
    <x v="26"/>
    <n v="26"/>
    <n v="1"/>
    <n v="0"/>
    <n v="0"/>
    <s v="5, 12, 26"/>
    <x v="28"/>
    <s v="BASKAR"/>
    <x v="1"/>
    <s v="Company"/>
    <s v="GS"/>
    <d v="1899-12-30T08:24:02"/>
    <d v="1899-12-30T20:57:52"/>
    <n v="12.56"/>
    <s v="00:35:58"/>
    <n v="0.5"/>
    <s v="03:27:52"/>
    <n v="3.46"/>
    <n v="3.96"/>
    <x v="26"/>
    <s v="P"/>
    <d v="2026-07-29T00:00:00"/>
    <n v="1"/>
    <n v="1"/>
    <n v="0"/>
    <n v="0"/>
    <n v="0"/>
  </r>
  <r>
    <x v="26"/>
    <n v="26"/>
    <n v="1"/>
    <n v="0"/>
    <n v="0"/>
    <s v="5, 12, 26"/>
    <x v="29"/>
    <s v="BASKAR"/>
    <x v="1"/>
    <s v="Company"/>
    <s v="GS"/>
    <d v="1899-12-30T08:22:15"/>
    <d v="1899-12-30T23:32:12"/>
    <n v="15.17"/>
    <s v="00:37:45"/>
    <n v="0.5"/>
    <s v="06:02:12"/>
    <n v="6.04"/>
    <n v="6.54"/>
    <x v="26"/>
    <s v="P"/>
    <d v="2026-07-30T00:00:00"/>
    <n v="1"/>
    <n v="1"/>
    <n v="0"/>
    <n v="0"/>
    <n v="0"/>
  </r>
  <r>
    <x v="26"/>
    <n v="26"/>
    <n v="1"/>
    <n v="0"/>
    <n v="0"/>
    <s v="5, 12, 26"/>
    <x v="30"/>
    <s v="BASKAR"/>
    <x v="1"/>
    <s v="Company"/>
    <s v="GS"/>
    <d v="1899-12-30T08:16:02"/>
    <d v="1899-12-30T23:05:57"/>
    <n v="14.83"/>
    <s v="00:43:58"/>
    <n v="0.5"/>
    <s v="05:35:57"/>
    <n v="5.6"/>
    <n v="6.1"/>
    <x v="26"/>
    <s v="P"/>
    <d v="2026-07-31T00:00:00"/>
    <n v="1"/>
    <n v="1"/>
    <n v="0"/>
    <n v="0"/>
    <n v="0"/>
  </r>
  <r>
    <x v="27"/>
    <n v="25"/>
    <n v="2"/>
    <n v="0"/>
    <n v="0"/>
    <s v="5, 12, 15, 19, 25, 26"/>
    <x v="0"/>
    <s v="MUTHUVEDI"/>
    <x v="2"/>
    <s v="Company"/>
    <s v="GS"/>
    <d v="1899-12-30T08:57:34"/>
    <d v="1899-12-30T17:27:58"/>
    <n v="8.51"/>
    <s v="00:02:26"/>
    <n v="0"/>
    <s v="-00:02:02"/>
    <n v="0"/>
    <n v="0"/>
    <x v="27"/>
    <s v="P"/>
    <d v="2026-07-01T00:00:00"/>
    <n v="1"/>
    <n v="1"/>
    <n v="0"/>
    <n v="0"/>
    <n v="0"/>
  </r>
  <r>
    <x v="27"/>
    <n v="25"/>
    <n v="2"/>
    <n v="0"/>
    <n v="0"/>
    <s v="5, 12, 15, 19, 25, 26"/>
    <x v="1"/>
    <s v="MUTHUVEDI"/>
    <x v="2"/>
    <s v="Company"/>
    <s v="GS"/>
    <d v="1899-12-30T08:58:43"/>
    <d v="1899-12-30T17:25:42"/>
    <n v="8.4499999999999993"/>
    <s v="00:01:17"/>
    <n v="0"/>
    <s v="-00:04:18"/>
    <n v="0"/>
    <n v="0"/>
    <x v="27"/>
    <s v="P"/>
    <d v="2026-07-02T00:00:00"/>
    <n v="1"/>
    <n v="1"/>
    <n v="0"/>
    <n v="0"/>
    <n v="0"/>
  </r>
  <r>
    <x v="27"/>
    <n v="25"/>
    <n v="2"/>
    <n v="0"/>
    <n v="0"/>
    <s v="5, 12, 15, 19, 25, 26"/>
    <x v="2"/>
    <s v="MUTHUVEDI"/>
    <x v="2"/>
    <s v="Company"/>
    <s v="GS"/>
    <d v="1899-12-30T08:51:31"/>
    <d v="1899-12-30T17:28:03"/>
    <n v="8.61"/>
    <s v="00:08:29"/>
    <n v="0"/>
    <s v="-00:01:57"/>
    <n v="0"/>
    <n v="0"/>
    <x v="27"/>
    <s v="P"/>
    <d v="2026-07-03T00:00:00"/>
    <n v="1"/>
    <n v="1"/>
    <n v="0"/>
    <n v="0"/>
    <n v="0"/>
  </r>
  <r>
    <x v="27"/>
    <n v="25"/>
    <n v="2"/>
    <n v="0"/>
    <n v="0"/>
    <s v="5, 12, 15, 19, 25, 26"/>
    <x v="3"/>
    <s v="MUTHUVEDI"/>
    <x v="2"/>
    <s v="Company"/>
    <s v="GS"/>
    <d v="1899-12-30T09:01:27"/>
    <d v="1899-12-30T17:25:34"/>
    <n v="8.4"/>
    <s v="-00:01:27"/>
    <n v="0"/>
    <s v="-00:04:26"/>
    <n v="0"/>
    <n v="0"/>
    <x v="27"/>
    <s v="P"/>
    <d v="2026-07-04T00:00:00"/>
    <n v="1"/>
    <n v="1"/>
    <n v="0"/>
    <n v="0"/>
    <n v="0"/>
  </r>
  <r>
    <x v="27"/>
    <n v="25"/>
    <n v="2"/>
    <n v="0"/>
    <n v="0"/>
    <s v="5, 12, 15, 19, 25, 26"/>
    <x v="4"/>
    <s v="MUTHUVEDI"/>
    <x v="2"/>
    <s v="Company"/>
    <s v="NA"/>
    <d v="1899-12-30T00:00:00"/>
    <d v="1899-12-30T00:00:00"/>
    <n v="0"/>
    <s v="09:00:00"/>
    <n v="9"/>
    <s v="-17:30:00"/>
    <n v="0"/>
    <n v="9"/>
    <x v="27"/>
    <s v="A"/>
    <d v="2026-07-05T00:00:00"/>
    <n v="0"/>
    <n v="0"/>
    <n v="0"/>
    <n v="0"/>
    <n v="0"/>
  </r>
  <r>
    <x v="27"/>
    <n v="25"/>
    <n v="2"/>
    <n v="0"/>
    <n v="0"/>
    <s v="5, 12, 15, 19, 25, 26"/>
    <x v="5"/>
    <s v="MUTHUVEDI"/>
    <x v="2"/>
    <s v="Company"/>
    <s v="GS"/>
    <d v="1899-12-30T08:59:17"/>
    <d v="1899-12-30T17:52:53"/>
    <n v="8.89"/>
    <s v="00:00:43"/>
    <n v="0"/>
    <s v="00:22:53"/>
    <n v="0"/>
    <n v="0"/>
    <x v="27"/>
    <s v="P"/>
    <d v="2026-07-06T00:00:00"/>
    <n v="1"/>
    <n v="1"/>
    <n v="0"/>
    <n v="0"/>
    <n v="0"/>
  </r>
  <r>
    <x v="27"/>
    <n v="25"/>
    <n v="2"/>
    <n v="0"/>
    <n v="0"/>
    <s v="5, 12, 15, 19, 25, 26"/>
    <x v="6"/>
    <s v="MUTHUVEDI"/>
    <x v="2"/>
    <s v="Company"/>
    <s v="GS"/>
    <d v="1899-12-30T09:06:39"/>
    <d v="1899-12-30T18:26:29"/>
    <n v="9.33"/>
    <s v="-00:06:39"/>
    <n v="0"/>
    <s v="00:56:29"/>
    <n v="0.94"/>
    <n v="0.94"/>
    <x v="27"/>
    <s v="P"/>
    <d v="2026-07-07T00:00:00"/>
    <n v="1"/>
    <n v="1"/>
    <n v="0"/>
    <n v="0"/>
    <n v="0"/>
  </r>
  <r>
    <x v="27"/>
    <n v="25"/>
    <n v="2"/>
    <n v="0"/>
    <n v="0"/>
    <s v="5, 12, 15, 19, 25, 26"/>
    <x v="7"/>
    <s v="MUTHUVEDI"/>
    <x v="2"/>
    <s v="Company"/>
    <s v="GS"/>
    <d v="1899-12-30T08:48:15"/>
    <d v="1899-12-30T18:26:45"/>
    <n v="9.64"/>
    <s v="00:11:45"/>
    <n v="0"/>
    <s v="00:56:45"/>
    <n v="0.95"/>
    <n v="0.95"/>
    <x v="27"/>
    <s v="P"/>
    <d v="2026-07-08T00:00:00"/>
    <n v="1"/>
    <n v="1"/>
    <n v="0"/>
    <n v="0"/>
    <n v="0"/>
  </r>
  <r>
    <x v="27"/>
    <n v="25"/>
    <n v="2"/>
    <n v="0"/>
    <n v="0"/>
    <s v="5, 12, 15, 19, 25, 26"/>
    <x v="8"/>
    <s v="MUTHUVEDI"/>
    <x v="2"/>
    <s v="Company"/>
    <s v="GS"/>
    <d v="1899-12-30T08:56:25"/>
    <d v="1899-12-30T18:26:19"/>
    <n v="9.5"/>
    <s v="00:03:35"/>
    <n v="0"/>
    <s v="00:56:19"/>
    <n v="0.94"/>
    <n v="0.94"/>
    <x v="27"/>
    <s v="P"/>
    <d v="2026-07-09T00:00:00"/>
    <n v="1"/>
    <n v="1"/>
    <n v="0"/>
    <n v="0"/>
    <n v="0"/>
  </r>
  <r>
    <x v="27"/>
    <n v="25"/>
    <n v="2"/>
    <n v="0"/>
    <n v="0"/>
    <s v="5, 12, 15, 19, 25, 26"/>
    <x v="9"/>
    <s v="MUTHUVEDI"/>
    <x v="2"/>
    <s v="Company"/>
    <s v="GS"/>
    <d v="1899-12-30T08:57:37"/>
    <d v="1899-12-30T18:25:46"/>
    <n v="9.4700000000000006"/>
    <s v="00:02:23"/>
    <n v="0"/>
    <s v="00:55:46"/>
    <n v="0.93"/>
    <n v="0.93"/>
    <x v="27"/>
    <s v="P"/>
    <d v="2026-07-10T00:00:00"/>
    <n v="1"/>
    <n v="1"/>
    <n v="0"/>
    <n v="0"/>
    <n v="0"/>
  </r>
  <r>
    <x v="27"/>
    <n v="25"/>
    <n v="2"/>
    <n v="0"/>
    <n v="0"/>
    <s v="5, 12, 15, 19, 25, 26"/>
    <x v="10"/>
    <s v="MUTHUVEDI"/>
    <x v="2"/>
    <s v="Company"/>
    <s v="GS"/>
    <d v="1899-12-30T09:00:00"/>
    <d v="1899-12-30T18:27:27"/>
    <n v="9.4600000000000009"/>
    <s v="00:00:00"/>
    <n v="0"/>
    <s v="00:57:27"/>
    <n v="0.96"/>
    <n v="0.96"/>
    <x v="27"/>
    <s v="P"/>
    <d v="2026-07-11T00:00:00"/>
    <n v="1"/>
    <n v="1"/>
    <n v="0"/>
    <n v="0"/>
    <n v="0"/>
  </r>
  <r>
    <x v="27"/>
    <n v="25"/>
    <n v="2"/>
    <n v="0"/>
    <n v="0"/>
    <s v="5, 12, 15, 19, 25, 26"/>
    <x v="11"/>
    <s v="MUTHUVEDI"/>
    <x v="2"/>
    <s v="Company"/>
    <s v="NA"/>
    <d v="1899-12-30T00:00:00"/>
    <d v="1899-12-30T00:00:00"/>
    <n v="0"/>
    <s v="09:00:00"/>
    <n v="9"/>
    <s v="-17:30:00"/>
    <n v="0"/>
    <n v="9"/>
    <x v="27"/>
    <s v="A"/>
    <d v="2026-07-12T00:00:00"/>
    <n v="0"/>
    <n v="0"/>
    <n v="0"/>
    <n v="0"/>
    <n v="0"/>
  </r>
  <r>
    <x v="27"/>
    <n v="25"/>
    <n v="2"/>
    <n v="0"/>
    <n v="0"/>
    <s v="5, 12, 15, 19, 25, 26"/>
    <x v="12"/>
    <s v="MUTHUVEDI"/>
    <x v="2"/>
    <s v="Company"/>
    <s v="GS"/>
    <d v="1899-12-30T08:45:39"/>
    <d v="1899-12-30T18:27:29"/>
    <n v="9.6999999999999993"/>
    <s v="00:14:21"/>
    <n v="0"/>
    <s v="00:57:29"/>
    <n v="0.96"/>
    <n v="0.96"/>
    <x v="27"/>
    <s v="P"/>
    <d v="2026-07-13T00:00:00"/>
    <n v="1"/>
    <n v="1"/>
    <n v="0"/>
    <n v="0"/>
    <n v="0"/>
  </r>
  <r>
    <x v="27"/>
    <n v="25"/>
    <n v="2"/>
    <n v="0"/>
    <n v="0"/>
    <s v="5, 12, 15, 19, 25, 26"/>
    <x v="13"/>
    <s v="MUTHUVEDI"/>
    <x v="2"/>
    <s v="Company"/>
    <s v="GS"/>
    <d v="1899-12-30T08:59:06"/>
    <d v="1899-12-30T18:26:40"/>
    <n v="9.4600000000000009"/>
    <s v="00:00:54"/>
    <n v="0"/>
    <s v="00:56:40"/>
    <n v="0.94"/>
    <n v="0.94"/>
    <x v="27"/>
    <s v="P"/>
    <d v="2026-07-14T00:00:00"/>
    <n v="1"/>
    <n v="1"/>
    <n v="0"/>
    <n v="0"/>
    <n v="0"/>
  </r>
  <r>
    <x v="27"/>
    <n v="25"/>
    <n v="2"/>
    <n v="0"/>
    <n v="0"/>
    <s v="5, 12, 15, 19, 25, 26"/>
    <x v="14"/>
    <s v="MUTHUVEDI"/>
    <x v="2"/>
    <s v="Company"/>
    <s v="NA"/>
    <d v="1899-12-30T00:00:00"/>
    <d v="1899-12-30T00:00:00"/>
    <n v="0"/>
    <s v="09:00:00"/>
    <n v="9"/>
    <s v="-17:30:00"/>
    <n v="0"/>
    <n v="9"/>
    <x v="27"/>
    <s v="A"/>
    <d v="2026-07-15T00:00:00"/>
    <n v="0"/>
    <n v="0"/>
    <n v="0"/>
    <n v="0"/>
    <n v="0"/>
  </r>
  <r>
    <x v="27"/>
    <n v="25"/>
    <n v="2"/>
    <n v="0"/>
    <n v="0"/>
    <s v="5, 12, 15, 19, 25, 26"/>
    <x v="15"/>
    <s v="MUTHUVEDI"/>
    <x v="2"/>
    <s v="Company"/>
    <s v="GS"/>
    <d v="1899-12-30T09:01:19"/>
    <d v="1899-12-30T18:26:21"/>
    <n v="9.42"/>
    <s v="-00:01:19"/>
    <n v="0"/>
    <s v="00:56:21"/>
    <n v="0.94"/>
    <n v="0.94"/>
    <x v="27"/>
    <s v="P"/>
    <d v="2026-07-16T00:00:00"/>
    <n v="1"/>
    <n v="1"/>
    <n v="0"/>
    <n v="0"/>
    <n v="0"/>
  </r>
  <r>
    <x v="27"/>
    <n v="25"/>
    <n v="2"/>
    <n v="0"/>
    <n v="0"/>
    <s v="5, 12, 15, 19, 25, 26"/>
    <x v="16"/>
    <s v="MUTHUVEDI"/>
    <x v="2"/>
    <s v="Company"/>
    <s v="GS"/>
    <d v="1899-12-30T08:54:04"/>
    <d v="1899-12-30T18:24:46"/>
    <n v="9.51"/>
    <s v="00:05:56"/>
    <n v="0"/>
    <s v="00:54:46"/>
    <n v="0.91"/>
    <n v="0.91"/>
    <x v="27"/>
    <s v="P"/>
    <d v="2026-07-17T00:00:00"/>
    <n v="1"/>
    <n v="1"/>
    <n v="0"/>
    <n v="0"/>
    <n v="0"/>
  </r>
  <r>
    <x v="27"/>
    <n v="25"/>
    <n v="2"/>
    <n v="0"/>
    <n v="0"/>
    <s v="5, 12, 15, 19, 25, 26"/>
    <x v="17"/>
    <s v="MUTHUVEDI"/>
    <x v="2"/>
    <s v="Company"/>
    <s v="GS"/>
    <d v="1899-12-30T08:39:11"/>
    <d v="1899-12-30T17:29:48"/>
    <n v="8.84"/>
    <s v="00:20:49"/>
    <n v="0"/>
    <s v="-00:00:12"/>
    <n v="0"/>
    <n v="0"/>
    <x v="27"/>
    <s v="P"/>
    <d v="2026-07-18T00:00:00"/>
    <n v="1"/>
    <n v="1"/>
    <n v="0"/>
    <n v="0"/>
    <n v="0"/>
  </r>
  <r>
    <x v="27"/>
    <n v="25"/>
    <n v="2"/>
    <n v="0"/>
    <n v="0"/>
    <s v="5, 12, 15, 19, 25, 26"/>
    <x v="18"/>
    <s v="MUTHUVEDI"/>
    <x v="2"/>
    <s v="Company"/>
    <s v="NA"/>
    <d v="1899-12-30T00:00:00"/>
    <d v="1899-12-30T00:00:00"/>
    <n v="0"/>
    <s v="09:00:00"/>
    <n v="9"/>
    <s v="-17:30:00"/>
    <n v="0"/>
    <n v="9"/>
    <x v="27"/>
    <s v="A"/>
    <d v="2026-07-19T00:00:00"/>
    <n v="0"/>
    <n v="0"/>
    <n v="0"/>
    <n v="0"/>
    <n v="0"/>
  </r>
  <r>
    <x v="27"/>
    <n v="25"/>
    <n v="2"/>
    <n v="0"/>
    <n v="0"/>
    <s v="5, 12, 15, 19, 25, 26"/>
    <x v="19"/>
    <s v="MUTHUVEDI"/>
    <x v="2"/>
    <s v="Company"/>
    <s v="GS"/>
    <d v="1899-12-30T09:07:19"/>
    <d v="1899-12-30T18:26:01"/>
    <n v="9.31"/>
    <s v="-00:07:19"/>
    <n v="0"/>
    <s v="00:56:01"/>
    <n v="0.93"/>
    <n v="0.93"/>
    <x v="27"/>
    <s v="P"/>
    <d v="2026-07-20T00:00:00"/>
    <n v="1"/>
    <n v="1"/>
    <n v="0"/>
    <n v="0"/>
    <n v="0"/>
  </r>
  <r>
    <x v="27"/>
    <n v="25"/>
    <n v="2"/>
    <n v="0"/>
    <n v="0"/>
    <s v="5, 12, 15, 19, 25, 26"/>
    <x v="20"/>
    <s v="MUTHUVEDI"/>
    <x v="2"/>
    <s v="Company"/>
    <s v="GS"/>
    <d v="1899-12-30T08:53:52"/>
    <d v="1899-12-30T17:27:21"/>
    <n v="8.56"/>
    <s v="00:06:08"/>
    <n v="0"/>
    <s v="-00:02:39"/>
    <n v="0"/>
    <n v="0"/>
    <x v="27"/>
    <s v="P"/>
    <d v="2026-07-21T00:00:00"/>
    <n v="1"/>
    <n v="1"/>
    <n v="0"/>
    <n v="0"/>
    <n v="0"/>
  </r>
  <r>
    <x v="27"/>
    <n v="25"/>
    <n v="2"/>
    <n v="0"/>
    <n v="0"/>
    <s v="5, 12, 15, 19, 25, 26"/>
    <x v="21"/>
    <s v="MUTHUVEDI"/>
    <x v="2"/>
    <s v="Company"/>
    <s v="GS"/>
    <d v="1899-12-30T08:52:55"/>
    <d v="1899-12-30T18:26:27"/>
    <n v="9.56"/>
    <s v="00:07:05"/>
    <n v="0"/>
    <s v="00:56:27"/>
    <n v="0.94"/>
    <n v="0.94"/>
    <x v="27"/>
    <s v="P"/>
    <d v="2026-07-22T00:00:00"/>
    <n v="1"/>
    <n v="1"/>
    <n v="0"/>
    <n v="0"/>
    <n v="0"/>
  </r>
  <r>
    <x v="27"/>
    <n v="25"/>
    <n v="2"/>
    <n v="0"/>
    <n v="0"/>
    <s v="5, 12, 15, 19, 25, 26"/>
    <x v="22"/>
    <s v="MUTHUVEDI"/>
    <x v="2"/>
    <s v="Company"/>
    <s v="GS"/>
    <d v="1899-12-30T08:59:23"/>
    <d v="1899-12-30T18:25:47"/>
    <n v="9.44"/>
    <s v="00:00:37"/>
    <n v="0"/>
    <s v="00:55:47"/>
    <n v="0.93"/>
    <n v="0.93"/>
    <x v="27"/>
    <s v="P"/>
    <d v="2026-07-23T00:00:00"/>
    <n v="1"/>
    <n v="1"/>
    <n v="0"/>
    <n v="0"/>
    <n v="0"/>
  </r>
  <r>
    <x v="27"/>
    <n v="25"/>
    <n v="2"/>
    <n v="0"/>
    <n v="0"/>
    <s v="5, 12, 15, 19, 25, 26"/>
    <x v="23"/>
    <s v="MUTHUVEDI"/>
    <x v="2"/>
    <s v="Company"/>
    <s v="GS"/>
    <d v="1899-12-30T08:55:37"/>
    <d v="1899-12-30T18:26:58"/>
    <n v="9.52"/>
    <s v="00:04:23"/>
    <n v="0"/>
    <s v="00:56:58"/>
    <n v="0.95"/>
    <n v="0.95"/>
    <x v="27"/>
    <s v="P"/>
    <d v="2026-07-24T00:00:00"/>
    <n v="1"/>
    <n v="1"/>
    <n v="0"/>
    <n v="0"/>
    <n v="0"/>
  </r>
  <r>
    <x v="27"/>
    <n v="25"/>
    <n v="2"/>
    <n v="0"/>
    <n v="0"/>
    <s v="5, 12, 15, 19, 25, 26"/>
    <x v="24"/>
    <s v="MUTHUVEDI"/>
    <x v="2"/>
    <s v="Company"/>
    <s v="NA"/>
    <d v="1899-12-30T00:00:00"/>
    <d v="1899-12-30T00:00:00"/>
    <n v="0"/>
    <s v="09:00:00"/>
    <n v="9"/>
    <s v="-17:30:00"/>
    <n v="0"/>
    <n v="9"/>
    <x v="27"/>
    <s v="A"/>
    <d v="2026-07-25T00:00:00"/>
    <n v="0"/>
    <n v="0"/>
    <n v="0"/>
    <n v="0"/>
    <n v="0"/>
  </r>
  <r>
    <x v="27"/>
    <n v="25"/>
    <n v="2"/>
    <n v="0"/>
    <n v="0"/>
    <s v="5, 12, 15, 19, 25, 26"/>
    <x v="25"/>
    <s v="MUTHUVEDI"/>
    <x v="2"/>
    <s v="Company"/>
    <s v="NA"/>
    <d v="1899-12-30T00:00:00"/>
    <d v="1899-12-30T00:00:00"/>
    <n v="0"/>
    <s v="09:00:00"/>
    <n v="9"/>
    <s v="-17:30:00"/>
    <n v="0"/>
    <n v="9"/>
    <x v="27"/>
    <s v="A"/>
    <d v="2026-07-26T00:00:00"/>
    <n v="0"/>
    <n v="0"/>
    <n v="0"/>
    <n v="0"/>
    <n v="0"/>
  </r>
  <r>
    <x v="27"/>
    <n v="25"/>
    <n v="2"/>
    <n v="0"/>
    <n v="0"/>
    <s v="5, 12, 15, 19, 25, 26"/>
    <x v="26"/>
    <s v="MUTHUVEDI"/>
    <x v="2"/>
    <s v="Company"/>
    <s v="GS"/>
    <d v="1899-12-30T08:55:32"/>
    <d v="1899-12-30T17:30:45"/>
    <n v="8.59"/>
    <s v="00:04:28"/>
    <n v="0"/>
    <s v="00:00:45"/>
    <n v="0"/>
    <n v="0"/>
    <x v="27"/>
    <s v="P"/>
    <d v="2026-07-27T00:00:00"/>
    <n v="1"/>
    <n v="1"/>
    <n v="0"/>
    <n v="0"/>
    <n v="0"/>
  </r>
  <r>
    <x v="27"/>
    <n v="25"/>
    <n v="2"/>
    <n v="0"/>
    <n v="0"/>
    <s v="5, 12, 15, 19, 25, 26"/>
    <x v="27"/>
    <s v="MUTHUVEDI"/>
    <x v="2"/>
    <s v="Company"/>
    <s v="GS"/>
    <d v="1899-12-30T08:52:35"/>
    <d v="1899-12-30T18:25:47"/>
    <n v="9.5500000000000007"/>
    <s v="00:07:25"/>
    <n v="0"/>
    <s v="00:55:47"/>
    <n v="0.93"/>
    <n v="0.93"/>
    <x v="27"/>
    <s v="P"/>
    <d v="2026-07-28T00:00:00"/>
    <n v="1"/>
    <n v="1"/>
    <n v="0"/>
    <n v="0"/>
    <n v="0"/>
  </r>
  <r>
    <x v="27"/>
    <n v="25"/>
    <n v="2"/>
    <n v="0"/>
    <n v="0"/>
    <s v="5, 12, 15, 19, 25, 26"/>
    <x v="28"/>
    <s v="MUTHUVEDI"/>
    <x v="2"/>
    <s v="Company"/>
    <s v="GS"/>
    <d v="1899-12-30T08:47:15"/>
    <d v="1899-12-30T18:25:03"/>
    <n v="9.6300000000000008"/>
    <s v="00:12:45"/>
    <n v="0"/>
    <s v="00:55:03"/>
    <n v="0.92"/>
    <n v="0.92"/>
    <x v="27"/>
    <s v="P"/>
    <d v="2026-07-29T00:00:00"/>
    <n v="1"/>
    <n v="1"/>
    <n v="0"/>
    <n v="0"/>
    <n v="0"/>
  </r>
  <r>
    <x v="27"/>
    <n v="25"/>
    <n v="2"/>
    <n v="0"/>
    <n v="0"/>
    <s v="5, 12, 15, 19, 25, 26"/>
    <x v="29"/>
    <s v="MUTHUVEDI"/>
    <x v="2"/>
    <s v="Company"/>
    <s v="GS"/>
    <d v="1899-12-30T08:49:27"/>
    <d v="1899-12-30T18:25:54"/>
    <n v="9.61"/>
    <s v="00:10:33"/>
    <n v="0"/>
    <s v="00:55:54"/>
    <n v="0.93"/>
    <n v="0.93"/>
    <x v="27"/>
    <s v="P"/>
    <d v="2026-07-30T00:00:00"/>
    <n v="1"/>
    <n v="1"/>
    <n v="0"/>
    <n v="0"/>
    <n v="0"/>
  </r>
  <r>
    <x v="27"/>
    <n v="25"/>
    <n v="2"/>
    <n v="0"/>
    <n v="0"/>
    <s v="5, 12, 15, 19, 25, 26"/>
    <x v="30"/>
    <s v="MUTHUVEDI"/>
    <x v="2"/>
    <s v="Company"/>
    <s v="GS"/>
    <d v="1899-12-30T08:45:09"/>
    <d v="1899-12-30T18:24:16"/>
    <n v="9.65"/>
    <s v="00:14:51"/>
    <n v="0"/>
    <s v="00:54:16"/>
    <n v="0.9"/>
    <n v="0.9"/>
    <x v="27"/>
    <s v="P"/>
    <d v="2026-07-31T00:00:00"/>
    <n v="1"/>
    <n v="1"/>
    <n v="0"/>
    <n v="0"/>
    <n v="0"/>
  </r>
  <r>
    <x v="28"/>
    <n v="24.5"/>
    <n v="2.5"/>
    <n v="0"/>
    <n v="0"/>
    <s v="4, 6, 12, 26"/>
    <x v="0"/>
    <s v="PAVAN KUMAR"/>
    <x v="2"/>
    <s v="Company"/>
    <s v="GS"/>
    <d v="1899-12-30T08:53:44"/>
    <d v="1899-12-30T17:26:44"/>
    <n v="8.5500000000000007"/>
    <s v="00:06:16"/>
    <n v="0"/>
    <s v="-00:03:16"/>
    <n v="0"/>
    <n v="0"/>
    <x v="28"/>
    <s v="P"/>
    <d v="2026-07-01T00:00:00"/>
    <n v="1"/>
    <n v="1"/>
    <n v="0"/>
    <n v="0"/>
    <n v="0"/>
  </r>
  <r>
    <x v="28"/>
    <n v="24.5"/>
    <n v="2.5"/>
    <n v="0"/>
    <n v="0"/>
    <s v="4, 6, 12, 26"/>
    <x v="1"/>
    <s v="PAVAN KUMAR"/>
    <x v="2"/>
    <s v="Company"/>
    <s v="GS"/>
    <d v="1899-12-30T08:58:49"/>
    <d v="1899-12-30T17:25:40"/>
    <n v="8.4499999999999993"/>
    <s v="00:01:11"/>
    <n v="0"/>
    <s v="-00:04:20"/>
    <n v="0"/>
    <n v="0"/>
    <x v="28"/>
    <s v="P"/>
    <d v="2026-07-02T00:00:00"/>
    <n v="1"/>
    <n v="1"/>
    <n v="0"/>
    <n v="0"/>
    <n v="0"/>
  </r>
  <r>
    <x v="28"/>
    <n v="24.5"/>
    <n v="2.5"/>
    <n v="0"/>
    <n v="0"/>
    <s v="4, 6, 12, 26"/>
    <x v="2"/>
    <s v="PAVAN KUMAR"/>
    <x v="2"/>
    <s v="Company"/>
    <s v="GS"/>
    <d v="1899-12-30T08:55:11"/>
    <d v="1899-12-30T12:55:53"/>
    <n v="4.01"/>
    <s v="00:04:49"/>
    <n v="0"/>
    <s v="-04:34:07"/>
    <n v="0"/>
    <n v="0"/>
    <x v="28"/>
    <s v="H"/>
    <d v="2026-07-03T00:00:00"/>
    <n v="0.5"/>
    <n v="0.5"/>
    <n v="0"/>
    <n v="0"/>
    <n v="0"/>
  </r>
  <r>
    <x v="28"/>
    <n v="24.5"/>
    <n v="2.5"/>
    <n v="0"/>
    <n v="0"/>
    <s v="4, 6, 12, 26"/>
    <x v="3"/>
    <s v="PAVAN KUMAR"/>
    <x v="2"/>
    <s v="Company"/>
    <s v="NA"/>
    <d v="1899-12-30T00:00:00"/>
    <d v="1899-12-30T00:00:00"/>
    <n v="0"/>
    <s v="09:00:00"/>
    <n v="9"/>
    <s v="-17:30:00"/>
    <n v="0"/>
    <n v="9"/>
    <x v="28"/>
    <s v="A"/>
    <d v="2026-07-04T00:00:00"/>
    <n v="0"/>
    <n v="0"/>
    <n v="0"/>
    <n v="0"/>
    <n v="0"/>
  </r>
  <r>
    <x v="28"/>
    <n v="24.5"/>
    <n v="2.5"/>
    <n v="0"/>
    <n v="0"/>
    <s v="4, 6, 12, 26"/>
    <x v="4"/>
    <s v="PAVAN KUMAR"/>
    <x v="2"/>
    <s v="Company"/>
    <s v="GS"/>
    <d v="1899-12-30T09:00:00"/>
    <d v="1899-12-30T12:31:08"/>
    <n v="3.52"/>
    <s v="00:00:00"/>
    <n v="0"/>
    <s v="-04:58:52"/>
    <n v="0"/>
    <n v="0"/>
    <x v="28"/>
    <s v="H"/>
    <d v="2026-07-05T00:00:00"/>
    <n v="0.5"/>
    <n v="0"/>
    <n v="0.5"/>
    <n v="0"/>
    <n v="0"/>
  </r>
  <r>
    <x v="28"/>
    <n v="24.5"/>
    <n v="2.5"/>
    <n v="0"/>
    <n v="0"/>
    <s v="4, 6, 12, 26"/>
    <x v="5"/>
    <s v="PAVAN KUMAR"/>
    <x v="2"/>
    <s v="Company"/>
    <s v="NA"/>
    <d v="1899-12-30T00:00:00"/>
    <d v="1899-12-30T00:00:00"/>
    <n v="0"/>
    <s v="09:00:00"/>
    <n v="9"/>
    <s v="-17:30:00"/>
    <n v="0"/>
    <n v="9"/>
    <x v="28"/>
    <s v="A"/>
    <d v="2026-07-06T00:00:00"/>
    <n v="0"/>
    <n v="0"/>
    <n v="0"/>
    <n v="0"/>
    <n v="0"/>
  </r>
  <r>
    <x v="28"/>
    <n v="24.5"/>
    <n v="2.5"/>
    <n v="0"/>
    <n v="0"/>
    <s v="4, 6, 12, 26"/>
    <x v="6"/>
    <s v="PAVAN KUMAR"/>
    <x v="2"/>
    <s v="Company"/>
    <s v="GS"/>
    <d v="1899-12-30T08:58:23"/>
    <d v="1899-12-30T18:27:29"/>
    <n v="9.48"/>
    <s v="00:01:37"/>
    <n v="0"/>
    <s v="00:57:29"/>
    <n v="0.96"/>
    <n v="0.96"/>
    <x v="28"/>
    <s v="P"/>
    <d v="2026-07-07T00:00:00"/>
    <n v="1"/>
    <n v="1"/>
    <n v="0"/>
    <n v="0"/>
    <n v="0"/>
  </r>
  <r>
    <x v="28"/>
    <n v="24.5"/>
    <n v="2.5"/>
    <n v="0"/>
    <n v="0"/>
    <s v="4, 6, 12, 26"/>
    <x v="7"/>
    <s v="PAVAN KUMAR"/>
    <x v="2"/>
    <s v="Company"/>
    <s v="GS"/>
    <d v="1899-12-30T08:57:08"/>
    <d v="1899-12-30T18:27:54"/>
    <n v="9.51"/>
    <s v="00:02:52"/>
    <n v="0"/>
    <s v="00:57:54"/>
    <n v="0.96"/>
    <n v="0.96"/>
    <x v="28"/>
    <s v="P"/>
    <d v="2026-07-08T00:00:00"/>
    <n v="1"/>
    <n v="1"/>
    <n v="0"/>
    <n v="0"/>
    <n v="0"/>
  </r>
  <r>
    <x v="28"/>
    <n v="24.5"/>
    <n v="2.5"/>
    <n v="0"/>
    <n v="0"/>
    <s v="4, 6, 12, 26"/>
    <x v="8"/>
    <s v="PAVAN KUMAR"/>
    <x v="2"/>
    <s v="Company"/>
    <s v="GS"/>
    <d v="1899-12-30T08:57:13"/>
    <d v="1899-12-30T17:44:56"/>
    <n v="8.8000000000000007"/>
    <s v="00:02:47"/>
    <n v="0"/>
    <s v="00:14:56"/>
    <n v="0"/>
    <n v="0"/>
    <x v="28"/>
    <s v="P"/>
    <d v="2026-07-09T00:00:00"/>
    <n v="1"/>
    <n v="1"/>
    <n v="0"/>
    <n v="0"/>
    <n v="0"/>
  </r>
  <r>
    <x v="28"/>
    <n v="24.5"/>
    <n v="2.5"/>
    <n v="0"/>
    <n v="0"/>
    <s v="4, 6, 12, 26"/>
    <x v="9"/>
    <s v="PAVAN KUMAR"/>
    <x v="2"/>
    <s v="Company"/>
    <s v="GS"/>
    <d v="1899-12-30T08:59:13"/>
    <d v="1899-12-30T18:25:44"/>
    <n v="9.44"/>
    <s v="00:00:47"/>
    <n v="0"/>
    <s v="00:55:44"/>
    <n v="0.93"/>
    <n v="0.93"/>
    <x v="28"/>
    <s v="P"/>
    <d v="2026-07-10T00:00:00"/>
    <n v="1"/>
    <n v="1"/>
    <n v="0"/>
    <n v="0"/>
    <n v="0"/>
  </r>
  <r>
    <x v="28"/>
    <n v="24.5"/>
    <n v="2.5"/>
    <n v="0"/>
    <n v="0"/>
    <s v="4, 6, 12, 26"/>
    <x v="10"/>
    <s v="PAVAN KUMAR"/>
    <x v="2"/>
    <s v="Company"/>
    <s v="GS"/>
    <d v="1899-12-30T08:53:04"/>
    <d v="1899-12-30T18:26:57"/>
    <n v="9.56"/>
    <s v="00:06:56"/>
    <n v="0"/>
    <s v="00:56:57"/>
    <n v="0.95"/>
    <n v="0.95"/>
    <x v="28"/>
    <s v="P"/>
    <d v="2026-07-11T00:00:00"/>
    <n v="1"/>
    <n v="1"/>
    <n v="0"/>
    <n v="0"/>
    <n v="0"/>
  </r>
  <r>
    <x v="28"/>
    <n v="24.5"/>
    <n v="2.5"/>
    <n v="0"/>
    <n v="0"/>
    <s v="4, 6, 12, 26"/>
    <x v="11"/>
    <s v="PAVAN KUMAR"/>
    <x v="2"/>
    <s v="Company"/>
    <s v="NA"/>
    <d v="1899-12-30T00:00:00"/>
    <d v="1899-12-30T00:00:00"/>
    <n v="0"/>
    <s v="09:00:00"/>
    <n v="9"/>
    <s v="-17:30:00"/>
    <n v="0"/>
    <n v="9"/>
    <x v="28"/>
    <s v="A"/>
    <d v="2026-07-12T00:00:00"/>
    <n v="0"/>
    <n v="0"/>
    <n v="0"/>
    <n v="0"/>
    <n v="0"/>
  </r>
  <r>
    <x v="28"/>
    <n v="24.5"/>
    <n v="2.5"/>
    <n v="0"/>
    <n v="0"/>
    <s v="4, 6, 12, 26"/>
    <x v="12"/>
    <s v="PAVAN KUMAR"/>
    <x v="2"/>
    <s v="Company"/>
    <s v="GS"/>
    <d v="1899-12-30T13:11:34"/>
    <d v="1899-12-30T00:00:00"/>
    <n v="10.81"/>
    <s v="-04:11:34"/>
    <n v="0"/>
    <s v="-17:30:00"/>
    <n v="0"/>
    <n v="0"/>
    <x v="28"/>
    <s v="P"/>
    <d v="2026-07-13T00:00:00"/>
    <n v="1"/>
    <n v="1"/>
    <n v="0"/>
    <n v="0"/>
    <n v="0"/>
  </r>
  <r>
    <x v="28"/>
    <n v="24.5"/>
    <n v="2.5"/>
    <n v="0"/>
    <n v="0"/>
    <s v="4, 6, 12, 26"/>
    <x v="13"/>
    <s v="PAVAN KUMAR"/>
    <x v="2"/>
    <s v="Company"/>
    <s v="GS"/>
    <d v="1899-12-30T08:49:28"/>
    <d v="1899-12-30T18:27:25"/>
    <n v="9.6300000000000008"/>
    <s v="00:10:32"/>
    <n v="0"/>
    <s v="00:57:25"/>
    <n v="0.96"/>
    <n v="0.96"/>
    <x v="28"/>
    <s v="P"/>
    <d v="2026-07-14T00:00:00"/>
    <n v="1"/>
    <n v="1"/>
    <n v="0"/>
    <n v="0"/>
    <n v="0"/>
  </r>
  <r>
    <x v="28"/>
    <n v="24.5"/>
    <n v="2.5"/>
    <n v="0"/>
    <n v="0"/>
    <s v="4, 6, 12, 26"/>
    <x v="14"/>
    <s v="PAVAN KUMAR"/>
    <x v="2"/>
    <s v="Company"/>
    <s v="GS"/>
    <d v="1899-12-30T08:54:08"/>
    <d v="1899-12-30T18:27:01"/>
    <n v="9.5500000000000007"/>
    <s v="00:05:52"/>
    <n v="0"/>
    <s v="00:57:01"/>
    <n v="0.95"/>
    <n v="0.95"/>
    <x v="28"/>
    <s v="P"/>
    <d v="2026-07-15T00:00:00"/>
    <n v="1"/>
    <n v="1"/>
    <n v="0"/>
    <n v="0"/>
    <n v="0"/>
  </r>
  <r>
    <x v="28"/>
    <n v="24.5"/>
    <n v="2.5"/>
    <n v="0"/>
    <n v="0"/>
    <s v="4, 6, 12, 26"/>
    <x v="15"/>
    <s v="PAVAN KUMAR"/>
    <x v="2"/>
    <s v="Company"/>
    <s v="GS"/>
    <d v="1899-12-30T08:51:33"/>
    <d v="1899-12-30T18:26:59"/>
    <n v="9.59"/>
    <s v="00:08:27"/>
    <n v="0"/>
    <s v="00:56:59"/>
    <n v="0.95"/>
    <n v="0.95"/>
    <x v="28"/>
    <s v="P"/>
    <d v="2026-07-16T00:00:00"/>
    <n v="1"/>
    <n v="1"/>
    <n v="0"/>
    <n v="0"/>
    <n v="0"/>
  </r>
  <r>
    <x v="28"/>
    <n v="24.5"/>
    <n v="2.5"/>
    <n v="0"/>
    <n v="0"/>
    <s v="4, 6, 12, 26"/>
    <x v="16"/>
    <s v="PAVAN KUMAR"/>
    <x v="2"/>
    <s v="Company"/>
    <s v="GS"/>
    <d v="1899-12-30T08:51:41"/>
    <d v="1899-12-30T15:44:58"/>
    <n v="6.89"/>
    <s v="00:08:19"/>
    <n v="0"/>
    <s v="-01:45:02"/>
    <n v="0"/>
    <n v="0"/>
    <x v="28"/>
    <s v="P"/>
    <d v="2026-07-17T00:00:00"/>
    <n v="1"/>
    <n v="1"/>
    <n v="0"/>
    <n v="0"/>
    <n v="0"/>
  </r>
  <r>
    <x v="28"/>
    <n v="24.5"/>
    <n v="2.5"/>
    <n v="0"/>
    <n v="0"/>
    <s v="4, 6, 12, 26"/>
    <x v="17"/>
    <s v="PAVAN KUMAR"/>
    <x v="2"/>
    <s v="Company"/>
    <s v="GS"/>
    <d v="1899-12-30T08:55:26"/>
    <d v="1899-12-30T17:29:15"/>
    <n v="8.56"/>
    <s v="00:04:34"/>
    <n v="0"/>
    <s v="-00:00:45"/>
    <n v="0"/>
    <n v="0"/>
    <x v="28"/>
    <s v="P"/>
    <d v="2026-07-18T00:00:00"/>
    <n v="1"/>
    <n v="1"/>
    <n v="0"/>
    <n v="0"/>
    <n v="0"/>
  </r>
  <r>
    <x v="28"/>
    <n v="24.5"/>
    <n v="2.5"/>
    <n v="0"/>
    <n v="0"/>
    <s v="4, 6, 12, 26"/>
    <x v="18"/>
    <s v="PAVAN KUMAR"/>
    <x v="2"/>
    <s v="Company"/>
    <s v="GS"/>
    <d v="1899-12-30T08:51:29"/>
    <d v="1899-12-30T16:34:43"/>
    <n v="7.72"/>
    <s v="00:08:31"/>
    <n v="0"/>
    <s v="-00:55:17"/>
    <n v="0"/>
    <n v="0"/>
    <x v="28"/>
    <s v="P"/>
    <d v="2026-07-19T00:00:00"/>
    <n v="1"/>
    <n v="0"/>
    <n v="1"/>
    <n v="0"/>
    <n v="0"/>
  </r>
  <r>
    <x v="28"/>
    <n v="24.5"/>
    <n v="2.5"/>
    <n v="0"/>
    <n v="0"/>
    <s v="4, 6, 12, 26"/>
    <x v="19"/>
    <s v="PAVAN KUMAR"/>
    <x v="2"/>
    <s v="Company"/>
    <s v="GS"/>
    <d v="1899-12-30T09:05:25"/>
    <d v="1899-12-30T19:29:25"/>
    <n v="10.4"/>
    <s v="-00:05:25"/>
    <n v="0"/>
    <s v="01:59:25"/>
    <n v="1.99"/>
    <n v="1.99"/>
    <x v="28"/>
    <s v="P"/>
    <d v="2026-07-20T00:00:00"/>
    <n v="1"/>
    <n v="1"/>
    <n v="0"/>
    <n v="0"/>
    <n v="0"/>
  </r>
  <r>
    <x v="28"/>
    <n v="24.5"/>
    <n v="2.5"/>
    <n v="0"/>
    <n v="0"/>
    <s v="4, 6, 12, 26"/>
    <x v="20"/>
    <s v="PAVAN KUMAR"/>
    <x v="2"/>
    <s v="Company"/>
    <s v="GS"/>
    <d v="1899-12-30T09:45:40"/>
    <d v="1899-12-30T19:56:55"/>
    <n v="10.19"/>
    <s v="-00:45:40"/>
    <n v="0"/>
    <s v="02:26:55"/>
    <n v="2.4500000000000002"/>
    <n v="2.4500000000000002"/>
    <x v="28"/>
    <s v="P"/>
    <d v="2026-07-21T00:00:00"/>
    <n v="1"/>
    <n v="1"/>
    <n v="0"/>
    <n v="0"/>
    <n v="0"/>
  </r>
  <r>
    <x v="28"/>
    <n v="24.5"/>
    <n v="2.5"/>
    <n v="0"/>
    <n v="0"/>
    <s v="4, 6, 12, 26"/>
    <x v="21"/>
    <s v="PAVAN KUMAR"/>
    <x v="2"/>
    <s v="Company"/>
    <s v="GS"/>
    <d v="1899-12-30T09:11:30"/>
    <d v="1899-12-30T18:27:21"/>
    <n v="9.26"/>
    <s v="-00:11:30"/>
    <n v="0"/>
    <s v="00:57:21"/>
    <n v="0.96"/>
    <n v="0.96"/>
    <x v="28"/>
    <s v="P"/>
    <d v="2026-07-22T00:00:00"/>
    <n v="1"/>
    <n v="1"/>
    <n v="0"/>
    <n v="0"/>
    <n v="0"/>
  </r>
  <r>
    <x v="28"/>
    <n v="24.5"/>
    <n v="2.5"/>
    <n v="0"/>
    <n v="0"/>
    <s v="4, 6, 12, 26"/>
    <x v="22"/>
    <s v="PAVAN KUMAR"/>
    <x v="2"/>
    <s v="Company"/>
    <s v="GS"/>
    <d v="1899-12-30T08:30:05"/>
    <d v="1899-12-30T18:26:58"/>
    <n v="9.9499999999999993"/>
    <s v="00:29:55"/>
    <n v="0"/>
    <s v="00:56:58"/>
    <n v="0.95"/>
    <n v="0.95"/>
    <x v="28"/>
    <s v="P"/>
    <d v="2026-07-23T00:00:00"/>
    <n v="1"/>
    <n v="1"/>
    <n v="0"/>
    <n v="0"/>
    <n v="0"/>
  </r>
  <r>
    <x v="28"/>
    <n v="24.5"/>
    <n v="2.5"/>
    <n v="0"/>
    <n v="0"/>
    <s v="4, 6, 12, 26"/>
    <x v="23"/>
    <s v="PAVAN KUMAR"/>
    <x v="2"/>
    <s v="Company"/>
    <s v="GS"/>
    <d v="1899-12-30T08:53:51"/>
    <d v="1899-12-30T19:28:40"/>
    <n v="10.58"/>
    <s v="00:06:09"/>
    <n v="0"/>
    <s v="01:58:40"/>
    <n v="1.98"/>
    <n v="1.98"/>
    <x v="28"/>
    <s v="P"/>
    <d v="2026-07-24T00:00:00"/>
    <n v="1"/>
    <n v="1"/>
    <n v="0"/>
    <n v="0"/>
    <n v="0"/>
  </r>
  <r>
    <x v="28"/>
    <n v="24.5"/>
    <n v="2.5"/>
    <n v="0"/>
    <n v="0"/>
    <s v="4, 6, 12, 26"/>
    <x v="24"/>
    <s v="PAVAN KUMAR"/>
    <x v="2"/>
    <s v="Company"/>
    <s v="GS"/>
    <d v="1899-12-30T08:53:38"/>
    <d v="1899-12-30T18:57:41"/>
    <n v="10.07"/>
    <s v="00:06:22"/>
    <n v="0"/>
    <s v="01:27:41"/>
    <n v="1.46"/>
    <n v="1.46"/>
    <x v="28"/>
    <s v="P"/>
    <d v="2026-07-25T00:00:00"/>
    <n v="1"/>
    <n v="1"/>
    <n v="0"/>
    <n v="0"/>
    <n v="0"/>
  </r>
  <r>
    <x v="28"/>
    <n v="24.5"/>
    <n v="2.5"/>
    <n v="0"/>
    <n v="0"/>
    <s v="4, 6, 12, 26"/>
    <x v="25"/>
    <s v="PAVAN KUMAR"/>
    <x v="2"/>
    <s v="Company"/>
    <s v="NA"/>
    <d v="1899-12-30T00:00:00"/>
    <d v="1899-12-30T00:00:00"/>
    <n v="0"/>
    <s v="09:00:00"/>
    <n v="9"/>
    <s v="-17:30:00"/>
    <n v="0"/>
    <n v="9"/>
    <x v="28"/>
    <s v="A"/>
    <d v="2026-07-26T00:00:00"/>
    <n v="0"/>
    <n v="0"/>
    <n v="0"/>
    <n v="0"/>
    <n v="0"/>
  </r>
  <r>
    <x v="28"/>
    <n v="24.5"/>
    <n v="2.5"/>
    <n v="0"/>
    <n v="0"/>
    <s v="4, 6, 12, 26"/>
    <x v="26"/>
    <s v="PAVAN KUMAR"/>
    <x v="2"/>
    <s v="Company"/>
    <s v="GS"/>
    <d v="1899-12-30T08:51:24"/>
    <d v="1899-12-30T18:27:43"/>
    <n v="9.61"/>
    <s v="00:08:36"/>
    <n v="0"/>
    <s v="00:57:43"/>
    <n v="0.96"/>
    <n v="0.96"/>
    <x v="28"/>
    <s v="P"/>
    <d v="2026-07-27T00:00:00"/>
    <n v="1"/>
    <n v="1"/>
    <n v="0"/>
    <n v="0"/>
    <n v="0"/>
  </r>
  <r>
    <x v="28"/>
    <n v="24.5"/>
    <n v="2.5"/>
    <n v="0"/>
    <n v="0"/>
    <s v="4, 6, 12, 26"/>
    <x v="27"/>
    <s v="PAVAN KUMAR"/>
    <x v="2"/>
    <s v="Company"/>
    <s v="GS"/>
    <d v="1899-12-30T08:51:51"/>
    <d v="1899-12-30T18:28:58"/>
    <n v="9.6199999999999992"/>
    <s v="00:08:09"/>
    <n v="0"/>
    <s v="00:58:58"/>
    <n v="0.98"/>
    <n v="0.98"/>
    <x v="28"/>
    <s v="P"/>
    <d v="2026-07-28T00:00:00"/>
    <n v="1"/>
    <n v="1"/>
    <n v="0"/>
    <n v="0"/>
    <n v="0"/>
  </r>
  <r>
    <x v="28"/>
    <n v="24.5"/>
    <n v="2.5"/>
    <n v="0"/>
    <n v="0"/>
    <s v="4, 6, 12, 26"/>
    <x v="28"/>
    <s v="PAVAN KUMAR"/>
    <x v="2"/>
    <s v="Company"/>
    <s v="GS"/>
    <d v="1899-12-30T08:30:08"/>
    <d v="1899-12-30T19:33:34"/>
    <n v="11.06"/>
    <s v="00:29:52"/>
    <n v="0"/>
    <s v="02:03:34"/>
    <n v="2.06"/>
    <n v="2.06"/>
    <x v="28"/>
    <s v="P"/>
    <d v="2026-07-29T00:00:00"/>
    <n v="1"/>
    <n v="1"/>
    <n v="0"/>
    <n v="0"/>
    <n v="0"/>
  </r>
  <r>
    <x v="28"/>
    <n v="24.5"/>
    <n v="2.5"/>
    <n v="0"/>
    <n v="0"/>
    <s v="4, 6, 12, 26"/>
    <x v="29"/>
    <s v="PAVAN KUMAR"/>
    <x v="2"/>
    <s v="Company"/>
    <s v="GS"/>
    <d v="1899-12-30T08:31:20"/>
    <d v="1899-12-30T23:32:36"/>
    <n v="15.02"/>
    <s v="00:28:40"/>
    <n v="0"/>
    <s v="06:02:36"/>
    <n v="6.04"/>
    <n v="6.04"/>
    <x v="28"/>
    <s v="P"/>
    <d v="2026-07-30T00:00:00"/>
    <n v="1"/>
    <n v="1"/>
    <n v="0"/>
    <n v="0"/>
    <n v="0"/>
  </r>
  <r>
    <x v="28"/>
    <n v="24.5"/>
    <n v="2.5"/>
    <n v="0"/>
    <n v="0"/>
    <s v="4, 6, 12, 26"/>
    <x v="30"/>
    <s v="PAVAN KUMAR"/>
    <x v="2"/>
    <s v="Company"/>
    <s v="GS"/>
    <d v="1899-12-30T08:32:01"/>
    <d v="1899-12-30T23:07:35"/>
    <n v="14.59"/>
    <s v="00:27:59"/>
    <n v="0"/>
    <s v="05:37:35"/>
    <n v="5.63"/>
    <n v="5.63"/>
    <x v="28"/>
    <s v="P"/>
    <d v="2026-07-31T00:00:00"/>
    <n v="1"/>
    <n v="1"/>
    <n v="0"/>
    <n v="0"/>
    <n v="0"/>
  </r>
  <r>
    <x v="29"/>
    <n v="4"/>
    <n v="23"/>
    <n v="0"/>
    <n v="0"/>
    <s v="1, 2, 3, 4, 5, 6, 7, 8, 9, 10, 11, 12, 13, 14, 15, 16, 17, 18, 19, 20, 21, 22, 23, 24, 25, 26, 27"/>
    <x v="0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01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02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2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03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3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04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4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05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5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06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6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07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7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08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8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09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9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0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0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1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1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2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2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3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3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4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4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5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5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6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6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7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7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8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8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19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19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20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20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21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21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22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22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23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23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24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24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25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25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26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26"/>
    <s v="MEENA"/>
    <x v="1"/>
    <s v="Helper"/>
    <s v="NA"/>
    <d v="1899-12-30T00:00:00"/>
    <d v="1899-12-30T00:00:00"/>
    <n v="0"/>
    <s v="09:00:00"/>
    <n v="9"/>
    <s v="-17:30:00"/>
    <n v="0"/>
    <n v="9"/>
    <x v="29"/>
    <s v="A"/>
    <d v="2026-07-27T00:00:00"/>
    <n v="0"/>
    <n v="0"/>
    <n v="0"/>
    <n v="0"/>
    <n v="0"/>
  </r>
  <r>
    <x v="29"/>
    <n v="4"/>
    <n v="23"/>
    <n v="0"/>
    <n v="0"/>
    <s v="1, 2, 3, 4, 5, 6, 7, 8, 9, 10, 11, 12, 13, 14, 15, 16, 17, 18, 19, 20, 21, 22, 23, 24, 25, 26, 27"/>
    <x v="27"/>
    <s v="MEENA"/>
    <x v="1"/>
    <s v="Helper"/>
    <s v="GS"/>
    <d v="1899-12-30T09:00:00"/>
    <d v="1899-12-30T18:30:00"/>
    <n v="9.5"/>
    <s v="00:00:00"/>
    <n v="0"/>
    <s v="01:00:00"/>
    <n v="1"/>
    <n v="1"/>
    <x v="29"/>
    <s v="P"/>
    <d v="2026-07-28T00:00:00"/>
    <n v="1"/>
    <n v="1"/>
    <n v="0"/>
    <n v="0"/>
    <n v="0"/>
  </r>
  <r>
    <x v="29"/>
    <n v="4"/>
    <n v="23"/>
    <n v="0"/>
    <n v="0"/>
    <s v="1, 2, 3, 4, 5, 6, 7, 8, 9, 10, 11, 12, 13, 14, 15, 16, 17, 18, 19, 20, 21, 22, 23, 24, 25, 26, 27"/>
    <x v="28"/>
    <s v="MEENA"/>
    <x v="1"/>
    <s v="Helper"/>
    <s v="GS"/>
    <d v="1899-12-30T09:00:00"/>
    <d v="1899-12-30T18:30:00"/>
    <n v="9.5"/>
    <s v="00:00:00"/>
    <n v="0"/>
    <s v="01:00:00"/>
    <n v="1"/>
    <n v="1"/>
    <x v="29"/>
    <s v="P"/>
    <d v="2026-07-29T00:00:00"/>
    <n v="1"/>
    <n v="1"/>
    <n v="0"/>
    <n v="0"/>
    <n v="0"/>
  </r>
  <r>
    <x v="29"/>
    <n v="4"/>
    <n v="23"/>
    <n v="0"/>
    <n v="0"/>
    <s v="1, 2, 3, 4, 5, 6, 7, 8, 9, 10, 11, 12, 13, 14, 15, 16, 17, 18, 19, 20, 21, 22, 23, 24, 25, 26, 27"/>
    <x v="29"/>
    <s v="MEENA"/>
    <x v="1"/>
    <s v="Helper"/>
    <s v="GS"/>
    <d v="1899-12-30T09:00:00"/>
    <d v="1899-12-30T18:30:00"/>
    <n v="9.5"/>
    <s v="00:00:00"/>
    <n v="0"/>
    <s v="01:00:00"/>
    <n v="1"/>
    <n v="1"/>
    <x v="29"/>
    <s v="P"/>
    <d v="2026-07-30T00:00:00"/>
    <n v="1"/>
    <n v="1"/>
    <n v="0"/>
    <n v="0"/>
    <n v="0"/>
  </r>
  <r>
    <x v="29"/>
    <n v="4"/>
    <n v="23"/>
    <n v="0"/>
    <n v="0"/>
    <s v="1, 2, 3, 4, 5, 6, 7, 8, 9, 10, 11, 12, 13, 14, 15, 16, 17, 18, 19, 20, 21, 22, 23, 24, 25, 26, 27"/>
    <x v="30"/>
    <s v="MEENA"/>
    <x v="1"/>
    <s v="Helper"/>
    <s v="GS"/>
    <d v="1899-12-30T09:00:00"/>
    <d v="1899-12-30T18:30:00"/>
    <n v="9.5"/>
    <s v="00:00:00"/>
    <n v="0"/>
    <s v="01:00:00"/>
    <n v="1"/>
    <n v="1"/>
    <x v="29"/>
    <s v="P"/>
    <d v="2026-07-31T00:00:00"/>
    <n v="1"/>
    <n v="1"/>
    <n v="0"/>
    <n v="0"/>
    <n v="0"/>
  </r>
  <r>
    <x v="30"/>
    <n v="0"/>
    <n v="27"/>
    <n v="0"/>
    <n v="0"/>
    <s v="1, 2, 3, 4, 5, 6, 7, 8, 9, 10, 11, 12, 13, 14, 15, 16, 17, 18, 19, 20, 21, 22, 23, 24, 25, 26, 27, 28, 29, 30, 31"/>
    <x v="0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01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02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03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3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04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4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05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5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06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6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07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7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08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8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09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9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0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0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1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1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2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2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3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3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4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4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5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5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6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6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7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7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8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8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19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19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0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0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1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1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2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2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3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3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4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4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5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5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6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6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7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7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8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8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29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29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30T00:00:00"/>
    <n v="0"/>
    <n v="0"/>
    <n v="0"/>
    <n v="0"/>
    <n v="0"/>
  </r>
  <r>
    <x v="30"/>
    <n v="0"/>
    <n v="27"/>
    <n v="0"/>
    <n v="0"/>
    <s v="1, 2, 3, 4, 5, 6, 7, 8, 9, 10, 11, 12, 13, 14, 15, 16, 17, 18, 19, 20, 21, 22, 23, 24, 25, 26, 27, 28, 29, 30, 31"/>
    <x v="30"/>
    <s v="PAPANNA"/>
    <x v="1"/>
    <s v="Company"/>
    <s v="NA"/>
    <d v="1899-12-30T00:00:00"/>
    <d v="1899-12-30T00:00:00"/>
    <n v="0"/>
    <s v="09:00:00"/>
    <n v="9"/>
    <s v="-17:30:00"/>
    <n v="0"/>
    <n v="9"/>
    <x v="30"/>
    <s v="A"/>
    <d v="2026-07-31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0"/>
    <s v="VALLI B"/>
    <x v="1"/>
    <s v="None"/>
    <s v="GS"/>
    <d v="1899-12-30T08:24:20"/>
    <d v="1899-12-30T00:00:00"/>
    <n v="15.59"/>
    <s v="00:35:40"/>
    <n v="0.5"/>
    <s v="-17:30:00"/>
    <n v="0"/>
    <n v="0.5"/>
    <x v="31"/>
    <s v="P"/>
    <d v="2026-07-01T00:00:00"/>
    <n v="1"/>
    <n v="1"/>
    <n v="0"/>
    <n v="0"/>
    <n v="0"/>
  </r>
  <r>
    <x v="31"/>
    <n v="5"/>
    <n v="22"/>
    <n v="0"/>
    <n v="0"/>
    <s v="2, 3, 4, 5, 6, 7, 8, 9, 10, 11, 12, 13, 14, 15, 16, 17, 18, 19, 20, 21, 22, 23, 24, 25, 26, 27"/>
    <x v="1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02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2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03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3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04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4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05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5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06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6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07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7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08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8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09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9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0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0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1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1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2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2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3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3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4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4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5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5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6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6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7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7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8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8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19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19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20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20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21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21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22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22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23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23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24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24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25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25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26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26"/>
    <s v="VALLI B"/>
    <x v="1"/>
    <s v="None"/>
    <s v="NA"/>
    <d v="1899-12-30T00:00:00"/>
    <d v="1899-12-30T00:00:00"/>
    <n v="0"/>
    <s v="09:00:00"/>
    <n v="9"/>
    <s v="-17:30:00"/>
    <n v="0"/>
    <n v="9"/>
    <x v="31"/>
    <s v="A"/>
    <d v="2026-07-27T00:00:00"/>
    <n v="0"/>
    <n v="0"/>
    <n v="0"/>
    <n v="0"/>
    <n v="0"/>
  </r>
  <r>
    <x v="31"/>
    <n v="5"/>
    <n v="22"/>
    <n v="0"/>
    <n v="0"/>
    <s v="2, 3, 4, 5, 6, 7, 8, 9, 10, 11, 12, 13, 14, 15, 16, 17, 18, 19, 20, 21, 22, 23, 24, 25, 26, 27"/>
    <x v="27"/>
    <s v="VALLI B"/>
    <x v="1"/>
    <s v="None"/>
    <s v="GS"/>
    <d v="1899-12-30T09:00:00"/>
    <d v="1899-12-30T18:30:00"/>
    <n v="9.5"/>
    <s v="00:00:00"/>
    <n v="0"/>
    <s v="01:00:00"/>
    <n v="1"/>
    <n v="1"/>
    <x v="31"/>
    <s v="P"/>
    <d v="2026-07-28T00:00:00"/>
    <n v="1"/>
    <n v="1"/>
    <n v="0"/>
    <n v="0"/>
    <n v="0"/>
  </r>
  <r>
    <x v="31"/>
    <n v="5"/>
    <n v="22"/>
    <n v="0"/>
    <n v="0"/>
    <s v="2, 3, 4, 5, 6, 7, 8, 9, 10, 11, 12, 13, 14, 15, 16, 17, 18, 19, 20, 21, 22, 23, 24, 25, 26, 27"/>
    <x v="28"/>
    <s v="VALLI B"/>
    <x v="1"/>
    <s v="None"/>
    <s v="GS"/>
    <d v="1899-12-30T09:00:00"/>
    <d v="1899-12-30T18:30:00"/>
    <n v="9.5"/>
    <s v="00:00:00"/>
    <n v="0"/>
    <s v="01:00:00"/>
    <n v="1"/>
    <n v="1"/>
    <x v="31"/>
    <s v="P"/>
    <d v="2026-07-29T00:00:00"/>
    <n v="1"/>
    <n v="1"/>
    <n v="0"/>
    <n v="0"/>
    <n v="0"/>
  </r>
  <r>
    <x v="31"/>
    <n v="5"/>
    <n v="22"/>
    <n v="0"/>
    <n v="0"/>
    <s v="2, 3, 4, 5, 6, 7, 8, 9, 10, 11, 12, 13, 14, 15, 16, 17, 18, 19, 20, 21, 22, 23, 24, 25, 26, 27"/>
    <x v="29"/>
    <s v="VALLI B"/>
    <x v="1"/>
    <s v="None"/>
    <s v="GS"/>
    <d v="1899-12-30T09:00:00"/>
    <d v="1899-12-30T18:30:00"/>
    <n v="9.5"/>
    <s v="00:00:00"/>
    <n v="0"/>
    <s v="01:00:00"/>
    <n v="1"/>
    <n v="1"/>
    <x v="31"/>
    <s v="P"/>
    <d v="2026-07-30T00:00:00"/>
    <n v="1"/>
    <n v="1"/>
    <n v="0"/>
    <n v="0"/>
    <n v="0"/>
  </r>
  <r>
    <x v="31"/>
    <n v="5"/>
    <n v="22"/>
    <n v="0"/>
    <n v="0"/>
    <s v="2, 3, 4, 5, 6, 7, 8, 9, 10, 11, 12, 13, 14, 15, 16, 17, 18, 19, 20, 21, 22, 23, 24, 25, 26, 27"/>
    <x v="30"/>
    <s v="VALLI B"/>
    <x v="1"/>
    <s v="None"/>
    <s v="GS"/>
    <d v="1899-12-30T09:00:00"/>
    <d v="1899-12-30T18:30:00"/>
    <n v="9.5"/>
    <s v="00:00:00"/>
    <n v="0"/>
    <s v="01:00:00"/>
    <n v="1"/>
    <n v="1"/>
    <x v="31"/>
    <s v="P"/>
    <d v="2026-07-31T00:00:00"/>
    <n v="1"/>
    <n v="1"/>
    <n v="0"/>
    <n v="0"/>
    <n v="0"/>
  </r>
  <r>
    <x v="32"/>
    <n v="7"/>
    <n v="20"/>
    <n v="0"/>
    <n v="0"/>
    <s v="1, 2, 3, 4, 5, 6, 7, 8, 9, 10, 11, 12, 13, 14, 15, 16, 17, 18, 19, 20, 21, 22, 23, 26"/>
    <x v="0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01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02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2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03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3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04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4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05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5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06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6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07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7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08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8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09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9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0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0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1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1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2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2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3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3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4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4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5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5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6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6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7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7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8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8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19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19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20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20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21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21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22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22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23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23"/>
    <s v="BHUSAN"/>
    <x v="1"/>
    <s v="Company"/>
    <s v="GS"/>
    <d v="1899-12-30T09:10:00"/>
    <d v="1899-12-30T18:20:00"/>
    <n v="9.17"/>
    <s v="-00:10:00"/>
    <n v="0"/>
    <s v="00:50:00"/>
    <n v="0.83"/>
    <n v="0.83"/>
    <x v="32"/>
    <s v="P"/>
    <d v="2026-07-24T00:00:00"/>
    <n v="1"/>
    <n v="1"/>
    <n v="0"/>
    <n v="0"/>
    <n v="0"/>
  </r>
  <r>
    <x v="32"/>
    <n v="7"/>
    <n v="20"/>
    <n v="0"/>
    <n v="0"/>
    <s v="1, 2, 3, 4, 5, 6, 7, 8, 9, 10, 11, 12, 13, 14, 15, 16, 17, 18, 19, 20, 21, 22, 23, 26"/>
    <x v="24"/>
    <s v="BHUSAN"/>
    <x v="1"/>
    <s v="Company"/>
    <s v="GS"/>
    <d v="1899-12-30T09:10:00"/>
    <d v="1899-12-30T18:20:00"/>
    <n v="9.17"/>
    <s v="-00:10:00"/>
    <n v="0"/>
    <s v="00:50:00"/>
    <n v="0.83"/>
    <n v="0.83"/>
    <x v="32"/>
    <s v="P"/>
    <d v="2026-07-25T00:00:00"/>
    <n v="1"/>
    <n v="1"/>
    <n v="0"/>
    <n v="0"/>
    <n v="0"/>
  </r>
  <r>
    <x v="32"/>
    <n v="7"/>
    <n v="20"/>
    <n v="0"/>
    <n v="0"/>
    <s v="1, 2, 3, 4, 5, 6, 7, 8, 9, 10, 11, 12, 13, 14, 15, 16, 17, 18, 19, 20, 21, 22, 23, 26"/>
    <x v="25"/>
    <s v="BHUSAN"/>
    <x v="1"/>
    <s v="Company"/>
    <s v="NA"/>
    <d v="1899-12-30T00:00:00"/>
    <d v="1899-12-30T00:00:00"/>
    <n v="0"/>
    <s v="09:00:00"/>
    <n v="9"/>
    <s v="-17:30:00"/>
    <n v="0"/>
    <n v="9"/>
    <x v="32"/>
    <s v="A"/>
    <d v="2026-07-26T00:00:00"/>
    <n v="0"/>
    <n v="0"/>
    <n v="0"/>
    <n v="0"/>
    <n v="0"/>
  </r>
  <r>
    <x v="32"/>
    <n v="7"/>
    <n v="20"/>
    <n v="0"/>
    <n v="0"/>
    <s v="1, 2, 3, 4, 5, 6, 7, 8, 9, 10, 11, 12, 13, 14, 15, 16, 17, 18, 19, 20, 21, 22, 23, 26"/>
    <x v="26"/>
    <s v="BHUSAN"/>
    <x v="1"/>
    <s v="Company"/>
    <s v="GS"/>
    <d v="1899-12-30T08:55:00"/>
    <d v="1899-12-30T18:30:00"/>
    <n v="9.58"/>
    <s v="00:05:00"/>
    <n v="0"/>
    <s v="01:00:00"/>
    <n v="1"/>
    <n v="1"/>
    <x v="32"/>
    <s v="P"/>
    <d v="2026-07-27T00:00:00"/>
    <n v="1"/>
    <n v="1"/>
    <n v="0"/>
    <n v="0"/>
    <n v="0"/>
  </r>
  <r>
    <x v="32"/>
    <n v="7"/>
    <n v="20"/>
    <n v="0"/>
    <n v="0"/>
    <s v="1, 2, 3, 4, 5, 6, 7, 8, 9, 10, 11, 12, 13, 14, 15, 16, 17, 18, 19, 20, 21, 22, 23, 26"/>
    <x v="27"/>
    <s v="BHUSAN"/>
    <x v="1"/>
    <s v="Company"/>
    <s v="GS"/>
    <d v="1899-12-30T09:00:00"/>
    <d v="1899-12-30T18:30:00"/>
    <n v="9.5"/>
    <s v="00:00:00"/>
    <n v="0"/>
    <s v="01:00:00"/>
    <n v="1"/>
    <n v="1"/>
    <x v="32"/>
    <s v="P"/>
    <d v="2026-07-28T00:00:00"/>
    <n v="1"/>
    <n v="1"/>
    <n v="0"/>
    <n v="0"/>
    <n v="0"/>
  </r>
  <r>
    <x v="32"/>
    <n v="7"/>
    <n v="20"/>
    <n v="0"/>
    <n v="0"/>
    <s v="1, 2, 3, 4, 5, 6, 7, 8, 9, 10, 11, 12, 13, 14, 15, 16, 17, 18, 19, 20, 21, 22, 23, 26"/>
    <x v="28"/>
    <s v="BHUSAN"/>
    <x v="1"/>
    <s v="Company"/>
    <s v="GS"/>
    <d v="1899-12-30T09:00:00"/>
    <d v="1899-12-30T18:30:00"/>
    <n v="9.5"/>
    <s v="00:00:00"/>
    <n v="0"/>
    <s v="01:00:00"/>
    <n v="1"/>
    <n v="1"/>
    <x v="32"/>
    <s v="P"/>
    <d v="2026-07-29T00:00:00"/>
    <n v="1"/>
    <n v="1"/>
    <n v="0"/>
    <n v="0"/>
    <n v="0"/>
  </r>
  <r>
    <x v="32"/>
    <n v="7"/>
    <n v="20"/>
    <n v="0"/>
    <n v="0"/>
    <s v="1, 2, 3, 4, 5, 6, 7, 8, 9, 10, 11, 12, 13, 14, 15, 16, 17, 18, 19, 20, 21, 22, 23, 26"/>
    <x v="29"/>
    <s v="BHUSAN"/>
    <x v="1"/>
    <s v="Company"/>
    <s v="GS"/>
    <d v="1899-12-30T09:00:00"/>
    <d v="1899-12-30T18:30:00"/>
    <n v="9.5"/>
    <s v="00:00:00"/>
    <n v="0"/>
    <s v="01:00:00"/>
    <n v="1"/>
    <n v="1"/>
    <x v="32"/>
    <s v="P"/>
    <d v="2026-07-30T00:00:00"/>
    <n v="1"/>
    <n v="1"/>
    <n v="0"/>
    <n v="0"/>
    <n v="0"/>
  </r>
  <r>
    <x v="32"/>
    <n v="7"/>
    <n v="20"/>
    <n v="0"/>
    <n v="0"/>
    <s v="1, 2, 3, 4, 5, 6, 7, 8, 9, 10, 11, 12, 13, 14, 15, 16, 17, 18, 19, 20, 21, 22, 23, 26"/>
    <x v="30"/>
    <s v="BHUSAN"/>
    <x v="1"/>
    <s v="Company"/>
    <s v="GS"/>
    <d v="1899-12-30T09:00:00"/>
    <d v="1899-12-30T18:30:00"/>
    <n v="9.5"/>
    <s v="00:00:00"/>
    <n v="0"/>
    <s v="01:00:00"/>
    <n v="1"/>
    <n v="1"/>
    <x v="32"/>
    <s v="P"/>
    <d v="2026-07-31T00:00:00"/>
    <n v="1"/>
    <n v="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5F005-BDDE-4926-80D1-FDF9A48904DD}" name="PivotTable2" cacheId="7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>
  <location ref="M2:AR41" firstHeaderRow="1" firstDataRow="2" firstDataCol="1"/>
  <pivotFields count="27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numFmtId="166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showAll="0" defaultSubtotal="0"/>
    <pivotField axis="axisRow" showAll="0" defaultSubtotal="0">
      <items count="6">
        <item x="2"/>
        <item x="1"/>
        <item x="4"/>
        <item x="0"/>
        <item x="3"/>
        <item m="1" x="5"/>
      </items>
    </pivotField>
    <pivotField showAll="0" defaultSubtotal="0"/>
    <pivotField showAll="0" defaultSubtotal="0"/>
    <pivotField numFmtId="165" showAll="0" defaultSubtotal="0"/>
    <pivotField numFmtId="165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3">
        <item x="7"/>
        <item x="8"/>
        <item x="9"/>
        <item x="10"/>
        <item x="11"/>
        <item m="1" x="45"/>
        <item x="12"/>
        <item m="1" x="34"/>
        <item x="13"/>
        <item x="14"/>
        <item x="15"/>
        <item x="16"/>
        <item m="1" x="35"/>
        <item m="1" x="36"/>
        <item m="1" x="37"/>
        <item x="17"/>
        <item x="18"/>
        <item m="1" x="38"/>
        <item m="1" x="39"/>
        <item x="2"/>
        <item m="1" x="44"/>
        <item m="1" x="43"/>
        <item x="3"/>
        <item x="4"/>
        <item m="1" x="48"/>
        <item x="5"/>
        <item x="6"/>
        <item x="0"/>
        <item x="19"/>
        <item x="20"/>
        <item x="21"/>
        <item m="1" x="40"/>
        <item x="23"/>
        <item x="24"/>
        <item m="1" x="41"/>
        <item m="1" x="49"/>
        <item x="25"/>
        <item x="1"/>
        <item m="1" x="50"/>
        <item m="1" x="51"/>
        <item m="1" x="52"/>
        <item x="28"/>
        <item m="1" x="33"/>
        <item x="27"/>
        <item m="1" x="47"/>
        <item m="1" x="46"/>
        <item x="26"/>
        <item x="30"/>
        <item x="22"/>
        <item m="1" x="42"/>
        <item x="29"/>
        <item x="31"/>
        <item x="32"/>
      </items>
    </pivotField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8"/>
    <field x="19"/>
  </rowFields>
  <rowItems count="38">
    <i>
      <x/>
    </i>
    <i r="1">
      <x v="1"/>
    </i>
    <i r="1">
      <x v="3"/>
    </i>
    <i r="1">
      <x v="4"/>
    </i>
    <i r="1">
      <x v="6"/>
    </i>
    <i r="1">
      <x v="9"/>
    </i>
    <i r="1">
      <x v="29"/>
    </i>
    <i r="1">
      <x v="41"/>
    </i>
    <i r="1">
      <x v="43"/>
    </i>
    <i>
      <x v="1"/>
    </i>
    <i r="1">
      <x/>
    </i>
    <i r="1">
      <x v="2"/>
    </i>
    <i r="1">
      <x v="8"/>
    </i>
    <i r="1">
      <x v="16"/>
    </i>
    <i r="1">
      <x v="28"/>
    </i>
    <i r="1">
      <x v="32"/>
    </i>
    <i r="1">
      <x v="36"/>
    </i>
    <i r="1">
      <x v="46"/>
    </i>
    <i r="1">
      <x v="47"/>
    </i>
    <i r="1">
      <x v="50"/>
    </i>
    <i r="1">
      <x v="51"/>
    </i>
    <i r="1">
      <x v="52"/>
    </i>
    <i>
      <x v="2"/>
    </i>
    <i r="1">
      <x v="48"/>
    </i>
    <i>
      <x v="3"/>
    </i>
    <i r="1">
      <x v="19"/>
    </i>
    <i r="1">
      <x v="22"/>
    </i>
    <i r="1">
      <x v="23"/>
    </i>
    <i r="1">
      <x v="25"/>
    </i>
    <i r="1">
      <x v="26"/>
    </i>
    <i r="1">
      <x v="27"/>
    </i>
    <i r="1">
      <x v="37"/>
    </i>
    <i>
      <x v="4"/>
    </i>
    <i r="1">
      <x v="10"/>
    </i>
    <i r="1">
      <x v="11"/>
    </i>
    <i r="1">
      <x v="15"/>
    </i>
    <i r="1">
      <x v="30"/>
    </i>
    <i r="1">
      <x v="33"/>
    </i>
  </rowItems>
  <colFields count="1">
    <field x="6"/>
  </colFields>
  <col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colItems>
  <dataFields count="1">
    <dataField name="Work_Hours" fld="13" baseField="0" baseItem="0" numFmtId="167"/>
  </dataFields>
  <formats count="139">
    <format dxfId="471">
      <pivotArea type="origin" dataOnly="0" labelOnly="1" outline="0" fieldPosition="0"/>
    </format>
    <format dxfId="470">
      <pivotArea type="all" dataOnly="0" outline="0" fieldPosition="0"/>
    </format>
    <format dxfId="469">
      <pivotArea outline="0" collapsedLevelsAreSubtotals="1" fieldPosition="0"/>
    </format>
    <format dxfId="468">
      <pivotArea type="origin" dataOnly="0" labelOnly="1" outline="0" fieldPosition="0"/>
    </format>
    <format dxfId="467">
      <pivotArea field="6" type="button" dataOnly="0" labelOnly="1" outline="0" axis="axisCol" fieldPosition="0"/>
    </format>
    <format dxfId="466">
      <pivotArea type="topRight" dataOnly="0" labelOnly="1" outline="0" fieldPosition="0"/>
    </format>
    <format dxfId="465">
      <pivotArea field="8" type="button" dataOnly="0" labelOnly="1" outline="0" axis="axisRow" fieldPosition="0"/>
    </format>
    <format dxfId="464">
      <pivotArea dataOnly="0" labelOnly="1" fieldPosition="0">
        <references count="1">
          <reference field="8" count="0"/>
        </references>
      </pivotArea>
    </format>
    <format dxfId="463">
      <pivotArea dataOnly="0" labelOnly="1" grandRow="1" outline="0" fieldPosition="0"/>
    </format>
    <format dxfId="462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461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460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459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458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457">
      <pivotArea dataOnly="0" labelOnly="1" fieldPosition="0">
        <references count="1">
          <reference field="6" count="0"/>
        </references>
      </pivotArea>
    </format>
    <format dxfId="456">
      <pivotArea dataOnly="0" labelOnly="1" grandCol="1" outline="0" fieldPosition="0"/>
    </format>
    <format dxfId="455">
      <pivotArea type="all" dataOnly="0" outline="0" fieldPosition="0"/>
    </format>
    <format dxfId="454">
      <pivotArea outline="0" collapsedLevelsAreSubtotals="1" fieldPosition="0"/>
    </format>
    <format dxfId="453">
      <pivotArea field="6" type="button" dataOnly="0" labelOnly="1" outline="0" axis="axisCol" fieldPosition="0"/>
    </format>
    <format dxfId="452">
      <pivotArea type="topRight" dataOnly="0" labelOnly="1" outline="0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dataOnly="0" labelOnly="1" grandCol="1" outline="0" fieldPosition="0"/>
    </format>
    <format dxfId="449">
      <pivotArea type="origin" dataOnly="0" labelOnly="1" outline="0" fieldPosition="0"/>
    </format>
    <format dxfId="448">
      <pivotArea field="8" type="button" dataOnly="0" labelOnly="1" outline="0" axis="axisRow" fieldPosition="0"/>
    </format>
    <format dxfId="447">
      <pivotArea dataOnly="0" labelOnly="1" fieldPosition="0">
        <references count="1">
          <reference field="8" count="0"/>
        </references>
      </pivotArea>
    </format>
    <format dxfId="446">
      <pivotArea dataOnly="0" labelOnly="1" grandRow="1" outline="0" fieldPosition="0"/>
    </format>
    <format dxfId="445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444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443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442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441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440">
      <pivotArea type="origin" dataOnly="0" labelOnly="1" outline="0" fieldPosition="0"/>
    </format>
    <format dxfId="439">
      <pivotArea field="8" type="button" dataOnly="0" labelOnly="1" outline="0" axis="axisRow" fieldPosition="0"/>
    </format>
    <format dxfId="438">
      <pivotArea dataOnly="0" labelOnly="1" fieldPosition="0">
        <references count="1">
          <reference field="8" count="0"/>
        </references>
      </pivotArea>
    </format>
    <format dxfId="437">
      <pivotArea dataOnly="0" labelOnly="1" grandRow="1" outline="0" fieldPosition="0"/>
    </format>
    <format dxfId="436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435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434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433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432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431">
      <pivotArea type="origin" dataOnly="0" labelOnly="1" outline="0" fieldPosition="0"/>
    </format>
    <format dxfId="430">
      <pivotArea field="8" type="button" dataOnly="0" labelOnly="1" outline="0" axis="axisRow" fieldPosition="0"/>
    </format>
    <format dxfId="429">
      <pivotArea dataOnly="0" labelOnly="1" fieldPosition="0">
        <references count="1">
          <reference field="8" count="0"/>
        </references>
      </pivotArea>
    </format>
    <format dxfId="428">
      <pivotArea dataOnly="0" labelOnly="1" grandRow="1" outline="0" fieldPosition="0"/>
    </format>
    <format dxfId="427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426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425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424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423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422">
      <pivotArea type="all" dataOnly="0" outline="0" fieldPosition="0"/>
    </format>
    <format dxfId="421">
      <pivotArea outline="0" collapsedLevelsAreSubtotals="1" fieldPosition="0"/>
    </format>
    <format dxfId="420">
      <pivotArea type="origin" dataOnly="0" labelOnly="1" outline="0" fieldPosition="0"/>
    </format>
    <format dxfId="419">
      <pivotArea field="6" type="button" dataOnly="0" labelOnly="1" outline="0" axis="axisCol" fieldPosition="0"/>
    </format>
    <format dxfId="418">
      <pivotArea type="topRight" dataOnly="0" labelOnly="1" outline="0" fieldPosition="0"/>
    </format>
    <format dxfId="417">
      <pivotArea field="8" type="button" dataOnly="0" labelOnly="1" outline="0" axis="axisRow" fieldPosition="0"/>
    </format>
    <format dxfId="416">
      <pivotArea dataOnly="0" labelOnly="1" fieldPosition="0">
        <references count="1">
          <reference field="8" count="0"/>
        </references>
      </pivotArea>
    </format>
    <format dxfId="415">
      <pivotArea dataOnly="0" labelOnly="1" grandRow="1" outline="0" fieldPosition="0"/>
    </format>
    <format dxfId="414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413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412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411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410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409">
      <pivotArea dataOnly="0" labelOnly="1" fieldPosition="0">
        <references count="1">
          <reference field="6" count="0"/>
        </references>
      </pivotArea>
    </format>
    <format dxfId="408">
      <pivotArea dataOnly="0" labelOnly="1" grandCol="1" outline="0" fieldPosition="0"/>
    </format>
    <format dxfId="407">
      <pivotArea dataOnly="0" labelOnly="1" grandCol="1" outline="0" fieldPosition="0"/>
    </format>
    <format dxfId="406">
      <pivotArea dataOnly="0" grandCol="1" outline="0" fieldPosition="0"/>
    </format>
    <format dxfId="405">
      <pivotArea dataOnly="0" grandCol="1" outline="0" fieldPosition="0"/>
    </format>
    <format dxfId="404">
      <pivotArea dataOnly="0" grandCol="1" outline="0" fieldPosition="0"/>
    </format>
    <format dxfId="403">
      <pivotArea dataOnly="0" labelOnly="1" grandCol="1" outline="0" fieldPosition="0"/>
    </format>
    <format dxfId="402">
      <pivotArea grandCol="1" outline="0" collapsedLevelsAreSubtotals="1" fieldPosition="0"/>
    </format>
    <format dxfId="401">
      <pivotArea dataOnly="0" labelOnly="1" grandCol="1" outline="0" fieldPosition="0"/>
    </format>
    <format dxfId="400">
      <pivotArea field="8" type="button" dataOnly="0" labelOnly="1" outline="0" axis="axisRow" fieldPosition="0"/>
    </format>
    <format dxfId="399">
      <pivotArea dataOnly="0" labelOnly="1" fieldPosition="0">
        <references count="1">
          <reference field="6" count="0"/>
        </references>
      </pivotArea>
    </format>
    <format dxfId="398">
      <pivotArea dataOnly="0" labelOnly="1" grandCol="1" outline="0" fieldPosition="0"/>
    </format>
    <format dxfId="397">
      <pivotArea field="8" type="button" dataOnly="0" labelOnly="1" outline="0" axis="axisRow" fieldPosition="0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grandCol="1" outline="0" fieldPosition="0"/>
    </format>
    <format dxfId="394">
      <pivotArea field="8" type="button" dataOnly="0" labelOnly="1" outline="0" axis="axisRow" fieldPosition="0"/>
    </format>
    <format dxfId="393">
      <pivotArea dataOnly="0" labelOnly="1" fieldPosition="0">
        <references count="1">
          <reference field="6" count="0"/>
        </references>
      </pivotArea>
    </format>
    <format dxfId="392">
      <pivotArea dataOnly="0" labelOnly="1" grandCol="1" outline="0" fieldPosition="0"/>
    </format>
    <format dxfId="391">
      <pivotArea dataOnly="0" outline="0" fieldPosition="0">
        <references count="1">
          <reference field="6" count="0"/>
        </references>
      </pivotArea>
    </format>
    <format dxfId="390">
      <pivotArea dataOnly="0" fieldPosition="0">
        <references count="1">
          <reference field="8" count="0"/>
        </references>
      </pivotArea>
    </format>
    <format dxfId="389">
      <pivotArea dataOnly="0" labelOnly="1" fieldPosition="0">
        <references count="1">
          <reference field="19" count="0"/>
        </references>
      </pivotArea>
    </format>
    <format dxfId="388">
      <pivotArea dataOnly="0" labelOnly="1" fieldPosition="0">
        <references count="2">
          <reference field="8" count="1" selected="0">
            <x v="4"/>
          </reference>
          <reference field="19" count="1">
            <x v="5"/>
          </reference>
        </references>
      </pivotArea>
    </format>
    <format dxfId="387">
      <pivotArea dataOnly="0" labelOnly="1" fieldPosition="0">
        <references count="1">
          <reference field="6" count="0"/>
        </references>
      </pivotArea>
    </format>
    <format dxfId="386">
      <pivotArea field="8" type="button" dataOnly="0" labelOnly="1" outline="0" axis="axisRow" fieldPosition="0"/>
    </format>
    <format dxfId="385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384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383">
      <pivotArea dataOnly="0" labelOnly="1" fieldPosition="0">
        <references count="2">
          <reference field="8" count="1" selected="0">
            <x v="4"/>
          </reference>
          <reference field="19" count="5">
            <x v="5"/>
            <x v="10"/>
            <x v="15"/>
            <x v="33"/>
            <x v="34"/>
          </reference>
        </references>
      </pivotArea>
    </format>
    <format dxfId="382">
      <pivotArea field="8" type="button" dataOnly="0" labelOnly="1" outline="0" axis="axisRow" fieldPosition="0"/>
    </format>
    <format dxfId="381">
      <pivotArea dataOnly="0" labelOnly="1" fieldPosition="0">
        <references count="1">
          <reference field="6" count="0"/>
        </references>
      </pivotArea>
    </format>
    <format dxfId="380">
      <pivotArea field="8" type="button" dataOnly="0" labelOnly="1" outline="0" axis="axisRow" fieldPosition="0"/>
    </format>
    <format dxfId="379">
      <pivotArea dataOnly="0" labelOnly="1" fieldPosition="0">
        <references count="1">
          <reference field="6" count="0"/>
        </references>
      </pivotArea>
    </format>
    <format dxfId="378">
      <pivotArea type="origin" dataOnly="0" labelOnly="1" outline="0" fieldPosition="0"/>
    </format>
    <format dxfId="377">
      <pivotArea field="8" type="button" dataOnly="0" labelOnly="1" outline="0" axis="axisRow" fieldPosition="0"/>
    </format>
    <format dxfId="376">
      <pivotArea dataOnly="0" labelOnly="1" fieldPosition="0">
        <references count="1">
          <reference field="8" count="0"/>
        </references>
      </pivotArea>
    </format>
    <format dxfId="375">
      <pivotArea dataOnly="0" labelOnly="1" fieldPosition="0">
        <references count="2">
          <reference field="8" count="1" selected="0">
            <x v="0"/>
          </reference>
          <reference field="19" count="8">
            <x v="1"/>
            <x v="3"/>
            <x v="4"/>
            <x v="6"/>
            <x v="9"/>
            <x v="29"/>
            <x v="41"/>
            <x v="43"/>
          </reference>
        </references>
      </pivotArea>
    </format>
    <format dxfId="374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6"/>
            <x v="44"/>
          </reference>
        </references>
      </pivotArea>
    </format>
    <format dxfId="373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372">
      <pivotArea dataOnly="0" labelOnly="1" fieldPosition="0">
        <references count="2">
          <reference field="8" count="1" selected="0">
            <x v="3"/>
          </reference>
          <reference field="19" count="8">
            <x v="19"/>
            <x v="21"/>
            <x v="22"/>
            <x v="23"/>
            <x v="25"/>
            <x v="26"/>
            <x v="27"/>
            <x v="37"/>
          </reference>
        </references>
      </pivotArea>
    </format>
    <format dxfId="371">
      <pivotArea dataOnly="0" labelOnly="1" fieldPosition="0">
        <references count="2">
          <reference field="8" count="1" selected="0">
            <x v="4"/>
          </reference>
          <reference field="19" count="10"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370">
      <pivotArea type="origin" dataOnly="0" labelOnly="1" outline="0" fieldPosition="0"/>
    </format>
    <format dxfId="369">
      <pivotArea field="8" type="button" dataOnly="0" labelOnly="1" outline="0" axis="axisRow" fieldPosition="0"/>
    </format>
    <format dxfId="368">
      <pivotArea dataOnly="0" labelOnly="1" fieldPosition="0">
        <references count="1">
          <reference field="8" count="0"/>
        </references>
      </pivotArea>
    </format>
    <format dxfId="367">
      <pivotArea dataOnly="0" labelOnly="1" fieldPosition="0">
        <references count="2">
          <reference field="8" count="1" selected="0">
            <x v="0"/>
          </reference>
          <reference field="19" count="8">
            <x v="1"/>
            <x v="3"/>
            <x v="4"/>
            <x v="6"/>
            <x v="9"/>
            <x v="29"/>
            <x v="41"/>
            <x v="43"/>
          </reference>
        </references>
      </pivotArea>
    </format>
    <format dxfId="366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6"/>
            <x v="44"/>
          </reference>
        </references>
      </pivotArea>
    </format>
    <format dxfId="365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364">
      <pivotArea dataOnly="0" labelOnly="1" fieldPosition="0">
        <references count="2">
          <reference field="8" count="1" selected="0">
            <x v="3"/>
          </reference>
          <reference field="19" count="8">
            <x v="19"/>
            <x v="21"/>
            <x v="22"/>
            <x v="23"/>
            <x v="25"/>
            <x v="26"/>
            <x v="27"/>
            <x v="37"/>
          </reference>
        </references>
      </pivotArea>
    </format>
    <format dxfId="363">
      <pivotArea dataOnly="0" labelOnly="1" fieldPosition="0">
        <references count="2">
          <reference field="8" count="1" selected="0">
            <x v="4"/>
          </reference>
          <reference field="19" count="10"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362">
      <pivotArea type="origin" dataOnly="0" labelOnly="1" outline="0" fieldPosition="0"/>
    </format>
    <format dxfId="361">
      <pivotArea field="8" type="button" dataOnly="0" labelOnly="1" outline="0" axis="axisRow" fieldPosition="0"/>
    </format>
    <format dxfId="360">
      <pivotArea dataOnly="0" labelOnly="1" fieldPosition="0">
        <references count="1">
          <reference field="8" count="0"/>
        </references>
      </pivotArea>
    </format>
    <format dxfId="359">
      <pivotArea dataOnly="0" labelOnly="1" fieldPosition="0">
        <references count="2">
          <reference field="8" count="1" selected="0">
            <x v="0"/>
          </reference>
          <reference field="19" count="9">
            <x v="1"/>
            <x v="3"/>
            <x v="4"/>
            <x v="6"/>
            <x v="9"/>
            <x v="29"/>
            <x v="41"/>
            <x v="43"/>
            <x v="45"/>
          </reference>
        </references>
      </pivotArea>
    </format>
    <format dxfId="358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6"/>
            <x v="44"/>
          </reference>
        </references>
      </pivotArea>
    </format>
    <format dxfId="357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356">
      <pivotArea dataOnly="0" labelOnly="1" fieldPosition="0">
        <references count="2">
          <reference field="8" count="1" selected="0">
            <x v="3"/>
          </reference>
          <reference field="19" count="8">
            <x v="19"/>
            <x v="21"/>
            <x v="22"/>
            <x v="23"/>
            <x v="25"/>
            <x v="26"/>
            <x v="27"/>
            <x v="37"/>
          </reference>
        </references>
      </pivotArea>
    </format>
    <format dxfId="355">
      <pivotArea dataOnly="0" labelOnly="1" fieldPosition="0">
        <references count="2">
          <reference field="8" count="1" selected="0">
            <x v="4"/>
          </reference>
          <reference field="19" count="10"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354">
      <pivotArea type="origin" dataOnly="0" labelOnly="1" outline="0" fieldPosition="0"/>
    </format>
    <format dxfId="353">
      <pivotArea field="8" type="button" dataOnly="0" labelOnly="1" outline="0" axis="axisRow" fieldPosition="0"/>
    </format>
    <format dxfId="352">
      <pivotArea dataOnly="0" labelOnly="1" fieldPosition="0">
        <references count="1">
          <reference field="8" count="0"/>
        </references>
      </pivotArea>
    </format>
    <format dxfId="351">
      <pivotArea dataOnly="0" labelOnly="1" fieldPosition="0">
        <references count="2">
          <reference field="8" count="1" selected="0">
            <x v="0"/>
          </reference>
          <reference field="19" count="9">
            <x v="1"/>
            <x v="3"/>
            <x v="4"/>
            <x v="6"/>
            <x v="9"/>
            <x v="29"/>
            <x v="41"/>
            <x v="43"/>
            <x v="45"/>
          </reference>
        </references>
      </pivotArea>
    </format>
    <format dxfId="350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6"/>
            <x v="44"/>
          </reference>
        </references>
      </pivotArea>
    </format>
    <format dxfId="349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348">
      <pivotArea dataOnly="0" labelOnly="1" fieldPosition="0">
        <references count="2">
          <reference field="8" count="1" selected="0">
            <x v="3"/>
          </reference>
          <reference field="19" count="8">
            <x v="19"/>
            <x v="21"/>
            <x v="22"/>
            <x v="23"/>
            <x v="25"/>
            <x v="26"/>
            <x v="27"/>
            <x v="37"/>
          </reference>
        </references>
      </pivotArea>
    </format>
    <format dxfId="347">
      <pivotArea dataOnly="0" labelOnly="1" fieldPosition="0">
        <references count="2">
          <reference field="8" count="1" selected="0">
            <x v="4"/>
          </reference>
          <reference field="19" count="10"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346">
      <pivotArea outline="0" collapsedLevelsAreSubtotals="1" fieldPosition="0"/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type="origin" dataOnly="0" labelOnly="1" outline="0" fieldPosition="0"/>
    </format>
    <format dxfId="342">
      <pivotArea field="6" type="button" dataOnly="0" labelOnly="1" outline="0" axis="axisCol" fieldPosition="0"/>
    </format>
    <format dxfId="341">
      <pivotArea type="topRight" dataOnly="0" labelOnly="1" outline="0" fieldPosition="0"/>
    </format>
    <format dxfId="340">
      <pivotArea field="8" type="button" dataOnly="0" labelOnly="1" outline="0" axis="axisRow" fieldPosition="0"/>
    </format>
    <format dxfId="339">
      <pivotArea dataOnly="0" labelOnly="1" fieldPosition="0">
        <references count="1">
          <reference field="8" count="0"/>
        </references>
      </pivotArea>
    </format>
    <format dxfId="338">
      <pivotArea dataOnly="0" labelOnly="1" fieldPosition="0">
        <references count="2">
          <reference field="8" count="1" selected="0">
            <x v="0"/>
          </reference>
          <reference field="19" count="8">
            <x v="1"/>
            <x v="3"/>
            <x v="4"/>
            <x v="6"/>
            <x v="9"/>
            <x v="29"/>
            <x v="41"/>
            <x v="43"/>
          </reference>
        </references>
      </pivotArea>
    </format>
    <format dxfId="337">
      <pivotArea dataOnly="0" labelOnly="1" fieldPosition="0">
        <references count="2">
          <reference field="8" count="1" selected="0">
            <x v="1"/>
          </reference>
          <reference field="19" count="12">
            <x v="0"/>
            <x v="2"/>
            <x v="8"/>
            <x v="16"/>
            <x v="28"/>
            <x v="30"/>
            <x v="31"/>
            <x v="32"/>
            <x v="36"/>
            <x v="42"/>
            <x v="46"/>
            <x v="47"/>
          </reference>
        </references>
      </pivotArea>
    </format>
    <format dxfId="336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335">
      <pivotArea dataOnly="0" labelOnly="1" fieldPosition="0">
        <references count="2">
          <reference field="8" count="1" selected="0">
            <x v="3"/>
          </reference>
          <reference field="19" count="8">
            <x v="19"/>
            <x v="21"/>
            <x v="22"/>
            <x v="23"/>
            <x v="25"/>
            <x v="26"/>
            <x v="27"/>
            <x v="37"/>
          </reference>
        </references>
      </pivotArea>
    </format>
    <format dxfId="334">
      <pivotArea dataOnly="0" labelOnly="1" fieldPosition="0">
        <references count="2">
          <reference field="8" count="1" selected="0">
            <x v="4"/>
          </reference>
          <reference field="19" count="7">
            <x v="10"/>
            <x v="11"/>
            <x v="13"/>
            <x v="14"/>
            <x v="15"/>
            <x v="33"/>
            <x v="34"/>
          </reference>
        </references>
      </pivotArea>
    </format>
    <format dxfId="333">
      <pivotArea dataOnly="0" labelOnly="1" fieldPosition="0">
        <references count="1">
          <reference field="6" count="0"/>
        </references>
      </pivotArea>
    </format>
  </formats>
  <conditionalFormats count="8">
    <conditionalFormat scope="data" priority="694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63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693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695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638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C0F208-A8FE-4072-8CD2-BD334135CF94}" name="PivotTable1" cacheId="7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>
  <location ref="AS3:AY41" firstHeaderRow="0" firstDataRow="1" firstDataCol="1"/>
  <pivotFields count="27">
    <pivotField showAll="0"/>
    <pivotField dataField="1" showAll="0"/>
    <pivotField dataField="1" showAll="0"/>
    <pivotField showAll="0"/>
    <pivotField showAll="0"/>
    <pivotField showAll="0"/>
    <pivotField numFmtId="166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axis="axisRow" showAll="0" defaultSubtotal="0">
      <items count="6">
        <item x="2"/>
        <item x="1"/>
        <item x="4"/>
        <item x="0"/>
        <item x="3"/>
        <item m="1" x="5"/>
      </items>
    </pivotField>
    <pivotField showAll="0"/>
    <pivotField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axis="axisRow" showAll="0">
      <items count="54">
        <item x="7"/>
        <item x="8"/>
        <item x="9"/>
        <item x="10"/>
        <item x="11"/>
        <item m="1" x="45"/>
        <item x="12"/>
        <item m="1" x="34"/>
        <item x="13"/>
        <item x="14"/>
        <item x="15"/>
        <item x="16"/>
        <item m="1" x="35"/>
        <item m="1" x="36"/>
        <item m="1" x="37"/>
        <item x="17"/>
        <item x="18"/>
        <item m="1" x="38"/>
        <item m="1" x="39"/>
        <item x="2"/>
        <item m="1" x="44"/>
        <item m="1" x="43"/>
        <item x="3"/>
        <item x="4"/>
        <item m="1" x="48"/>
        <item x="5"/>
        <item x="6"/>
        <item x="0"/>
        <item x="19"/>
        <item x="20"/>
        <item x="21"/>
        <item m="1" x="40"/>
        <item x="23"/>
        <item x="24"/>
        <item m="1" x="41"/>
        <item m="1" x="49"/>
        <item x="25"/>
        <item x="1"/>
        <item m="1" x="50"/>
        <item m="1" x="51"/>
        <item m="1" x="52"/>
        <item x="28"/>
        <item m="1" x="33"/>
        <item x="27"/>
        <item m="1" x="47"/>
        <item m="1" x="46"/>
        <item x="26"/>
        <item x="30"/>
        <item x="22"/>
        <item m="1" x="42"/>
        <item x="29"/>
        <item x="31"/>
        <item x="32"/>
        <item t="default"/>
      </items>
    </pivotField>
    <pivotField showAll="0"/>
    <pivotField numFmtId="14" showAll="0"/>
    <pivotField dataField="1" showAll="0"/>
    <pivotField showAll="0"/>
    <pivotField dataField="1" showAll="0"/>
    <pivotField dataField="1" showAll="0"/>
    <pivotField dataField="1" showAll="0"/>
  </pivotFields>
  <rowFields count="2">
    <field x="8"/>
    <field x="19"/>
  </rowFields>
  <rowItems count="38">
    <i>
      <x/>
    </i>
    <i r="1">
      <x v="1"/>
    </i>
    <i r="1">
      <x v="3"/>
    </i>
    <i r="1">
      <x v="4"/>
    </i>
    <i r="1">
      <x v="6"/>
    </i>
    <i r="1">
      <x v="9"/>
    </i>
    <i r="1">
      <x v="29"/>
    </i>
    <i r="1">
      <x v="41"/>
    </i>
    <i r="1">
      <x v="43"/>
    </i>
    <i>
      <x v="1"/>
    </i>
    <i r="1">
      <x/>
    </i>
    <i r="1">
      <x v="2"/>
    </i>
    <i r="1">
      <x v="8"/>
    </i>
    <i r="1">
      <x v="16"/>
    </i>
    <i r="1">
      <x v="28"/>
    </i>
    <i r="1">
      <x v="32"/>
    </i>
    <i r="1">
      <x v="36"/>
    </i>
    <i r="1">
      <x v="46"/>
    </i>
    <i r="1">
      <x v="47"/>
    </i>
    <i r="1">
      <x v="50"/>
    </i>
    <i r="1">
      <x v="51"/>
    </i>
    <i r="1">
      <x v="52"/>
    </i>
    <i>
      <x v="2"/>
    </i>
    <i r="1">
      <x v="48"/>
    </i>
    <i>
      <x v="3"/>
    </i>
    <i r="1">
      <x v="19"/>
    </i>
    <i r="1">
      <x v="22"/>
    </i>
    <i r="1">
      <x v="23"/>
    </i>
    <i r="1">
      <x v="25"/>
    </i>
    <i r="1">
      <x v="26"/>
    </i>
    <i r="1">
      <x v="27"/>
    </i>
    <i r="1">
      <x v="37"/>
    </i>
    <i>
      <x v="4"/>
    </i>
    <i r="1">
      <x v="10"/>
    </i>
    <i r="1">
      <x v="11"/>
    </i>
    <i r="1">
      <x v="15"/>
    </i>
    <i r="1">
      <x v="30"/>
    </i>
    <i r="1">
      <x v="33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#Present" fld="22" baseField="0" baseItem="0"/>
    <dataField name="Work Days" fld="1" subtotal="max" baseField="0" baseItem="0" numFmtId="167"/>
    <dataField name="CompOff" fld="26" baseField="0" baseItem="0" numFmtId="167"/>
    <dataField name="Full OT" fld="24" baseField="0" baseItem="0" numFmtId="167"/>
    <dataField name="Paid Holiday" fld="25" baseField="0" baseItem="0" numFmtId="167"/>
    <dataField name=" Personal Leave" fld="2" subtotal="max" baseField="0" baseItem="0" numFmtId="169"/>
  </dataFields>
  <formats count="132">
    <format dxfId="603">
      <pivotArea type="origin" dataOnly="0" labelOnly="1" outline="0" fieldPosition="0"/>
    </format>
    <format dxfId="602">
      <pivotArea type="all" dataOnly="0" outline="0" fieldPosition="0"/>
    </format>
    <format dxfId="601">
      <pivotArea outline="0" collapsedLevelsAreSubtotals="1" fieldPosition="0"/>
    </format>
    <format dxfId="600">
      <pivotArea type="origin" dataOnly="0" labelOnly="1" outline="0" fieldPosition="0"/>
    </format>
    <format dxfId="599">
      <pivotArea field="6" type="button" dataOnly="0" labelOnly="1" outline="0"/>
    </format>
    <format dxfId="598">
      <pivotArea type="topRight" dataOnly="0" labelOnly="1" outline="0" fieldPosition="0"/>
    </format>
    <format dxfId="597">
      <pivotArea field="8" type="button" dataOnly="0" labelOnly="1" outline="0" axis="axisRow" fieldPosition="0"/>
    </format>
    <format dxfId="596">
      <pivotArea dataOnly="0" labelOnly="1" fieldPosition="0">
        <references count="1">
          <reference field="8" count="0"/>
        </references>
      </pivotArea>
    </format>
    <format dxfId="595">
      <pivotArea dataOnly="0" labelOnly="1" grandRow="1" outline="0" fieldPosition="0"/>
    </format>
    <format dxfId="594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593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592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591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590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589">
      <pivotArea dataOnly="0" labelOnly="1" grandCol="1" outline="0" fieldPosition="0"/>
    </format>
    <format dxfId="588">
      <pivotArea type="all" dataOnly="0" outline="0" fieldPosition="0"/>
    </format>
    <format dxfId="587">
      <pivotArea outline="0" collapsedLevelsAreSubtotals="1" fieldPosition="0"/>
    </format>
    <format dxfId="586">
      <pivotArea field="6" type="button" dataOnly="0" labelOnly="1" outline="0"/>
    </format>
    <format dxfId="585">
      <pivotArea type="topRight" dataOnly="0" labelOnly="1" outline="0" fieldPosition="0"/>
    </format>
    <format dxfId="584">
      <pivotArea dataOnly="0" labelOnly="1" grandCol="1" outline="0" fieldPosition="0"/>
    </format>
    <format dxfId="583">
      <pivotArea type="origin" dataOnly="0" labelOnly="1" outline="0" fieldPosition="0"/>
    </format>
    <format dxfId="582">
      <pivotArea field="8" type="button" dataOnly="0" labelOnly="1" outline="0" axis="axisRow" fieldPosition="0"/>
    </format>
    <format dxfId="581">
      <pivotArea dataOnly="0" labelOnly="1" fieldPosition="0">
        <references count="1">
          <reference field="8" count="0"/>
        </references>
      </pivotArea>
    </format>
    <format dxfId="580">
      <pivotArea dataOnly="0" labelOnly="1" grandRow="1" outline="0" fieldPosition="0"/>
    </format>
    <format dxfId="579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578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577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576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575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574">
      <pivotArea type="origin" dataOnly="0" labelOnly="1" outline="0" fieldPosition="0"/>
    </format>
    <format dxfId="573">
      <pivotArea field="8" type="button" dataOnly="0" labelOnly="1" outline="0" axis="axisRow" fieldPosition="0"/>
    </format>
    <format dxfId="572">
      <pivotArea dataOnly="0" labelOnly="1" fieldPosition="0">
        <references count="1">
          <reference field="8" count="0"/>
        </references>
      </pivotArea>
    </format>
    <format dxfId="571">
      <pivotArea dataOnly="0" labelOnly="1" grandRow="1" outline="0" fieldPosition="0"/>
    </format>
    <format dxfId="570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569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568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567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566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565">
      <pivotArea type="origin" dataOnly="0" labelOnly="1" outline="0" fieldPosition="0"/>
    </format>
    <format dxfId="564">
      <pivotArea field="8" type="button" dataOnly="0" labelOnly="1" outline="0" axis="axisRow" fieldPosition="0"/>
    </format>
    <format dxfId="563">
      <pivotArea dataOnly="0" labelOnly="1" fieldPosition="0">
        <references count="1">
          <reference field="8" count="0"/>
        </references>
      </pivotArea>
    </format>
    <format dxfId="562">
      <pivotArea dataOnly="0" labelOnly="1" grandRow="1" outline="0" fieldPosition="0"/>
    </format>
    <format dxfId="561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560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559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558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557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556">
      <pivotArea type="all" dataOnly="0" outline="0" fieldPosition="0"/>
    </format>
    <format dxfId="555">
      <pivotArea outline="0" collapsedLevelsAreSubtotals="1" fieldPosition="0"/>
    </format>
    <format dxfId="554">
      <pivotArea type="origin" dataOnly="0" labelOnly="1" outline="0" fieldPosition="0"/>
    </format>
    <format dxfId="553">
      <pivotArea field="6" type="button" dataOnly="0" labelOnly="1" outline="0"/>
    </format>
    <format dxfId="552">
      <pivotArea type="topRight" dataOnly="0" labelOnly="1" outline="0" fieldPosition="0"/>
    </format>
    <format dxfId="551">
      <pivotArea field="8" type="button" dataOnly="0" labelOnly="1" outline="0" axis="axisRow" fieldPosition="0"/>
    </format>
    <format dxfId="550">
      <pivotArea dataOnly="0" labelOnly="1" fieldPosition="0">
        <references count="1">
          <reference field="8" count="0"/>
        </references>
      </pivotArea>
    </format>
    <format dxfId="549">
      <pivotArea dataOnly="0" labelOnly="1" grandRow="1" outline="0" fieldPosition="0"/>
    </format>
    <format dxfId="548">
      <pivotArea dataOnly="0" labelOnly="1" fieldPosition="0">
        <references count="2">
          <reference field="8" count="1" selected="0">
            <x v="0"/>
          </reference>
          <reference field="19" count="6">
            <x v="1"/>
            <x v="3"/>
            <x v="4"/>
            <x v="6"/>
            <x v="9"/>
            <x v="29"/>
          </reference>
        </references>
      </pivotArea>
    </format>
    <format dxfId="547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5"/>
            <x v="36"/>
          </reference>
        </references>
      </pivotArea>
    </format>
    <format dxfId="546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545">
      <pivotArea dataOnly="0" labelOnly="1" fieldPosition="0">
        <references count="2">
          <reference field="8" count="1" selected="0">
            <x v="3"/>
          </reference>
          <reference field="19" count="10">
            <x v="19"/>
            <x v="20"/>
            <x v="21"/>
            <x v="22"/>
            <x v="23"/>
            <x v="24"/>
            <x v="25"/>
            <x v="26"/>
            <x v="27"/>
            <x v="37"/>
          </reference>
        </references>
      </pivotArea>
    </format>
    <format dxfId="544">
      <pivotArea dataOnly="0" labelOnly="1" fieldPosition="0">
        <references count="2">
          <reference field="8" count="1" selected="0">
            <x v="4"/>
          </reference>
          <reference field="19" count="11">
            <x v="5"/>
            <x v="10"/>
            <x v="11"/>
            <x v="12"/>
            <x v="13"/>
            <x v="14"/>
            <x v="15"/>
            <x v="17"/>
            <x v="18"/>
            <x v="33"/>
            <x v="34"/>
          </reference>
        </references>
      </pivotArea>
    </format>
    <format dxfId="543">
      <pivotArea dataOnly="0" labelOnly="1" grandCol="1" outline="0" fieldPosition="0"/>
    </format>
    <format dxfId="542">
      <pivotArea field="8" type="button" dataOnly="0" labelOnly="1" outline="0" axis="axisRow" fieldPosition="0"/>
    </format>
    <format dxfId="541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540">
      <pivotArea dataOnly="0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539">
      <pivotArea dataOnly="0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538">
      <pivotArea dataOnly="0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537">
      <pivotArea dataOnly="0" outline="0" fieldPosition="0">
        <references count="1">
          <reference field="4294967294" count="1">
            <x v="4"/>
          </reference>
        </references>
      </pivotArea>
    </format>
    <format dxfId="53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3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3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33">
      <pivotArea dataOnly="0" outline="0" fieldPosition="0">
        <references count="1">
          <reference field="4294967294" count="5">
            <x v="1"/>
            <x v="2"/>
            <x v="3"/>
            <x v="4"/>
            <x v="5"/>
          </reference>
        </references>
      </pivotArea>
    </format>
    <format dxfId="532">
      <pivotArea dataOnly="0" outline="0" fieldPosition="0">
        <references count="1">
          <reference field="4294967294" count="5">
            <x v="1"/>
            <x v="2"/>
            <x v="3"/>
            <x v="4"/>
            <x v="5"/>
          </reference>
        </references>
      </pivotArea>
    </format>
    <format dxfId="531">
      <pivotArea dataOnly="0" outline="0" fieldPosition="0">
        <references count="1">
          <reference field="4294967294" count="2">
            <x v="3"/>
            <x v="5"/>
          </reference>
        </references>
      </pivotArea>
    </format>
    <format dxfId="530">
      <pivotArea field="8" type="button" dataOnly="0" labelOnly="1" outline="0" axis="axisRow" fieldPosition="0"/>
    </format>
    <format dxfId="529">
      <pivotArea dataOnly="0" labelOnly="1" outline="0" fieldPosition="0">
        <references count="1">
          <reference field="4294967294" count="5">
            <x v="1"/>
            <x v="2"/>
            <x v="3"/>
            <x v="4"/>
            <x v="5"/>
          </reference>
        </references>
      </pivotArea>
    </format>
    <format dxfId="528">
      <pivotArea field="8" type="button" dataOnly="0" labelOnly="1" outline="0" axis="axisRow" fieldPosition="0"/>
    </format>
    <format dxfId="527">
      <pivotArea dataOnly="0" labelOnly="1" outline="0" fieldPosition="0">
        <references count="1">
          <reference field="4294967294" count="5">
            <x v="1"/>
            <x v="2"/>
            <x v="3"/>
            <x v="4"/>
            <x v="5"/>
          </reference>
        </references>
      </pivotArea>
    </format>
    <format dxfId="526">
      <pivotArea field="8" type="button" dataOnly="0" labelOnly="1" outline="0" axis="axisRow" fieldPosition="0"/>
    </format>
    <format dxfId="525">
      <pivotArea dataOnly="0" labelOnly="1" outline="0" fieldPosition="0">
        <references count="1">
          <reference field="4294967294" count="5">
            <x v="1"/>
            <x v="2"/>
            <x v="3"/>
            <x v="4"/>
            <x v="5"/>
          </reference>
        </references>
      </pivotArea>
    </format>
    <format dxfId="5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21">
      <pivotArea dataOnly="0" outline="0" fieldPosition="0">
        <references count="1">
          <reference field="4294967294" count="1">
            <x v="4"/>
          </reference>
        </references>
      </pivotArea>
    </format>
    <format dxfId="520">
      <pivotArea dataOnly="0" outline="0" fieldPosition="0">
        <references count="1">
          <reference field="4294967294" count="1">
            <x v="3"/>
          </reference>
        </references>
      </pivotArea>
    </format>
    <format dxfId="519">
      <pivotArea dataOnly="0" outline="0" fieldPosition="0">
        <references count="1">
          <reference field="4294967294" count="1">
            <x v="5"/>
          </reference>
        </references>
      </pivotArea>
    </format>
    <format dxfId="518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1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16">
      <pivotArea dataOnly="0" outline="0" fieldPosition="0">
        <references count="1">
          <reference field="4294967294" count="1">
            <x v="5"/>
          </reference>
        </references>
      </pivotArea>
    </format>
    <format dxfId="515">
      <pivotArea dataOnly="0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4">
      <pivotArea field="8" type="button" dataOnly="0" labelOnly="1" outline="0" axis="axisRow" fieldPosition="0"/>
    </format>
    <format dxfId="5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2">
      <pivotArea collapsedLevelsAreSubtotals="1" fieldPosition="0">
        <references count="3">
          <reference field="4294967294" count="1" selected="0">
            <x v="4"/>
          </reference>
          <reference field="8" count="1" selected="0">
            <x v="1"/>
          </reference>
          <reference field="19" count="1">
            <x v="35"/>
          </reference>
        </references>
      </pivotArea>
    </format>
    <format dxfId="511">
      <pivotArea collapsedLevelsAreSubtotals="1" fieldPosition="0">
        <references count="3">
          <reference field="4294967294" count="1" selected="0">
            <x v="4"/>
          </reference>
          <reference field="8" count="1" selected="0">
            <x v="4"/>
          </reference>
          <reference field="19" count="1">
            <x v="5"/>
          </reference>
        </references>
      </pivotArea>
    </format>
    <format dxfId="510">
      <pivotArea collapsedLevelsAreSubtotals="1" fieldPosition="0">
        <references count="3">
          <reference field="4294967294" count="1" selected="0">
            <x v="4"/>
          </reference>
          <reference field="8" count="1" selected="0">
            <x v="4"/>
          </reference>
          <reference field="19" count="1">
            <x v="5"/>
          </reference>
        </references>
      </pivotArea>
    </format>
    <format dxfId="509">
      <pivotArea collapsedLevelsAreSubtotals="1" fieldPosition="0">
        <references count="3">
          <reference field="4294967294" count="1" selected="0">
            <x v="4"/>
          </reference>
          <reference field="8" count="1" selected="0">
            <x v="4"/>
          </reference>
          <reference field="19" count="1">
            <x v="5"/>
          </reference>
        </references>
      </pivotArea>
    </format>
    <format dxfId="508">
      <pivotArea collapsedLevelsAreSubtotals="1" fieldPosition="0">
        <references count="3">
          <reference field="4294967294" count="1" selected="0">
            <x v="4"/>
          </reference>
          <reference field="8" count="1" selected="0">
            <x v="1"/>
          </reference>
          <reference field="19" count="1">
            <x v="35"/>
          </reference>
        </references>
      </pivotArea>
    </format>
    <format dxfId="507">
      <pivotArea field="8" type="button" dataOnly="0" labelOnly="1" outline="0" axis="axisRow" fieldPosition="0"/>
    </format>
    <format dxfId="50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5">
      <pivotArea field="8" type="button" dataOnly="0" labelOnly="1" outline="0" axis="axisRow" fieldPosition="0"/>
    </format>
    <format dxfId="50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3">
      <pivotArea field="8" type="button" dataOnly="0" labelOnly="1" outline="0" axis="axisRow" fieldPosition="0"/>
    </format>
    <format dxfId="502">
      <pivotArea dataOnly="0" labelOnly="1" fieldPosition="0">
        <references count="1">
          <reference field="8" count="0"/>
        </references>
      </pivotArea>
    </format>
    <format dxfId="501">
      <pivotArea dataOnly="0" labelOnly="1" fieldPosition="0">
        <references count="2">
          <reference field="8" count="1" selected="0">
            <x v="0"/>
          </reference>
          <reference field="19" count="9">
            <x v="1"/>
            <x v="3"/>
            <x v="4"/>
            <x v="6"/>
            <x v="9"/>
            <x v="29"/>
            <x v="41"/>
            <x v="43"/>
            <x v="45"/>
          </reference>
        </references>
      </pivotArea>
    </format>
    <format dxfId="500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6"/>
            <x v="44"/>
          </reference>
        </references>
      </pivotArea>
    </format>
    <format dxfId="499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498">
      <pivotArea dataOnly="0" labelOnly="1" fieldPosition="0">
        <references count="2">
          <reference field="8" count="1" selected="0">
            <x v="3"/>
          </reference>
          <reference field="19" count="9">
            <x v="19"/>
            <x v="20"/>
            <x v="21"/>
            <x v="22"/>
            <x v="23"/>
            <x v="25"/>
            <x v="26"/>
            <x v="27"/>
            <x v="37"/>
          </reference>
        </references>
      </pivotArea>
    </format>
    <format dxfId="497">
      <pivotArea dataOnly="0" labelOnly="1" fieldPosition="0">
        <references count="2">
          <reference field="8" count="1" selected="0">
            <x v="4"/>
          </reference>
          <reference field="19" count="5">
            <x v="5"/>
            <x v="10"/>
            <x v="15"/>
            <x v="33"/>
            <x v="34"/>
          </reference>
        </references>
      </pivotArea>
    </format>
    <format dxfId="496">
      <pivotArea field="8" type="button" dataOnly="0" labelOnly="1" outline="0" axis="axisRow" fieldPosition="0"/>
    </format>
    <format dxfId="495">
      <pivotArea dataOnly="0" labelOnly="1" fieldPosition="0">
        <references count="1">
          <reference field="8" count="0"/>
        </references>
      </pivotArea>
    </format>
    <format dxfId="494">
      <pivotArea dataOnly="0" labelOnly="1" fieldPosition="0">
        <references count="2">
          <reference field="8" count="1" selected="0">
            <x v="0"/>
          </reference>
          <reference field="19" count="9">
            <x v="1"/>
            <x v="3"/>
            <x v="4"/>
            <x v="6"/>
            <x v="9"/>
            <x v="29"/>
            <x v="41"/>
            <x v="43"/>
            <x v="45"/>
          </reference>
        </references>
      </pivotArea>
    </format>
    <format dxfId="493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6"/>
            <x v="44"/>
          </reference>
        </references>
      </pivotArea>
    </format>
    <format dxfId="492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491">
      <pivotArea dataOnly="0" labelOnly="1" fieldPosition="0">
        <references count="2">
          <reference field="8" count="1" selected="0">
            <x v="3"/>
          </reference>
          <reference field="19" count="9">
            <x v="19"/>
            <x v="20"/>
            <x v="21"/>
            <x v="22"/>
            <x v="23"/>
            <x v="25"/>
            <x v="26"/>
            <x v="27"/>
            <x v="37"/>
          </reference>
        </references>
      </pivotArea>
    </format>
    <format dxfId="490">
      <pivotArea dataOnly="0" labelOnly="1" fieldPosition="0">
        <references count="2">
          <reference field="8" count="1" selected="0">
            <x v="4"/>
          </reference>
          <reference field="19" count="5">
            <x v="5"/>
            <x v="10"/>
            <x v="15"/>
            <x v="33"/>
            <x v="34"/>
          </reference>
        </references>
      </pivotArea>
    </format>
    <format dxfId="489">
      <pivotArea field="8" type="button" dataOnly="0" labelOnly="1" outline="0" axis="axisRow" fieldPosition="0"/>
    </format>
    <format dxfId="488">
      <pivotArea dataOnly="0" labelOnly="1" fieldPosition="0">
        <references count="1">
          <reference field="8" count="0"/>
        </references>
      </pivotArea>
    </format>
    <format dxfId="487">
      <pivotArea dataOnly="0" labelOnly="1" fieldPosition="0">
        <references count="2">
          <reference field="8" count="1" selected="0">
            <x v="0"/>
          </reference>
          <reference field="19" count="9">
            <x v="1"/>
            <x v="3"/>
            <x v="4"/>
            <x v="6"/>
            <x v="9"/>
            <x v="29"/>
            <x v="41"/>
            <x v="43"/>
            <x v="45"/>
          </reference>
        </references>
      </pivotArea>
    </format>
    <format dxfId="486">
      <pivotArea dataOnly="0" labelOnly="1" fieldPosition="0">
        <references count="2">
          <reference field="8" count="1" selected="0">
            <x v="1"/>
          </reference>
          <reference field="19" count="10">
            <x v="0"/>
            <x v="2"/>
            <x v="8"/>
            <x v="16"/>
            <x v="28"/>
            <x v="30"/>
            <x v="31"/>
            <x v="32"/>
            <x v="36"/>
            <x v="44"/>
          </reference>
        </references>
      </pivotArea>
    </format>
    <format dxfId="485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484">
      <pivotArea dataOnly="0" labelOnly="1" fieldPosition="0">
        <references count="2">
          <reference field="8" count="1" selected="0">
            <x v="3"/>
          </reference>
          <reference field="19" count="9">
            <x v="19"/>
            <x v="20"/>
            <x v="21"/>
            <x v="22"/>
            <x v="23"/>
            <x v="25"/>
            <x v="26"/>
            <x v="27"/>
            <x v="37"/>
          </reference>
        </references>
      </pivotArea>
    </format>
    <format dxfId="483">
      <pivotArea dataOnly="0" labelOnly="1" fieldPosition="0">
        <references count="2">
          <reference field="8" count="1" selected="0">
            <x v="4"/>
          </reference>
          <reference field="19" count="5">
            <x v="5"/>
            <x v="10"/>
            <x v="15"/>
            <x v="33"/>
            <x v="34"/>
          </reference>
        </references>
      </pivotArea>
    </format>
    <format dxfId="482">
      <pivotArea type="all" dataOnly="0" outline="0" fieldPosition="0"/>
    </format>
    <format dxfId="481">
      <pivotArea outline="0" collapsedLevelsAreSubtotals="1" fieldPosition="0"/>
    </format>
    <format dxfId="480">
      <pivotArea field="8" type="button" dataOnly="0" labelOnly="1" outline="0" axis="axisRow" fieldPosition="0"/>
    </format>
    <format dxfId="479">
      <pivotArea dataOnly="0" labelOnly="1" fieldPosition="0">
        <references count="1">
          <reference field="8" count="0"/>
        </references>
      </pivotArea>
    </format>
    <format dxfId="478">
      <pivotArea dataOnly="0" labelOnly="1" fieldPosition="0">
        <references count="2">
          <reference field="8" count="1" selected="0">
            <x v="0"/>
          </reference>
          <reference field="19" count="8">
            <x v="1"/>
            <x v="3"/>
            <x v="4"/>
            <x v="6"/>
            <x v="9"/>
            <x v="29"/>
            <x v="41"/>
            <x v="43"/>
          </reference>
        </references>
      </pivotArea>
    </format>
    <format dxfId="477">
      <pivotArea dataOnly="0" labelOnly="1" fieldPosition="0">
        <references count="2">
          <reference field="8" count="1" selected="0">
            <x v="1"/>
          </reference>
          <reference field="19" count="12">
            <x v="0"/>
            <x v="2"/>
            <x v="8"/>
            <x v="16"/>
            <x v="28"/>
            <x v="30"/>
            <x v="31"/>
            <x v="32"/>
            <x v="36"/>
            <x v="42"/>
            <x v="46"/>
            <x v="47"/>
          </reference>
        </references>
      </pivotArea>
    </format>
    <format dxfId="476">
      <pivotArea dataOnly="0" labelOnly="1" fieldPosition="0">
        <references count="2">
          <reference field="8" count="1" selected="0">
            <x v="2"/>
          </reference>
          <reference field="19" count="1">
            <x v="7"/>
          </reference>
        </references>
      </pivotArea>
    </format>
    <format dxfId="475">
      <pivotArea dataOnly="0" labelOnly="1" fieldPosition="0">
        <references count="2">
          <reference field="8" count="1" selected="0">
            <x v="3"/>
          </reference>
          <reference field="19" count="8">
            <x v="19"/>
            <x v="21"/>
            <x v="22"/>
            <x v="23"/>
            <x v="25"/>
            <x v="26"/>
            <x v="27"/>
            <x v="37"/>
          </reference>
        </references>
      </pivotArea>
    </format>
    <format dxfId="474">
      <pivotArea dataOnly="0" labelOnly="1" fieldPosition="0">
        <references count="2">
          <reference field="8" count="1" selected="0">
            <x v="4"/>
          </reference>
          <reference field="19" count="7">
            <x v="10"/>
            <x v="11"/>
            <x v="13"/>
            <x v="14"/>
            <x v="15"/>
            <x v="33"/>
            <x v="34"/>
          </reference>
        </references>
      </pivotArea>
    </format>
    <format dxfId="47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72">
      <pivotArea collapsedLevelsAreSubtotals="1" fieldPosition="0">
        <references count="3">
          <reference field="4294967294" count="1" selected="0">
            <x v="1"/>
          </reference>
          <reference field="8" count="1" selected="0">
            <x v="1"/>
          </reference>
          <reference field="19" count="1">
            <x v="5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C1A5AA-CAC3-4062-BC3D-A058A6AE9B24}" name="PivotTable8" cacheId="7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E3:K37" firstHeaderRow="0" firstDataRow="1" firstDataCol="1"/>
  <pivotFields count="27">
    <pivotField axis="axisRow" showAll="0">
      <items count="49">
        <item x="0"/>
        <item x="1"/>
        <item x="2"/>
        <item m="1" x="42"/>
        <item m="1" x="41"/>
        <item x="3"/>
        <item x="4"/>
        <item m="1" x="45"/>
        <item x="5"/>
        <item x="6"/>
        <item x="7"/>
        <item x="8"/>
        <item x="9"/>
        <item x="10"/>
        <item x="11"/>
        <item m="1" x="43"/>
        <item x="12"/>
        <item m="1" x="33"/>
        <item x="13"/>
        <item x="14"/>
        <item x="15"/>
        <item x="16"/>
        <item m="1" x="34"/>
        <item m="1" x="35"/>
        <item m="1" x="36"/>
        <item x="17"/>
        <item x="18"/>
        <item m="1" x="37"/>
        <item m="1" x="38"/>
        <item x="19"/>
        <item x="20"/>
        <item x="21"/>
        <item m="1" x="39"/>
        <item x="23"/>
        <item x="24"/>
        <item m="1" x="40"/>
        <item m="1" x="44"/>
        <item x="25"/>
        <item m="1" x="46"/>
        <item m="1" x="47"/>
        <item x="26"/>
        <item x="28"/>
        <item x="29"/>
        <item x="27"/>
        <item x="31"/>
        <item x="30"/>
        <item x="22"/>
        <item x="32"/>
        <item t="default"/>
      </items>
    </pivotField>
    <pivotField showAll="0"/>
    <pivotField dataField="1"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numFmtId="165"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34">
    <i>
      <x/>
    </i>
    <i>
      <x v="1"/>
    </i>
    <i>
      <x v="2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8"/>
    </i>
    <i>
      <x v="19"/>
    </i>
    <i>
      <x v="20"/>
    </i>
    <i>
      <x v="21"/>
    </i>
    <i>
      <x v="25"/>
    </i>
    <i>
      <x v="26"/>
    </i>
    <i>
      <x v="29"/>
    </i>
    <i>
      <x v="30"/>
    </i>
    <i>
      <x v="31"/>
    </i>
    <i>
      <x v="33"/>
    </i>
    <i>
      <x v="34"/>
    </i>
    <i>
      <x v="37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Present" fld="22" baseField="0" baseItem="0" numFmtId="167"/>
    <dataField name="Working Day" fld="23" baseField="0" baseItem="0" numFmtId="167"/>
    <dataField name="Paid Holiday" fld="25" baseField="0" baseItem="0" numFmtId="167"/>
    <dataField name="Personal Leave" fld="2" subtotal="max" baseField="0" baseItem="0" numFmtId="2"/>
    <dataField name="Full OT" fld="24" baseField="0" baseItem="0" numFmtId="167"/>
    <dataField name="Comp Off" fld="26" baseField="0" baseItem="0" numFmtId="167"/>
  </dataFields>
  <formats count="12">
    <format dxfId="615">
      <pivotArea field="0" type="button" dataOnly="0" labelOnly="1" outline="0" axis="axisRow" fieldPosition="0"/>
    </format>
    <format dxfId="61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13">
      <pivotArea field="0" type="button" dataOnly="0" labelOnly="1" outline="0" axis="axisRow" fieldPosition="0"/>
    </format>
    <format dxfId="61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11">
      <pivotArea field="0" type="button" dataOnly="0" labelOnly="1" outline="0" axis="axisRow" fieldPosition="0"/>
    </format>
    <format dxfId="61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09">
      <pivotArea field="0" type="button" dataOnly="0" labelOnly="1" outline="0" axis="axisRow" fieldPosition="0"/>
    </format>
    <format dxfId="60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07">
      <pivotArea field="0" type="button" dataOnly="0" labelOnly="1" outline="0" axis="axisRow" fieldPosition="0"/>
    </format>
    <format dxfId="60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605">
      <pivotArea field="0" type="button" dataOnly="0" labelOnly="1" outline="0" axis="axisRow" fieldPosition="0"/>
    </format>
    <format dxfId="60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67E9E62-9FB5-4BF7-ABF7-01861DE02878}" autoFormatId="16" applyNumberFormats="0" applyBorderFormats="0" applyFontFormats="0" applyPatternFormats="0" applyAlignmentFormats="0" applyWidthHeightFormats="0">
  <queryTableRefresh nextId="36">
    <queryTableFields count="27">
      <queryTableField id="1" name="Employee Code" tableColumnId="1"/>
      <queryTableField id="2" name="Working_Days" tableColumnId="2"/>
      <queryTableField id="30" name="Personal Leave" tableColumnId="27"/>
      <queryTableField id="26" name="Paid_Holidays" tableColumnId="25"/>
      <queryTableField id="31" name="Comp_Off" tableColumnId="28"/>
      <queryTableField id="34" name="Leave Days" tableColumnId="3"/>
      <queryTableField id="4" name="Date" tableColumnId="4"/>
      <queryTableField id="5" name="Employee Name" tableColumnId="5"/>
      <queryTableField id="6" name="Department" tableColumnId="6"/>
      <queryTableField id="7" name="Designation" tableColumnId="7"/>
      <queryTableField id="8" name="Shift" tableColumnId="8"/>
      <queryTableField id="9" name="In" tableColumnId="9"/>
      <queryTableField id="10" name="Out" tableColumnId="10"/>
      <queryTableField id="11" name="Work_Hours" tableColumnId="11"/>
      <queryTableField id="12" name="In-OT" tableColumnId="12"/>
      <queryTableField id="13" name="In-OT-Hours" tableColumnId="13"/>
      <queryTableField id="14" name="Out-OT" tableColumnId="14"/>
      <queryTableField id="15" name="Out-OT-Hours" tableColumnId="15"/>
      <queryTableField id="16" name="Total-OT-Hours" tableColumnId="16"/>
      <queryTableField id="17" name="Employee" tableColumnId="17"/>
      <queryTableField id="18" name="Attendance" tableColumnId="18"/>
      <queryTableField id="19" name="Attendance Date" tableColumnId="19"/>
      <queryTableField id="20" name="Present" tableColumnId="20"/>
      <queryTableField id="21" name="Working" tableColumnId="21"/>
      <queryTableField id="22" name="Holiday" tableColumnId="22"/>
      <queryTableField id="24" name="Paid Holiday" tableColumnId="24"/>
      <queryTableField id="23" name="CompOff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26CF3C3-E4DF-4A6C-B1CE-3DFFFD579D79}" name="MonthlyAttendance" displayName="MonthlyAttendance" ref="A1:AA1024" tableType="queryTable" totalsRowShown="0">
  <autoFilter ref="A1:AA1024" xr:uid="{C26CF3C3-E4DF-4A6C-B1CE-3DFFFD579D79}"/>
  <tableColumns count="27">
    <tableColumn id="1" xr3:uid="{B63158CD-B358-4C63-8371-4A745E8B034A}" uniqueName="1" name="Employee Code" queryTableFieldId="1"/>
    <tableColumn id="2" xr3:uid="{0CF5DADB-ECAA-4D05-8F99-D6C7F36E0070}" uniqueName="2" name="Working_Days" queryTableFieldId="2"/>
    <tableColumn id="27" xr3:uid="{6A513FBB-ED0E-4BCA-933A-8C77E6636F13}" uniqueName="27" name="Personal Leave" queryTableFieldId="30"/>
    <tableColumn id="25" xr3:uid="{AC834D2E-FF5D-4424-B644-8AA92EA4EC25}" uniqueName="25" name="Paid_Holidays" queryTableFieldId="26"/>
    <tableColumn id="28" xr3:uid="{53448E78-5CE4-4337-BF6F-85EF5D42A5B6}" uniqueName="28" name="Comp_Off" queryTableFieldId="31"/>
    <tableColumn id="3" xr3:uid="{BC72F0AE-703D-425D-B86D-76324EAAC062}" uniqueName="3" name="Leave Days" queryTableFieldId="34" dataDxfId="644"/>
    <tableColumn id="4" xr3:uid="{B6CC2CF6-ECC6-4F8A-8260-8675BC401DE5}" uniqueName="4" name="Date" queryTableFieldId="4" dataDxfId="643"/>
    <tableColumn id="5" xr3:uid="{FBEDA04D-0B00-4478-A74D-ADE24A6458DB}" uniqueName="5" name="Employee Name" queryTableFieldId="5" dataDxfId="642"/>
    <tableColumn id="6" xr3:uid="{49C40A29-A1A8-4651-9BFE-3DFE92FDDBFE}" uniqueName="6" name="Department" queryTableFieldId="6" dataDxfId="641"/>
    <tableColumn id="7" xr3:uid="{BFFA1F07-D4AC-4AD6-A14D-77B978C35051}" uniqueName="7" name="Designation" queryTableFieldId="7" dataDxfId="640"/>
    <tableColumn id="8" xr3:uid="{3716A7A9-B4A2-49B3-AF96-E4CD86D2E6EF}" uniqueName="8" name="Shift" queryTableFieldId="8" dataDxfId="639"/>
    <tableColumn id="9" xr3:uid="{4C6D8D42-52D0-4929-ACDA-2CDB98215E67}" uniqueName="9" name="In" queryTableFieldId="9" dataDxfId="638"/>
    <tableColumn id="10" xr3:uid="{1A45D9C3-4E9B-4CE9-9A66-121F6CFE9A2A}" uniqueName="10" name="Out" queryTableFieldId="10" dataDxfId="637"/>
    <tableColumn id="11" xr3:uid="{06674A95-E9F2-4B91-AACF-0D9EF9CB377C}" uniqueName="11" name="Work_Hours" queryTableFieldId="11"/>
    <tableColumn id="12" xr3:uid="{746F2FA3-683C-44FA-80FE-92C9EC97A797}" uniqueName="12" name="In-OT" queryTableFieldId="12" dataDxfId="636"/>
    <tableColumn id="13" xr3:uid="{53F8F5F6-5A83-4021-B7C0-F4253E1327C4}" uniqueName="13" name="In-OT-Hours" queryTableFieldId="13"/>
    <tableColumn id="14" xr3:uid="{25B184CD-4D35-48B5-8F5E-3BED9D722273}" uniqueName="14" name="Out-OT" queryTableFieldId="14" dataDxfId="635"/>
    <tableColumn id="15" xr3:uid="{BB7DCC1E-083F-4EC9-9BD9-29E6DBD9BEA0}" uniqueName="15" name="Out-OT-Hours" queryTableFieldId="15"/>
    <tableColumn id="16" xr3:uid="{89F83EE5-319C-408A-8463-3673A41F773F}" uniqueName="16" name="Total-OT-Hours" queryTableFieldId="16"/>
    <tableColumn id="17" xr3:uid="{14E74AB4-8D9F-42BF-9BD5-DFABFF2E18D2}" uniqueName="17" name="Employee" queryTableFieldId="17" dataDxfId="634"/>
    <tableColumn id="18" xr3:uid="{7EC2D5C7-8310-46D0-9D5D-3A899DBE189C}" uniqueName="18" name="Attendance" queryTableFieldId="18" dataDxfId="633"/>
    <tableColumn id="19" xr3:uid="{F381144A-26CC-4530-933E-A6470219670F}" uniqueName="19" name="Attendance Date" queryTableFieldId="19" dataDxfId="632"/>
    <tableColumn id="20" xr3:uid="{49266786-A899-4420-B386-21C5202B538D}" uniqueName="20" name="Present" queryTableFieldId="20"/>
    <tableColumn id="21" xr3:uid="{4AF2AFC6-13BE-4884-9B14-CD9C6695EA3B}" uniqueName="21" name="Working" queryTableFieldId="21"/>
    <tableColumn id="22" xr3:uid="{B0F08B06-432E-4096-8693-98750FFEAB7F}" uniqueName="22" name="Holiday" queryTableFieldId="22"/>
    <tableColumn id="24" xr3:uid="{6358BC75-BAF9-4F9D-94F7-E60F08812B30}" uniqueName="24" name="Paid Holiday" queryTableFieldId="24"/>
    <tableColumn id="23" xr3:uid="{A732DE3B-440C-4EDD-A76A-F23CF09A0CA2}" uniqueName="23" name="CompOff" queryTableField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22FC68-D81E-4409-A064-3903C1D4DD25}" name="Table9" displayName="Table9" ref="A3:AA34" totalsRowShown="0">
  <autoFilter ref="A3:AA34" xr:uid="{3D22FC68-D81E-4409-A064-3903C1D4DD25}"/>
  <tableColumns count="27">
    <tableColumn id="1" xr3:uid="{6DAC7325-1D22-40E8-8973-35BD1B0E1E9F}" name="Employee Code"/>
    <tableColumn id="2" xr3:uid="{793A0480-1052-4FC3-B321-963324AF8B19}" name="Working_Days"/>
    <tableColumn id="3" xr3:uid="{992F3C53-06CB-49C7-9D81-CE2D1CA7E2EE}" name="Personal Leave"/>
    <tableColumn id="4" xr3:uid="{E9C19FB9-204C-49E8-882E-7F4FB530C7BC}" name="Paid_Holidays"/>
    <tableColumn id="5" xr3:uid="{BB9DAAC1-2D19-410E-80F4-9FC80B701A3E}" name="Comp_Off"/>
    <tableColumn id="6" xr3:uid="{0AF7C33B-0157-43F9-9FA8-AAC69D532950}" name="Leave Days"/>
    <tableColumn id="7" xr3:uid="{F19FEFAC-A526-4D63-BACC-A40B39BF2426}" name="Date" dataDxfId="631"/>
    <tableColumn id="8" xr3:uid="{98F0125E-D222-4C8B-A016-028C39A39F04}" name="Employee Name"/>
    <tableColumn id="9" xr3:uid="{A78FAA2F-7D86-4CD7-A1C7-44C46A67D6D6}" name="Department"/>
    <tableColumn id="10" xr3:uid="{61380EB1-DEE8-4DB5-83DF-DD72BBAE083A}" name="Designation"/>
    <tableColumn id="11" xr3:uid="{FB2401E0-F139-4909-B53E-ACEA9F865A4E}" name="Shift"/>
    <tableColumn id="12" xr3:uid="{10227076-FAF8-4AFF-90B4-F129F38AE17B}" name="In" dataDxfId="630"/>
    <tableColumn id="13" xr3:uid="{80488E60-A6E4-48A8-A5AD-3747A105C89F}" name="Out" dataDxfId="629"/>
    <tableColumn id="14" xr3:uid="{8302E0D5-B810-4241-A037-661A20FDDABB}" name="Work_Hours"/>
    <tableColumn id="15" xr3:uid="{FC1E76B6-46CA-4BAB-B64A-5856B02CE751}" name="In-OT"/>
    <tableColumn id="16" xr3:uid="{8BB42E68-D686-4004-95C4-562DE5157899}" name="In-OT-Hours"/>
    <tableColumn id="17" xr3:uid="{55D1A866-FF28-4269-96DB-A4BDAEEA9398}" name="Out-OT"/>
    <tableColumn id="18" xr3:uid="{2FA07E56-C059-480D-861F-DC179381C398}" name="Out-OT-Hours"/>
    <tableColumn id="19" xr3:uid="{193B3C46-2E02-429F-8C9A-FAAF25B70E05}" name="Total-OT-Hours"/>
    <tableColumn id="20" xr3:uid="{C4069873-A07A-4DDA-A0B5-5E6682649A48}" name="Employee"/>
    <tableColumn id="21" xr3:uid="{06DF01EF-F9F3-4ED3-B46A-2E4D40A0FC77}" name="Attendance"/>
    <tableColumn id="22" xr3:uid="{F8CAC628-CF6E-47BE-B176-E091A163EF34}" name="Attendance Date" dataDxfId="628"/>
    <tableColumn id="23" xr3:uid="{A51470C3-E429-4557-8293-0BA66978FB7F}" name="Present"/>
    <tableColumn id="24" xr3:uid="{909CA210-5E75-4AA2-A986-58672FF153A9}" name="Working"/>
    <tableColumn id="25" xr3:uid="{11A1DD3A-7C62-45EE-B5F6-0AC3C2AEFF8C}" name="Holiday"/>
    <tableColumn id="26" xr3:uid="{79F023F4-2841-42C8-B76B-9E9B81864C41}" name="Paid Holiday"/>
    <tableColumn id="27" xr3:uid="{C0ACC6EE-F70D-4A84-8147-46FE9390E4B7}" name="CompOf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A83A4B8-22B1-47BD-B2CA-5B0FB5E79C70}" name="Table10" displayName="Table10" ref="A3:AA34" totalsRowShown="0">
  <autoFilter ref="A3:AA34" xr:uid="{4A83A4B8-22B1-47BD-B2CA-5B0FB5E79C70}"/>
  <tableColumns count="27">
    <tableColumn id="1" xr3:uid="{673B7E0B-BE5E-492F-85F8-29A70F606528}" name="Employee Code"/>
    <tableColumn id="2" xr3:uid="{0305DE1B-C5A7-49A7-9158-06C5E531B1AC}" name="Working_Days"/>
    <tableColumn id="3" xr3:uid="{B33D4615-F321-40FE-B179-9652065DBF94}" name="Personal Leave"/>
    <tableColumn id="4" xr3:uid="{63F54CE1-4AF2-453F-A889-EE8A2737310E}" name="Paid_Holidays"/>
    <tableColumn id="5" xr3:uid="{90690051-5544-4302-B0E4-3E44B20E8AE5}" name="Comp_Off"/>
    <tableColumn id="6" xr3:uid="{775C9447-77A1-4846-8F46-D7C18D63C7D3}" name="Leave Days"/>
    <tableColumn id="7" xr3:uid="{1DDF169E-E6E5-401C-9DD3-F41634D7E70A}" name="Date" dataDxfId="627"/>
    <tableColumn id="8" xr3:uid="{46FBCD90-D4B6-4BF3-804F-47CB7E38B960}" name="Employee Name"/>
    <tableColumn id="9" xr3:uid="{E7F67E48-0B49-4886-AA88-59A2A7F5AF60}" name="Department"/>
    <tableColumn id="10" xr3:uid="{47E514E7-AA2B-4DF9-A795-8EB9C8F47D2F}" name="Designation"/>
    <tableColumn id="11" xr3:uid="{BC5BE36D-2464-404B-8FB8-B7BC793B4AED}" name="Shift"/>
    <tableColumn id="12" xr3:uid="{A372DFCE-EF8C-46F2-835D-AB63EEB32C7A}" name="In" dataDxfId="626"/>
    <tableColumn id="13" xr3:uid="{E86B06DB-5EA3-441D-9992-3EF37EF8B043}" name="Out" dataDxfId="625"/>
    <tableColumn id="14" xr3:uid="{3AFBCE69-F849-465B-BD73-A7196459B5C9}" name="Work_Hours"/>
    <tableColumn id="15" xr3:uid="{45E0E0F0-0CB2-4413-8DBB-75C491DECBD9}" name="In-OT"/>
    <tableColumn id="16" xr3:uid="{C4003A39-5FDB-4727-A27B-A514A8160414}" name="In-OT-Hours"/>
    <tableColumn id="17" xr3:uid="{59FA4B3E-DA9D-4398-9B3E-E472510ECE2F}" name="Out-OT"/>
    <tableColumn id="18" xr3:uid="{8B03136C-9119-476F-8BA9-24FAA34116EB}" name="Out-OT-Hours"/>
    <tableColumn id="19" xr3:uid="{2F4A8978-1A0E-4416-946E-A61907E966C0}" name="Total-OT-Hours"/>
    <tableColumn id="20" xr3:uid="{D217BF6C-5555-43D0-9C7A-8E1AFD90F5E3}" name="Employee"/>
    <tableColumn id="21" xr3:uid="{D55E4344-4839-4618-B637-C96BC8B7F6C9}" name="Attendance"/>
    <tableColumn id="22" xr3:uid="{CFE759BD-B42C-494E-BFA4-28111E8964A9}" name="Attendance Date" dataDxfId="624"/>
    <tableColumn id="23" xr3:uid="{D6DFF71A-E43D-487E-A79C-D37270C1F0CC}" name="Present"/>
    <tableColumn id="24" xr3:uid="{DEE9666A-588A-4F8D-88BD-5767D9A752A0}" name="Working"/>
    <tableColumn id="25" xr3:uid="{45749805-8254-46E1-947D-D68EAE6E43CB}" name="Holiday"/>
    <tableColumn id="26" xr3:uid="{79DD1CE0-D647-4A84-B079-9C6EF16481FC}" name="Paid Holiday"/>
    <tableColumn id="27" xr3:uid="{3338EE8B-3C2A-4803-BBA1-35578ADC01A6}" name="CompOf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9BF17D-2B6C-4A26-AE0C-6B6A365C11A1}" name="HolidayList" displayName="HolidayList" ref="A3:B7" totalsRowShown="0" headerRowDxfId="332">
  <autoFilter ref="A3:B7" xr:uid="{4CBA683E-1C2D-4351-A31B-D0985B3DFC81}"/>
  <tableColumns count="2">
    <tableColumn id="1" xr3:uid="{D9B865C9-477E-4B97-BF3E-6DE9CF85EF34}" name="Date" dataDxfId="331"/>
    <tableColumn id="2" xr3:uid="{1067B7B8-5D08-4BF9-8B94-D6BD95E8F1D0}" name="Holida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2106517-E7C3-425F-8C36-60835D96690B}" name="Summary" displayName="Summary" ref="A4:R11" totalsRowShown="0" headerRowDxfId="329" dataDxfId="328" tableBorderDxfId="327">
  <autoFilter ref="A4:R11" xr:uid="{E2106517-E7C3-425F-8C36-60835D9669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E6F34E4B-B513-4B5A-8BCC-34CA620D6F05}" name="S.NO " dataDxfId="326"/>
    <tableColumn id="13" xr3:uid="{A3648576-E430-4D94-89ED-DD07FC91B170}" name="IS_Bank" dataDxfId="325"/>
    <tableColumn id="2" xr3:uid="{627F4BE0-8C29-4F7A-915A-C13DF2DF5FCD}" name="DESCRIPTION" dataDxfId="324"/>
    <tableColumn id="3" xr3:uid="{D4A0A1CE-E73C-4609-A1A6-BA5F57C33B47}" name="Total HeadCount" dataDxfId="323"/>
    <tableColumn id="4" xr3:uid="{CEE82B5C-5D0E-4EAD-9EBE-6E2FF3844934}" name="Comment" dataDxfId="322">
      <calculatedColumnFormula>D5-5 &amp; " Workers," &amp; " 5 " &amp; "operators"</calculatedColumnFormula>
    </tableColumn>
    <tableColumn id="7" xr3:uid="{C6377193-6C7C-4D17-AF10-02795B667D7A}" name="Fixed Salary" dataDxfId="321">
      <calculatedColumnFormula>Staff_Fixed_Salary</calculatedColumnFormula>
    </tableColumn>
    <tableColumn id="10" xr3:uid="{C37AC328-7CDF-45D4-BC13-1E2BD7DBCA86}" name="Average Salary" dataDxfId="320">
      <calculatedColumnFormula>Summary[[#This Row],[Fixed Salary]]/Summary[[#This Row],[Total HeadCount]]</calculatedColumnFormula>
    </tableColumn>
    <tableColumn id="6" xr3:uid="{464E6930-ED0A-4898-ADD0-7E82E2ED56E7}" name="Earned Salary - TillDate" dataDxfId="319">
      <calculatedColumnFormula>Staff_Earned_Salary</calculatedColumnFormula>
    </tableColumn>
    <tableColumn id="8" xr3:uid="{5A1E2C0A-1B93-4EFC-97C8-C8C80FB4F699}" name="Projection for Balance Days" dataDxfId="318">
      <calculatedColumnFormula>Summary[[#This Row],[Fixed Salary]]/$F$1*$F$2</calculatedColumnFormula>
    </tableColumn>
    <tableColumn id="11" xr3:uid="{A9CF5078-E3DE-486F-A51D-7820B6B276F4}" name="Deductions" dataDxfId="317">
      <calculatedColumnFormula>Staff_Deductions</calculatedColumnFormula>
    </tableColumn>
    <tableColumn id="12" xr3:uid="{5B909029-FD9A-4CE4-8836-E004C99B2B50}" name="Projection without " dataDxfId="316">
      <calculatedColumnFormula>Summary[[#This Row],[Earned Salary - TillDate]]+Summary[[#This Row],[Projection for Balance Days]]</calculatedColumnFormula>
    </tableColumn>
    <tableColumn id="9" xr3:uid="{DD95822F-B97D-4959-89B2-D9480956F988}" name="Projection Total" dataDxfId="315">
      <calculatedColumnFormula>Summary[[#This Row],[Earned Salary - TillDate]]+Summary[[#This Row],[Projection for Balance Days]]-Summary[[#This Row],[Deductions]]</calculatedColumnFormula>
    </tableColumn>
    <tableColumn id="5" xr3:uid="{2E18EC3A-9AF0-4F88-924B-93D4598EFD8A}" name="Actuals" dataDxfId="314"/>
    <tableColumn id="18" xr3:uid="{29E1CE28-6210-4978-951F-1D56AAE6AC4E}" name="BANK" dataDxfId="313">
      <calculatedColumnFormula>Operators[[#Totals],[Earned Salary]]</calculatedColumnFormula>
    </tableColumn>
    <tableColumn id="14" xr3:uid="{FE7D421A-1ED3-423E-805B-DD33BCEF243A}" name="HOLD" dataDxfId="312"/>
    <tableColumn id="15" xr3:uid="{FF414F9B-AF6D-4D78-A7CB-6ABAB1F678F7}" name="Column2" dataDxfId="311"/>
    <tableColumn id="16" xr3:uid="{D41A5355-BF4D-48F8-BCB1-A83E0C10BE87}" name="Column3" dataDxfId="310"/>
    <tableColumn id="19" xr3:uid="{E0D55F7E-12AA-4D63-800D-BF1013E222BE}" name="Column4" dataDxfId="30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6805F0C-7D1A-4C67-A163-19413C3F7359}" name="Fixed_Payment" displayName="Fixed_Payment" ref="A2:M13" totalsRowCount="1" headerRowDxfId="308" dataDxfId="306" totalsRowDxfId="304" headerRowBorderDxfId="307" tableBorderDxfId="305" totalsRowBorderDxfId="303">
  <autoFilter ref="A2:M12" xr:uid="{45F0E593-271B-44E7-AADE-6C76418184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6BD89465-FE4B-444B-8A38-0075EE31B17C}" name="S.NO" totalsRowFunction="custom" dataDxfId="302" totalsRowDxfId="301">
      <calculatedColumnFormula>ROW() - ROW(Fixed_Payment[[#Headers],[S.NO]])</calculatedColumnFormula>
      <totalsRowFormula>COUNT(Fixed_Payment[S.NO])</totalsRowFormula>
    </tableColumn>
    <tableColumn id="2" xr3:uid="{4B7B3352-D0E2-4671-8749-E2D7235F4772}" name="Who" dataDxfId="300" totalsRowDxfId="299"/>
    <tableColumn id="3" xr3:uid="{4DB8435F-C134-484B-8E1F-65BBF26C7590}" name="NAME" dataDxfId="298" totalsRowDxfId="297"/>
    <tableColumn id="8" xr3:uid="{DDBB69FC-70D2-4AE5-8585-DDF7785A753F}" name="FIXED Payment" totalsRowFunction="custom" dataDxfId="296" totalsRowDxfId="295">
      <totalsRowFormula>SUM(D3:D12)</totalsRowFormula>
    </tableColumn>
    <tableColumn id="9" xr3:uid="{6E9DEFC3-5D8B-4C42-8CB6-49B1F8E3418A}" name="Deductions" totalsRowFunction="custom" dataDxfId="294" totalsRowDxfId="293">
      <totalsRowFormula>SUM(E3:E12)</totalsRowFormula>
    </tableColumn>
    <tableColumn id="16" xr3:uid="{A386B3FC-8AFF-4B86-9CAA-E9D8C3F93447}" name="Total Payment" totalsRowFunction="custom" dataDxfId="292" totalsRowDxfId="291">
      <calculatedColumnFormula>D3</calculatedColumnFormula>
      <totalsRowFormula>SUM(F3:F12)</totalsRowFormula>
    </tableColumn>
    <tableColumn id="10" xr3:uid="{3399881A-396C-4A9D-BFCD-6B9CD6252E8A}" name="EMP NAME" dataDxfId="290" totalsRowDxfId="289">
      <calculatedColumnFormula>Fixed_Payment[[#This Row],[NAME]]</calculatedColumnFormula>
    </tableColumn>
    <tableColumn id="4" xr3:uid="{B0E881C3-C463-442A-A94B-F29DFCAC2A20}" name="IFSC CODE" dataDxfId="288" totalsRowDxfId="287">
      <calculatedColumnFormula>_xlfn.XLOOKUP(Fixed_Payment[[#This Row],[EMP NAME]],Fixed_Payment_Bank[EMP NAME],Fixed_Payment_Bank[IFSC CODE])</calculatedColumnFormula>
    </tableColumn>
    <tableColumn id="5" xr3:uid="{D9231F58-2B5D-4A12-87EC-08B31A7A10DF}" name="ACCOUNT NO" dataDxfId="286" totalsRowDxfId="285">
      <calculatedColumnFormula>_xlfn.XLOOKUP(Fixed_Payment[[#This Row],[EMP NAME]],Fixed_Payment_Bank[EMP NAME],Fixed_Payment_Bank[ACCOUNT NO])</calculatedColumnFormula>
    </tableColumn>
    <tableColumn id="6" xr3:uid="{F9FA7807-4B58-4435-AC57-DDADBD265CF3}" name="AMOUNT OF TRANSFER" dataDxfId="284" totalsRowDxfId="283">
      <calculatedColumnFormula>Fixed_Payment[[#This Row],[Total Payment]]</calculatedColumnFormula>
    </tableColumn>
    <tableColumn id="7" xr3:uid="{CAA10696-8EE1-491F-AE7B-32C3958C6ACB}" name="BENEFICIARY'S NAME" dataDxfId="282" totalsRowDxfId="281">
      <calculatedColumnFormula>_xlfn.XLOOKUP(Fixed_Payment[[#This Row],[EMP NAME]],Fixed_Payment_Bank[EMP NAME],Fixed_Payment_Bank[ACCOUNT NAME])</calculatedColumnFormula>
    </tableColumn>
    <tableColumn id="11" xr3:uid="{8B6A4970-BC95-49B1-82DC-B7B5D5BC898D}" name="BENFICIARY'S BRANCH NAME" dataDxfId="280" totalsRowDxfId="279">
      <calculatedColumnFormula>_xlfn.XLOOKUP(Fixed_Payment[[#This Row],[EMP NAME]],Fixed_Payment_Bank[EMP NAME],Fixed_Payment_Bank[Branch])</calculatedColumnFormula>
    </tableColumn>
    <tableColumn id="12" xr3:uid="{424AF71C-FB37-4869-8D76-174CD5FB1364}" name="BENFICIARY'S BANK NAME" dataDxfId="278" totalsRowDxfId="277">
      <calculatedColumnFormula>_xlfn.XLOOKUP(Fixed_Payment[[#This Row],[EMP NAME]],Fixed_Payment_Bank[EMP NAME],Fixed_Payment_Bank[BANK NAME])</calculatedColumnFormula>
    </tableColumn>
  </tableColumns>
  <tableStyleInfo name="V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F0E593-271B-44E7-AADE-6C7641818411}" name="Helpers" displayName="Helpers" ref="A2:V15" totalsRowShown="0" headerRowDxfId="270" dataDxfId="268" headerRowBorderDxfId="269" tableBorderDxfId="267" totalsRowBorderDxfId="266">
  <autoFilter ref="A2:V15" xr:uid="{45F0E593-271B-44E7-AADE-6C76418184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xmlns:xlrd2="http://schemas.microsoft.com/office/spreadsheetml/2017/richdata2" ref="A3:V8">
    <sortCondition ref="B3:B8"/>
  </sortState>
  <tableColumns count="22">
    <tableColumn id="1" xr3:uid="{00977E6D-215D-47BC-8428-E6EEB6E14DE0}" name="S.NO" dataDxfId="265" totalsRowDxfId="264"/>
    <tableColumn id="2" xr3:uid="{E33C0F29-CBC3-41DC-AF76-E1618B041048}" name="EMP NO" dataDxfId="263" totalsRowDxfId="262"/>
    <tableColumn id="3" xr3:uid="{F993A71C-9870-44DC-B55D-9B41EEE6FA81}" name="NAME" dataDxfId="261" totalsRowDxfId="260"/>
    <tableColumn id="4" xr3:uid="{C5FE865D-59CD-457E-B2E5-1649AA7ED859}" name="DEPT" dataDxfId="259" totalsRowDxfId="258"/>
    <tableColumn id="5" xr3:uid="{025AECBB-8E5F-4241-8791-7F409392A87E}" name="TOTAL DAYS" dataDxfId="257" totalsRowDxfId="256">
      <calculatedColumnFormula>$E$1</calculatedColumnFormula>
    </tableColumn>
    <tableColumn id="12" xr3:uid="{ACA9B013-0E56-4354-A6A0-E42615672C06}" name="Working Days" dataDxfId="255" totalsRowDxfId="254">
      <calculatedColumnFormula>IFERROR(GETPIVOTDATA("Working Day",Month_Attendance!$E$3,"Employee Code",Helpers[[#This Row],[EMP NO]]),0)</calculatedColumnFormula>
    </tableColumn>
    <tableColumn id="20" xr3:uid="{00A82E1F-008D-4E2E-8B76-C28B77F3AC52}" name="Paid Holiday" dataDxfId="253" totalsRowDxfId="252">
      <calculatedColumnFormula>IFERROR(GETPIVOTDATA("Paid Holiday",Month_Attendance!$E$3,"Employee Code",Helpers[[#This Row],[EMP NO]]),0)</calculatedColumnFormula>
    </tableColumn>
    <tableColumn id="18" xr3:uid="{54909F5A-D82E-4F90-995B-14C0693653D9}" name="Comp Off" dataDxfId="251" totalsRowDxfId="250">
      <calculatedColumnFormula>GETPIVOTDATA("Comp Off",Month_Attendance!$E$3,"Employee Code",Helpers[[#This Row],[EMP NO]])</calculatedColumnFormula>
    </tableColumn>
    <tableColumn id="15" xr3:uid="{EB887992-1B49-48BE-8605-85D4220A718A}" name="Personal Leave" dataDxfId="249" totalsRowDxfId="248">
      <calculatedColumnFormula>GETPIVOTDATA("Personal Leave",Month_Attendance!$E$3,"Employee Code",Helpers[[#This Row],[EMP NO]])</calculatedColumnFormula>
    </tableColumn>
    <tableColumn id="11" xr3:uid="{1C20CBA6-D601-4E77-A7BB-541C63F77F06}" name="Adjust Days" dataDxfId="247" totalsRowDxfId="246"/>
    <tableColumn id="6" xr3:uid="{873D03F1-C451-4596-856A-8CEC6470C736}" name="Total Paid Days" dataDxfId="245" totalsRowDxfId="244">
      <calculatedColumnFormula>Helpers[[#This Row],[Working Days]]+Helpers[[#This Row],[Paid Holiday]]+Helpers[[#This Row],[Comp Off]]+Helpers[[#This Row],[Adjust Days]]</calculatedColumnFormula>
    </tableColumn>
    <tableColumn id="7" xr3:uid="{43816733-7735-4FEE-BE34-0E4968D4E59D}" name="Full OT" dataDxfId="243" totalsRowDxfId="242">
      <calculatedColumnFormula>GETPIVOTDATA("Full OT",Month_Attendance!$E$3,"Employee Code",Helpers[[#This Row],[EMP NO]])</calculatedColumnFormula>
    </tableColumn>
    <tableColumn id="8" xr3:uid="{C8AAE64E-31D9-4D7E-BD15-AA7EED69F0D8}" name="FIXED SALARY" dataDxfId="241" totalsRowDxfId="240"/>
    <tableColumn id="9" xr3:uid="{77055D92-9EC9-466A-846D-711149343DBD}" name="Deductions" dataDxfId="239" totalsRowDxfId="238"/>
    <tableColumn id="16" xr3:uid="{7F6B69A5-2D8B-4118-8904-EB0E16A34A94}" name="EARN SALARY" dataDxfId="237" totalsRowDxfId="236">
      <calculatedColumnFormula>ROUND((Helpers[[#This Row],[FIXED SALARY]]/Helpers[[#This Row],[TOTAL DAYS]]*Helpers[[#This Row],[Total Paid Days]]) -Helpers[[#This Row],[Deductions]],0)</calculatedColumnFormula>
    </tableColumn>
    <tableColumn id="13" xr3:uid="{A7833ACA-2955-4F4D-BF02-FCB82B4022E8}" name="EMP NAME" dataDxfId="235" totalsRowDxfId="234"/>
    <tableColumn id="14" xr3:uid="{5BE72346-E799-40FB-9102-13008FBCC59D}" name="IFSC CODE" dataDxfId="233"/>
    <tableColumn id="17" xr3:uid="{36C73699-CEDA-4058-9B1D-535BC9ADBBA1}" name="ACCOUNT NO" dataDxfId="232">
      <calculatedColumnFormula>_xlfn.XLOOKUP(Helpers[[#This Row],[EMP NAME]],Helpers_Bank[EMP NAME],Helpers_Bank[ACCOUNT NO])</calculatedColumnFormula>
    </tableColumn>
    <tableColumn id="26" xr3:uid="{2E0EE1E3-4CA1-41B7-8E67-3EDD6276A01F}" name="AMOUNT OF TRANSFER" dataDxfId="231" totalsRowDxfId="230"/>
    <tableColumn id="10" xr3:uid="{A215B7A2-0972-4CAE-9A83-386A1688509A}" name="BENEFICIARY'S NAME" dataDxfId="229" totalsRowDxfId="228"/>
    <tableColumn id="19" xr3:uid="{53AE1213-89CE-484C-A0ED-46027FB6DC5E}" name="BENFICIARY'S BRANCH NAME" dataDxfId="227" totalsRowDxfId="226"/>
    <tableColumn id="22" xr3:uid="{A65032AC-53AD-4F74-AF56-B33C56E9751B}" name="BENFICIARY'S BANK NAME" dataDxfId="225" totalsRowDxfId="224"/>
  </tableColumns>
  <tableStyleInfo name="V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BCE1B4-DE32-45EA-9385-88AD04664347}" name="Workers" displayName="Workers" ref="A3:AN16" totalsRowCount="1" headerRowDxfId="728" dataDxfId="726" totalsRowDxfId="725" headerRowBorderDxfId="727">
  <autoFilter ref="A3:AN15" xr:uid="{9A61CF6F-F637-4ABA-8BFC-9F7C92C44B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</autoFilter>
  <sortState xmlns:xlrd2="http://schemas.microsoft.com/office/spreadsheetml/2017/richdata2" ref="A4:AJ15">
    <sortCondition ref="D4:D15"/>
  </sortState>
  <tableColumns count="40">
    <tableColumn id="1" xr3:uid="{A7434BA5-B4CB-4F8D-B8D6-0F44CD982158}" name="  " dataDxfId="724" totalsRowDxfId="723"/>
    <tableColumn id="2" xr3:uid="{D4D4B6A8-4639-44B2-B2BC-99A534790BCB}" name="EMP.NO" dataDxfId="722" totalsRowDxfId="721"/>
    <tableColumn id="3" xr3:uid="{6D8276D4-429B-427F-A393-11D35CA9E4E3}" name="NAME" dataDxfId="720" totalsRowDxfId="719"/>
    <tableColumn id="4" xr3:uid="{6FFAB5A6-51E3-48F4-837D-7BDEF0DCDBE0}" name="Dept" dataDxfId="718" totalsRowDxfId="717"/>
    <tableColumn id="5" xr3:uid="{D7C7265F-1087-4242-9041-1ECBFF6A71BD}" name="PF NO" dataDxfId="716" totalsRowDxfId="715"/>
    <tableColumn id="6" xr3:uid="{CCFC17CE-F564-400E-B5BD-9268C9EA76BE}" name="ESI NO" dataDxfId="714" totalsRowDxfId="713"/>
    <tableColumn id="7" xr3:uid="{DED9FEF8-4EA4-4763-B5F6-2B15161A684C}" name="Total Days" dataDxfId="712" totalsRowDxfId="711">
      <calculatedColumnFormula>Working_Days</calculatedColumnFormula>
    </tableColumn>
    <tableColumn id="8" xr3:uid="{33B9DFAC-2AEC-4798-9B9F-DDE64DB81401}" name="Working Days" dataDxfId="710" totalsRowDxfId="709">
      <calculatedColumnFormula>GETPIVOTDATA("Working Day",#REF!,"Employee Code",Workers[[#This Row],[EMP.NO]])</calculatedColumnFormula>
    </tableColumn>
    <tableColumn id="40" xr3:uid="{E13DC58E-6862-43C4-A5CB-55BC452A627D}" name="Paid Holiday" dataDxfId="708" totalsRowDxfId="707">
      <calculatedColumnFormula>GETPIVOTDATA("Paid Holiday",#REF!,"Employee Code",Workers[[#This Row],[EMP.NO]])</calculatedColumnFormula>
    </tableColumn>
    <tableColumn id="39" xr3:uid="{4E251C20-F361-45C7-8418-FCF4184C7234}" name="Comp Off" dataDxfId="706" totalsRowDxfId="705">
      <calculatedColumnFormula>GETPIVOTDATA("Comp Off",#REF!,"Employee Code",Workers[[#This Row],[EMP.NO]])</calculatedColumnFormula>
    </tableColumn>
    <tableColumn id="41" xr3:uid="{64D2DEE7-D02E-43E9-AB21-F25508FEED9A}" name="Personal Leave" dataDxfId="704" totalsRowDxfId="703"/>
    <tableColumn id="37" xr3:uid="{B2481098-EEC7-49A3-BCD8-5E76DB39CB6E}" name="Adjust Days" dataDxfId="702" totalsRowDxfId="701"/>
    <tableColumn id="10" xr3:uid="{083B4009-1B52-4469-9672-A39F6AC9F6D7}" name="Total Paid Days" totalsRowLabel="Total" dataDxfId="700" totalsRowDxfId="699">
      <calculatedColumnFormula>H4+N4</calculatedColumnFormula>
    </tableColumn>
    <tableColumn id="45" xr3:uid="{A6A58FC5-6421-4EE6-9EF8-DE8EE7E19481}" name="Full OT" dataDxfId="698" totalsRowDxfId="697"/>
    <tableColumn id="12" xr3:uid="{500FA5DC-D262-4AB2-8DB4-E9E81AA2B716}" name="BASIC" dataDxfId="696" totalsRowDxfId="695"/>
    <tableColumn id="13" xr3:uid="{45813FDE-D478-4948-BEAC-4200DDC8795B}" name="DA" dataDxfId="694" totalsRowDxfId="693"/>
    <tableColumn id="14" xr3:uid="{AAC92A55-E980-42F2-9905-DCFBD5F368CB}" name="BASIC + DA" dataDxfId="692" totalsRowDxfId="691"/>
    <tableColumn id="15" xr3:uid="{CC5BA988-C39B-41CD-A5E9-DF82AF7BCAAE}" name="HRA" dataDxfId="690" totalsRowDxfId="689"/>
    <tableColumn id="16" xr3:uid="{D7B89068-CFFC-425B-9C6A-460ECC98863C}" name="Others" dataDxfId="688" totalsRowDxfId="687"/>
    <tableColumn id="17" xr3:uid="{A22F01C3-3C3E-4173-8965-A5B75F7F9D96}" name="GROSS" totalsRowFunction="custom" dataDxfId="686" totalsRowDxfId="685">
      <totalsRowFormula>SUM(Workers[GROSS])-SUM(T13:T15)</totalsRowFormula>
    </tableColumn>
    <tableColumn id="18" xr3:uid="{9E783F01-5860-4782-9670-4B0E11CC347C}" name="Earned  BASIC + DA" dataDxfId="684" totalsRowDxfId="683"/>
    <tableColumn id="19" xr3:uid="{9C9B98DE-33AC-423D-9278-442D4CF071F1}" name="Earned HRA" dataDxfId="682" totalsRowDxfId="681"/>
    <tableColumn id="20" xr3:uid="{7364405E-AF92-40D3-B497-EAC3D08D41E7}" name="Earned Others" dataDxfId="680" totalsRowDxfId="679"/>
    <tableColumn id="21" xr3:uid="{94532B3E-8AAA-4BCB-9626-D536AABF2DA5}" name="Earned TOTAL WAGGES" totalsRowFunction="sum" dataDxfId="678" totalsRowDxfId="677"/>
    <tableColumn id="22" xr3:uid="{ACBA172F-A1A5-4DC7-9E0D-EFA09EC6B920}" name="PF" totalsRowFunction="sum" dataDxfId="676" totalsRowDxfId="675"/>
    <tableColumn id="43" xr3:uid="{F5AA7A69-C7B1-44BA-9C63-06F7E73DBFA9}" name="PF Employer Contribution" totalsRowFunction="sum" dataDxfId="674" totalsRowDxfId="673">
      <calculatedColumnFormula>X4*(12+6)%</calculatedColumnFormula>
    </tableColumn>
    <tableColumn id="23" xr3:uid="{3908D474-0586-4DB5-8976-740CAE61D272}" name="ESI" totalsRowFunction="sum" dataDxfId="672" totalsRowDxfId="671"/>
    <tableColumn id="44" xr3:uid="{E2586487-A85B-4EEC-AC93-2F7476D130F2}" name="ESI Employer Contribution" totalsRowFunction="sum" dataDxfId="670" totalsRowDxfId="669">
      <calculatedColumnFormula>X4*(3.25)%</calculatedColumnFormula>
    </tableColumn>
    <tableColumn id="24" xr3:uid="{98F8D65C-D12F-44C2-AF32-23543CE1DCF3}" name="Deductions" totalsRowFunction="sum" dataDxfId="668" totalsRowDxfId="667"/>
    <tableColumn id="9" xr3:uid="{94FFF136-ECD1-42C5-915E-CF6B88AFA03C}" name="Professiona tax" totalsRowFunction="sum" dataDxfId="666" totalsRowDxfId="665"/>
    <tableColumn id="25" xr3:uid="{E6B3432B-773F-4C55-AAFA-C00D073B4659}" name="Total Deduction" totalsRowFunction="sum" dataDxfId="664" totalsRowDxfId="663">
      <calculatedColumnFormula>Workers[[#This Row],[PF]]+Workers[[#This Row],[ESI]]+Workers[[#This Row],[Deductions]]+Workers[[#This Row],[Professiona tax]]</calculatedColumnFormula>
    </tableColumn>
    <tableColumn id="26" xr3:uid="{0BAD3D05-47E7-473D-9452-C0D60EFFB4A7}" name="NET" totalsRowFunction="sum" dataDxfId="662" totalsRowDxfId="661"/>
    <tableColumn id="27" xr3:uid="{73CDA354-B9DB-436B-9884-3EF583E3F777}" name="SIGN" dataDxfId="660" totalsRowDxfId="659"/>
    <tableColumn id="47" xr3:uid="{23433947-88EC-4A68-A6D7-572F58AEAC0F}" name="EMP NAME" dataDxfId="658" totalsRowDxfId="657">
      <calculatedColumnFormula>Workers[[#This Row],[NAME]]</calculatedColumnFormula>
    </tableColumn>
    <tableColumn id="28" xr3:uid="{22DE3BDD-46F1-42C8-B245-F3B02DFD4E07}" name="IFSC CODE" dataDxfId="656" totalsRowDxfId="655">
      <calculatedColumnFormula>_xlfn.XLOOKUP(Workers[[#This Row],[EMP NAME]],Company_Workers_Bank[EMP NAME],Company_Workers_Bank[IFSC CODE])</calculatedColumnFormula>
    </tableColumn>
    <tableColumn id="30" xr3:uid="{92850F81-BD0E-4BE4-AAE9-E1BC3E932685}" name="ACCOUNT NO" dataDxfId="654" totalsRowDxfId="653">
      <calculatedColumnFormula>_xlfn.XLOOKUP(Workers[[#This Row],[EMP NAME]],Company_Workers_Bank[EMP NAME],Company_Workers_Bank[ACCOUNT NO])</calculatedColumnFormula>
    </tableColumn>
    <tableColumn id="34" xr3:uid="{2CAEA6FD-77C7-4E2D-9D3A-3DD635A52290}" name="AMOUNT OF TRANSFER" totalsRowFunction="custom" dataDxfId="652" totalsRowDxfId="651">
      <calculatedColumnFormula>Workers[[#This Row],[NET]]</calculatedColumnFormula>
      <totalsRowFormula>SUM(AK4:AK15)</totalsRowFormula>
    </tableColumn>
    <tableColumn id="36" xr3:uid="{C711EBD5-FBAA-465D-B4AF-BC261F691EAC}" name="BENEFICIARY'S NAME" dataDxfId="650" totalsRowDxfId="649">
      <calculatedColumnFormula>_xlfn.XLOOKUP(Workers[[#This Row],[EMP NAME]],Company_Workers_Bank[EMP NAME],Company_Workers_Bank[Account Name])</calculatedColumnFormula>
    </tableColumn>
    <tableColumn id="38" xr3:uid="{D98065CB-0612-44FC-B129-2CBB00BFA055}" name="BENFICIARY'S BRANCH NAME" dataDxfId="648" totalsRowDxfId="647">
      <calculatedColumnFormula>_xlfn.XLOOKUP(Workers[[#This Row],[EMP NAME]],Company_Workers_Bank[EMP NAME],Company_Workers_Bank[Branch])</calculatedColumnFormula>
    </tableColumn>
    <tableColumn id="42" xr3:uid="{FE42F65F-08FE-4645-A9E4-BEE26FA2D3F4}" name="BENFICIARY'S BANK NAME" dataDxfId="646" totalsRowDxfId="645">
      <calculatedColumnFormula>_xlfn.XLOOKUP(Workers[[#This Row],[EMP NAME]],Company_Workers_Bank[EMP NAME],Company_Workers_Bank[BANK NAME])</calculatedColumnFormula>
    </tableColumn>
  </tableColumns>
  <tableStyleInfo name="V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282AA7-5977-493D-93F8-192B9B7CE062}" name="Staff" displayName="Staff" ref="A2:X10" totalsRowCount="1" headerRowDxfId="221" dataDxfId="219" totalsRowDxfId="217" headerRowBorderDxfId="220" tableBorderDxfId="218" totalsRowBorderDxfId="216">
  <autoFilter ref="A2:X9" xr:uid="{2E282AA7-5977-493D-93F8-192B9B7CE0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sortState xmlns:xlrd2="http://schemas.microsoft.com/office/spreadsheetml/2017/richdata2" ref="A3:T9">
    <sortCondition ref="C2:C9"/>
  </sortState>
  <tableColumns count="24">
    <tableColumn id="1" xr3:uid="{664E405B-ECC8-45E8-9343-C9298FA35580}" name="S.NO" totalsRowFunction="count" dataDxfId="215" totalsRowDxfId="214"/>
    <tableColumn id="2" xr3:uid="{50AF83E4-BB46-41C3-97A5-64FA9D1A6100}" name="EMP NO" dataDxfId="213" totalsRowDxfId="212"/>
    <tableColumn id="3" xr3:uid="{9EF2E188-D627-46C4-8BC8-59B84FFA1CD8}" name="NAME" dataDxfId="211" totalsRowDxfId="210"/>
    <tableColumn id="8" xr3:uid="{FB30011A-CDFF-4BB5-9D06-A5C3582B72CE}" name="Designation" dataDxfId="209" totalsRowDxfId="208"/>
    <tableColumn id="4" xr3:uid="{21C583A6-3609-4C76-B181-2C06BD305F57}" name="TOTAL DAYS" dataDxfId="207" totalsRowDxfId="206">
      <calculatedColumnFormula>$I$1</calculatedColumnFormula>
    </tableColumn>
    <tableColumn id="18" xr3:uid="{693E0BD1-F999-4540-9216-91B41EDE0D3D}" name="Working Days" dataDxfId="205" totalsRowDxfId="204">
      <calculatedColumnFormula>GETPIVOTDATA("Working Day",#REF!,"Employee Code",Staff[[#This Row],[EMP NO]])</calculatedColumnFormula>
    </tableColumn>
    <tableColumn id="21" xr3:uid="{1ABB96EC-3C72-4594-B606-886557DD5CBB}" name="Paid Holiday" dataDxfId="203" totalsRowDxfId="202">
      <calculatedColumnFormula>GETPIVOTDATA("Paid Holiday",#REF!,"Employee Code",Staff[[#This Row],[EMP NO]])</calculatedColumnFormula>
    </tableColumn>
    <tableColumn id="23" xr3:uid="{C82E74C1-34FB-4166-8E25-4AE2CB3CBE8B}" name="Comp Off" dataDxfId="201" totalsRowDxfId="200">
      <calculatedColumnFormula>GETPIVOTDATA("Comp Off",#REF!,"Employee Code",Staff[[#This Row],[EMP NO]])</calculatedColumnFormula>
    </tableColumn>
    <tableColumn id="25" xr3:uid="{1CCFBFFC-30D6-4CDA-B23D-930AF0522842}" name="Personal Leave" dataDxfId="199" totalsRowDxfId="198">
      <calculatedColumnFormula>GETPIVOTDATA("Personal Leave",#REF!,"Employee Code",Staff[[#This Row],[EMP NO]])</calculatedColumnFormula>
    </tableColumn>
    <tableColumn id="26" xr3:uid="{E13AE663-F87B-4BFA-BC4C-664FCE8679E4}" name="Adjusted in EL Days" dataDxfId="197" totalsRowDxfId="196"/>
    <tableColumn id="27" xr3:uid="{37D9DE5D-4B7E-4CF6-9314-E77DCE1A7A1B}" name="Adjusted in Comp Days" dataDxfId="195" totalsRowDxfId="194"/>
    <tableColumn id="5" xr3:uid="{06556A57-5358-4FDD-BA30-78C6151D1A55}" name="Earned Days" dataDxfId="193" totalsRowDxfId="192">
      <calculatedColumnFormula>Staff[[#This Row],[Working Days]]+Staff[[#This Row],[Paid Holiday]]+Staff[[#This Row],[Comp Off]]+Staff[[#This Row],[Adjusted in EL Days]]+Staff[[#This Row],[Adjusted in Comp Days]]</calculatedColumnFormula>
    </tableColumn>
    <tableColumn id="7" xr3:uid="{3FB4FF27-D8F1-4FDB-8D95-EB0F20234D7A}" name="FIXED SALARY" totalsRowFunction="sum" dataDxfId="191" totalsRowDxfId="190"/>
    <tableColumn id="29" xr3:uid="{89E0763D-A851-4FDF-9BA1-BCFA08303C86}" name="Earned Salary" totalsRowFunction="sum" dataDxfId="189" totalsRowDxfId="188">
      <calculatedColumnFormula>ROUND((M3/E3*L3),0)</calculatedColumnFormula>
    </tableColumn>
    <tableColumn id="9" xr3:uid="{E038A5E4-9F9D-4417-B911-5ADEA5B5B9B0}" name="TAX" totalsRowFunction="sum" dataDxfId="187" totalsRowDxfId="186"/>
    <tableColumn id="30" xr3:uid="{54F7037B-FE16-4601-BF85-CB921B679176}" name="Cash Deductions" totalsRowFunction="sum" dataDxfId="185" totalsRowDxfId="184"/>
    <tableColumn id="10" xr3:uid="{FF64F95A-0273-4B0E-AAC6-5FCB0536CC32}" name="EARN SALARY (After Deductions)" totalsRowFunction="sum" dataDxfId="183" totalsRowDxfId="182">
      <calculatedColumnFormula>Staff[[#This Row],[Earned Salary]]-Staff[[#This Row],[TAX]]-Staff[[#This Row],[Cash Deductions]]</calculatedColumnFormula>
    </tableColumn>
    <tableColumn id="20" xr3:uid="{F08904A7-BE0B-4448-91B8-B712870C3B0A}" name="EMP NAME" dataDxfId="181" totalsRowDxfId="180">
      <calculatedColumnFormula>Staff[[#This Row],[NAME]]</calculatedColumnFormula>
    </tableColumn>
    <tableColumn id="11" xr3:uid="{4A91548F-DAC9-410A-9F9C-7EDE6948ADED}" name="IFSC CODE" dataDxfId="179" totalsRowDxfId="178">
      <calculatedColumnFormula>_xlfn.XLOOKUP(Staff[[#This Row],[EMP NAME]],Staff_Bank[EMP NAME],Staff_Bank[IFSC CODE])</calculatedColumnFormula>
    </tableColumn>
    <tableColumn id="15" xr3:uid="{44F281FF-2403-4B17-9981-6507E46E0692}" name="ACCOUNT NO" dataDxfId="177" totalsRowDxfId="176">
      <calculatedColumnFormula>_xlfn.XLOOKUP(Staff[[#This Row],[EMP NAME]],Staff_Bank[EMP NAME],Staff_Bank[ACCOUNT NO])</calculatedColumnFormula>
    </tableColumn>
    <tableColumn id="19" xr3:uid="{EA0587EB-3772-43EB-9C3B-5C70D819A6DC}" name="AMOUNT OF TRANSFER" dataDxfId="175" totalsRowDxfId="174">
      <calculatedColumnFormula>Staff[[#This Row],[EARN SALARY (After Deductions)]]</calculatedColumnFormula>
    </tableColumn>
    <tableColumn id="22" xr3:uid="{F3960A24-0A25-47AF-9224-45DD87CB5C32}" name="BENEFICIARY'S NAME" dataDxfId="173" totalsRowDxfId="172">
      <calculatedColumnFormula>_xlfn.XLOOKUP(Staff[[#This Row],[EMP NAME]],Staff_Bank[EMP NAME],Staff_Bank[ACCOUNT NAME])</calculatedColumnFormula>
    </tableColumn>
    <tableColumn id="24" xr3:uid="{71D85740-12EA-4B20-8D0B-DD9CEB9A39F2}" name="BENFICIARY'S BRANCH NAME" dataDxfId="171" totalsRowDxfId="170">
      <calculatedColumnFormula>_xlfn.XLOOKUP(Staff[[#This Row],[EMP NAME]],Staff_Bank[EMP NAME],Staff_Bank[Branch])</calculatedColumnFormula>
    </tableColumn>
    <tableColumn id="28" xr3:uid="{C16B4816-545B-47B3-92C2-2659CC3C5E30}" name="BENFICIARY'S BANK NAME" totalsRowFunction="count" dataDxfId="169" totalsRowDxfId="168">
      <calculatedColumnFormula>_xlfn.XLOOKUP(Staff[[#This Row],[EMP NAME]],Staff_Bank[EMP NAME],Staff_Bank[BANK NAME])</calculatedColumnFormula>
    </tableColumn>
  </tableColumns>
  <tableStyleInfo name="V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3074745-684E-41F2-8D2C-306E5E4E8066}" name="Operators" displayName="Operators" ref="A2:P35" totalsRowShown="0" headerRowDxfId="149" dataDxfId="147" totalsRowDxfId="145" headerRowBorderDxfId="148" tableBorderDxfId="146" headerRowCellStyle="Normal 2" dataCellStyle="Normal 2">
  <autoFilter ref="A2:P35" xr:uid="{E3074745-684E-41F2-8D2C-306E5E4E8066}"/>
  <sortState xmlns:xlrd2="http://schemas.microsoft.com/office/spreadsheetml/2017/richdata2" ref="A3:N26">
    <sortCondition ref="B3:B26"/>
  </sortState>
  <tableColumns count="16">
    <tableColumn id="1" xr3:uid="{C070FA85-6F56-4A38-8613-6E2E4ABC01A0}" name="S.NO" dataDxfId="144" totalsRowDxfId="143" dataCellStyle="Normal 2"/>
    <tableColumn id="3" xr3:uid="{2698FF0B-5C2C-47C8-82EE-003639F0C178}" name="NAME" dataDxfId="142" totalsRowDxfId="141" dataCellStyle="Normal 2"/>
    <tableColumn id="18" xr3:uid="{D6BABF20-5330-41AC-A532-E6E570F3F03C}" name="#Calculated Amount" dataDxfId="140" totalsRowDxfId="139" dataCellStyle="Normal 2"/>
    <tableColumn id="7" xr3:uid="{A4C3287E-1809-48F7-8751-0B4DA465FCA6}" name="Payment Addition" dataDxfId="138" totalsRowDxfId="137"/>
    <tableColumn id="9" xr3:uid="{4A2F0226-CB60-4E93-BCEB-EFC466700C1C}" name="Monthly Deductions" dataDxfId="136" totalsRowDxfId="135" dataCellStyle="Normal 2"/>
    <tableColumn id="5" xr3:uid="{E159CB13-EFAA-4DAA-AE2B-987B6460E54D}" name="salary deductions" dataDxfId="134" totalsRowDxfId="133" dataCellStyle="Normal 2"/>
    <tableColumn id="4" xr3:uid="{36E584D5-F64F-4668-9FA1-314A4D75C98B}" name="Hold salary" dataDxfId="132" totalsRowDxfId="131" dataCellStyle="Normal 2"/>
    <tableColumn id="16" xr3:uid="{5E499179-8D84-4A57-99C3-3DE771E5E488}" name="Earned Salary" dataDxfId="130" totalsRowDxfId="129" dataCellStyle="Normal 2">
      <calculatedColumnFormula>Operators[[#This Row],['#Calculated Amount]]</calculatedColumnFormula>
    </tableColumn>
    <tableColumn id="2" xr3:uid="{417416FA-94CB-4EC4-9970-C20142260656}" name="EMP NAME" dataDxfId="128" totalsRowDxfId="127" dataCellStyle="Normal 2"/>
    <tableColumn id="20" xr3:uid="{35C65BDD-9958-4D58-B128-4CBFAAB60CE9}" name="IFSC CODE" dataDxfId="126" totalsRowDxfId="125" dataCellStyle="Normal 2">
      <calculatedColumnFormula>_xlfn.XLOOKUP(Operators[[#This Row],[EMP NAME]],Operator_Bank[Emp Name],Operator_Bank[IFSC CODE])</calculatedColumnFormula>
    </tableColumn>
    <tableColumn id="21" xr3:uid="{35A260BB-A85F-4FDB-9AC2-AF92F61BEF86}" name="ACCOUNT NO" dataDxfId="124" totalsRowDxfId="123" dataCellStyle="Normal 2">
      <calculatedColumnFormula>_xlfn.XLOOKUP(Operators[[#This Row],[EMP NAME]],Operator_Bank[Emp Name],Operator_Bank[ACCOUNT NO])</calculatedColumnFormula>
    </tableColumn>
    <tableColumn id="6" xr3:uid="{30AA69F9-EC38-4A97-B235-45D4E65E5762}" name="AMOUNT OF TRANSFER" dataDxfId="122" totalsRowDxfId="121" dataCellStyle="Normal 2">
      <calculatedColumnFormula>Operators[[#This Row],[Earned Salary]]</calculatedColumnFormula>
    </tableColumn>
    <tableColumn id="11" xr3:uid="{30F25404-013E-479D-A591-AA31C70D93E6}" name="BENEFICIARY'S NAME" dataDxfId="120" totalsRowDxfId="119" dataCellStyle="Normal 2">
      <calculatedColumnFormula>'Bank Details'!B30</calculatedColumnFormula>
    </tableColumn>
    <tableColumn id="13" xr3:uid="{F0B071FD-5866-4574-A577-62DD72751D6B}" name="BENFICIARY'S BRANCH NAME" dataDxfId="118" totalsRowDxfId="117" dataCellStyle="Normal 2">
      <calculatedColumnFormula>_xlfn.XLOOKUP(Operators[[#This Row],[EMP NAME]],Operator_Bank[Emp Name],Operator_Bank[Branch])</calculatedColumnFormula>
    </tableColumn>
    <tableColumn id="25" xr3:uid="{6A6FED66-9A75-4354-B436-5EB3808932B3}" name="BENFICIARY'S BANK NAME" dataDxfId="116" totalsRowDxfId="115" dataCellStyle="Normal 2">
      <calculatedColumnFormula>_xlfn.XLOOKUP(Operators[[#This Row],[EMP NAME]],Operator_Bank[Emp Name],Operator_Bank[BANK NAME])</calculatedColumnFormula>
    </tableColumn>
    <tableColumn id="8" xr3:uid="{E7871797-0409-4DAE-8EE6-277D3B6BCD8C}" name="Column1" dataDxfId="114" totalsRowDxfId="113" dataCellStyle="Normal 2"/>
  </tableColumns>
  <tableStyleInfo name="V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5EE816-F521-4B43-9996-2E7A164C811A}" name="I_B" displayName="I_B" ref="A2:L6" totalsRowCount="1" headerRowDxfId="108" dataDxfId="106" totalsRowDxfId="104" headerRowBorderDxfId="107" tableBorderDxfId="105">
  <autoFilter ref="A2:L5" xr:uid="{45F0E593-271B-44E7-AADE-6C76418184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DF332766-2643-4C14-9629-FAFC607F60C3}" name="S.NO" totalsRowFunction="custom" dataDxfId="103" totalsRowDxfId="102">
      <calculatedColumnFormula>ROW() - ROW(I_B[[#Headers],[S.NO]])</calculatedColumnFormula>
      <totalsRowFormula>COUNT(I_B[S.NO])</totalsRowFormula>
    </tableColumn>
    <tableColumn id="2" xr3:uid="{B291CD35-93C9-4E8F-A793-6C99932F8F5A}" name="IRONING &amp; BARTCAK" dataDxfId="101" totalsRowDxfId="100"/>
    <tableColumn id="3" xr3:uid="{4F3151D6-8DF3-439E-B575-A3A8D62EDC57}" name="NAME" dataDxfId="99" totalsRowDxfId="98"/>
    <tableColumn id="8" xr3:uid="{EA393D6E-0726-4CF2-8A9B-0D84E4B24924}" name="Piece Rate Payment" totalsRowFunction="custom" dataDxfId="97" totalsRowDxfId="96">
      <totalsRowFormula>SUM(D3:D5)</totalsRowFormula>
    </tableColumn>
    <tableColumn id="9" xr3:uid="{8280A37F-40AF-4779-BA55-7DC4C516EA89}" name="Deductions" totalsRowFunction="custom" dataDxfId="95" totalsRowDxfId="94">
      <totalsRowFormula>SUM(E3:E5)</totalsRowFormula>
    </tableColumn>
    <tableColumn id="16" xr3:uid="{710F9A16-F7B6-4B52-891D-6A32F6E01501}" name="EARN SALARY" totalsRowFunction="custom" dataDxfId="93" totalsRowDxfId="92">
      <calculatedColumnFormula>I_B[[#This Row],[Piece Rate Payment]]-I_B[[#This Row],[Deductions]]</calculatedColumnFormula>
      <totalsRowFormula>SUM(F3:F5)</totalsRowFormula>
    </tableColumn>
    <tableColumn id="10" xr3:uid="{44FDEC7D-EC2D-4459-94D4-24B615CB67BF}" name="EMP NAME" dataDxfId="91" totalsRowDxfId="90">
      <calculatedColumnFormula>I_B[[#This Row],[NAME]]</calculatedColumnFormula>
    </tableColumn>
    <tableColumn id="6" xr3:uid="{FBF49472-5649-4320-AB32-449EB4E81DA3}" name="IFSC CODE" dataDxfId="89" totalsRowDxfId="88">
      <calculatedColumnFormula>_xlfn.XLOOKUP(I_B[[#This Row],[EMP NAME]],I_B_Bank[EMP NAME],I_B_Bank[IFSC CODE])</calculatedColumnFormula>
    </tableColumn>
    <tableColumn id="7" xr3:uid="{CB3625E2-8419-4CAE-83E9-45A71460864B}" name="ACCOUNT NO" dataDxfId="87" totalsRowDxfId="86">
      <calculatedColumnFormula>_xlfn.XLOOKUP(I_B[[#This Row],[EMP NAME]],I_B_Bank[EMP NAME],I_B_Bank[ACCOUNT NO])</calculatedColumnFormula>
    </tableColumn>
    <tableColumn id="11" xr3:uid="{4A1D6742-42AD-46D5-AC97-4F0189F0CA0A}" name="AMOUNT OF TRANSFER" dataDxfId="85" totalsRowDxfId="84">
      <calculatedColumnFormula>I_B[[#This Row],[EARN SALARY]]</calculatedColumnFormula>
    </tableColumn>
    <tableColumn id="13" xr3:uid="{E341AC11-3B12-4F8E-9FA0-57EA17784F83}" name="BENFICIARY'S BRANCH NAME" dataDxfId="83" totalsRowDxfId="82">
      <calculatedColumnFormula>_xlfn.XLOOKUP(I_B[[#This Row],[EMP NAME]],I_B_Bank[EMP NAME],I_B_Bank[Branch])</calculatedColumnFormula>
    </tableColumn>
    <tableColumn id="14" xr3:uid="{683973D5-DFC1-4A41-A08E-2BD3676F44E0}" name="BENFICIARY'S BANK NAME" dataDxfId="81" totalsRowDxfId="80">
      <calculatedColumnFormula>_xlfn.XLOOKUP(I_B[[#This Row],[EMP NAME]],I_B_Bank[EMP NAME],I_B_Bank[BANK NAME])</calculatedColumnFormula>
    </tableColumn>
  </tableColumns>
  <tableStyleInfo name="V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37FC03-E81A-437D-9697-00036C9F3881}" name="Operator_Bank" displayName="Operator_Bank" ref="A2:F52" totalsRowShown="0" headerRowDxfId="63" dataDxfId="61" headerRowBorderDxfId="62" tableBorderDxfId="60">
  <autoFilter ref="A2:F52" xr:uid="{06B3A5C0-2C1B-4FE8-98F3-2310620F390E}"/>
  <tableColumns count="6">
    <tableColumn id="1" xr3:uid="{1B110958-78ED-4D64-893B-0581C9126EA7}" name="Emp Name" dataDxfId="59"/>
    <tableColumn id="6" xr3:uid="{BEF9888B-EA17-4830-A6B8-9E41E67568D6}" name="Account Name" dataDxfId="58"/>
    <tableColumn id="2" xr3:uid="{903EDEEF-9B1A-4802-84D4-2B78179E529D}" name="BANK NAME" dataDxfId="57"/>
    <tableColumn id="3" xr3:uid="{C13B3827-0348-4454-BCBD-2A4C51A41A62}" name="ACCOUNT NO" dataDxfId="56"/>
    <tableColumn id="4" xr3:uid="{1525F861-A980-4D9B-8A08-E492CC95CFC1}" name="IFSC CODE" dataDxfId="55"/>
    <tableColumn id="5" xr3:uid="{C6615E0E-A1CB-4596-B888-699F6C225BA6}" name="Branch" dataDxfId="54"/>
  </tableColumns>
  <tableStyleInfo name="V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2DD44E-0E5B-4B5C-AB7C-0F9D6B4AE64E}" name="Staff_Bank" displayName="Staff_Bank" ref="A54:F63" totalsRowShown="0" headerRowDxfId="53" dataDxfId="51" headerRowBorderDxfId="52" tableBorderDxfId="50">
  <autoFilter ref="A54:F63" xr:uid="{705637CE-FB44-4505-8949-1CFD9F9B4489}"/>
  <tableColumns count="6">
    <tableColumn id="1" xr3:uid="{DA03E33E-EC43-4EC4-93A3-E98958A7FA62}" name="EMP NAME" dataDxfId="49"/>
    <tableColumn id="6" xr3:uid="{2D3A8AF8-ACBF-490F-A644-F6F9F3A0B4E3}" name="ACCOUNT NAME" dataDxfId="48"/>
    <tableColumn id="2" xr3:uid="{2726CCAB-B7BC-448D-A045-206ACAC96D8E}" name="BANK NAME" dataDxfId="47"/>
    <tableColumn id="3" xr3:uid="{9E4C7533-7833-4D73-98AF-5752CE2DEF88}" name="ACCOUNT NO" dataDxfId="46"/>
    <tableColumn id="4" xr3:uid="{A9A24099-68D0-491F-A0F9-A3DCD380E6FB}" name="IFSC CODE" dataDxfId="45"/>
    <tableColumn id="5" xr3:uid="{919FBE83-FD74-4829-8001-BCBB6B809509}" name="Branch" dataDxfId="44"/>
  </tableColumns>
  <tableStyleInfo name="V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B990465-35FA-4F5C-A405-215EF6B5A11C}" name="I_B_Bank" displayName="I_B_Bank" ref="A67:F80" totalsRowShown="0" headerRowDxfId="43" dataDxfId="41" headerRowBorderDxfId="42" tableBorderDxfId="40">
  <autoFilter ref="A67:F80" xr:uid="{7AFD41F6-D8AF-42B9-BEDC-4851CACFEF75}"/>
  <tableColumns count="6">
    <tableColumn id="6" xr3:uid="{36AF16B8-FEA3-4F3C-8BA1-C4D9BA19E2F1}" name="EMP NAME" dataDxfId="39"/>
    <tableColumn id="1" xr3:uid="{3AFB5F61-1254-46FA-A398-31F0A79B5F5A}" name="Account Name" dataDxfId="38"/>
    <tableColumn id="2" xr3:uid="{8A9675B6-98F6-468D-BD24-ED01CFA80EF6}" name="BANK NAME" dataDxfId="37"/>
    <tableColumn id="3" xr3:uid="{81A963DD-D366-4319-BDE2-0845E332DF66}" name="ACCOUNT NO" dataDxfId="36"/>
    <tableColumn id="4" xr3:uid="{B69368D1-3BFC-4F15-BCBA-6A49401F006E}" name="IFSC CODE" dataDxfId="35"/>
    <tableColumn id="5" xr3:uid="{EA7C69F4-B27C-4FC1-9F84-7EC629E51C7A}" name="Branch" dataDxfId="34"/>
  </tableColumns>
  <tableStyleInfo name="V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AB6A1C7-F13E-41BC-B028-9169F34EB5BF}" name="Helpers_Bank" displayName="Helpers_Bank" ref="A84:F100" totalsRowShown="0" headerRowDxfId="33" dataDxfId="31" headerRowBorderDxfId="32" tableBorderDxfId="30">
  <autoFilter ref="A84:F100" xr:uid="{438587FF-8E97-44A0-B3D7-58BF79CB5E9E}"/>
  <tableColumns count="6">
    <tableColumn id="6" xr3:uid="{26D0B96C-D93F-457E-A890-0AFC304BBB93}" name="EMP NAME" dataDxfId="29"/>
    <tableColumn id="1" xr3:uid="{6B38E404-D1BA-4F30-84D9-5F63BCEB6F43}" name="Account Name" dataDxfId="28"/>
    <tableColumn id="2" xr3:uid="{9573B9AD-BFC3-49E7-BA12-B6FDE6D9B761}" name="BANK NAME" dataDxfId="27"/>
    <tableColumn id="3" xr3:uid="{BCE9C6C4-AC10-45FC-BCE7-375DCBFCC5DB}" name="ACCOUNT NO" dataDxfId="26"/>
    <tableColumn id="4" xr3:uid="{3B265670-2DEE-4DD5-A3D4-29372CEE37B0}" name="IFSC CODE" dataDxfId="25"/>
    <tableColumn id="5" xr3:uid="{33448343-E505-45C8-8481-B8C5E85858CA}" name="Branch" dataDxfId="24"/>
  </tableColumns>
  <tableStyleInfo name="V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A2DE203-1687-455E-9333-9A8395047649}" name="Company_Workers_Bank" displayName="Company_Workers_Bank" ref="A102:F116" totalsRowShown="0" headerRowDxfId="23" dataDxfId="21" headerRowBorderDxfId="22" tableBorderDxfId="20" totalsRowBorderDxfId="19">
  <autoFilter ref="A102:F116" xr:uid="{3A822CA8-3F6F-4CBA-A349-B09E32827A59}"/>
  <tableColumns count="6">
    <tableColumn id="6" xr3:uid="{51E7288B-6F4F-4C26-9C04-507ED6827F94}" name="EMP NAME" dataDxfId="18"/>
    <tableColumn id="1" xr3:uid="{049254F3-029E-413C-A11C-2B7D366D6C6F}" name="Account Name" dataDxfId="17"/>
    <tableColumn id="2" xr3:uid="{AFEACB53-10DD-4F2D-8201-ACC45EFB17F8}" name="BANK NAME" dataDxfId="16"/>
    <tableColumn id="3" xr3:uid="{F6CEB893-E216-49B3-996F-F54140C388E1}" name="ACCOUNT NO" dataDxfId="15"/>
    <tableColumn id="4" xr3:uid="{DD42B1DB-C501-4319-94A9-401504EFEF9F}" name="IFSC CODE" dataDxfId="14"/>
    <tableColumn id="5" xr3:uid="{6B2BE46A-498F-4DAE-93F9-2CE8782CB632}" name="Branch" dataDxfId="1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E1EE062-92C1-4554-8F8A-CDEAB5A39456}" name="Fixed_Payment_Bank" displayName="Fixed_Payment_Bank" ref="A119:F123" totalsRowShown="0" headerRowDxfId="12" dataDxfId="10" headerRowBorderDxfId="11" tableBorderDxfId="9" totalsRowBorderDxfId="8">
  <autoFilter ref="A119:F123" xr:uid="{AE1EE062-92C1-4554-8F8A-CDEAB5A39456}"/>
  <tableColumns count="6">
    <tableColumn id="1" xr3:uid="{7B9D9FCC-FEF7-4B56-BF5D-51BB9252772F}" name="EMP NAME" dataDxfId="7"/>
    <tableColumn id="2" xr3:uid="{A8BA4B38-49AB-40E5-8A80-B9E13F01E2FD}" name="ACCOUNT NAME" dataDxfId="6"/>
    <tableColumn id="3" xr3:uid="{251B9D04-21C3-49F1-BEB8-C8EE6B47057C}" name="BANK NAME" dataDxfId="5"/>
    <tableColumn id="4" xr3:uid="{5EC92F3A-6B0D-4075-BF79-9E368384422F}" name="ACCOUNT NO" dataDxfId="4"/>
    <tableColumn id="5" xr3:uid="{9229C990-F9B6-4F93-9766-A87676DECE9E}" name="IFSC CODE" dataDxfId="3"/>
    <tableColumn id="6" xr3:uid="{4F268302-D812-4AC9-AFD9-EFAC25AF1E0F}" name="Branch" dataDxfId="2"/>
  </tableColumns>
  <tableStyleInfo name="V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137D8C3-940F-476D-9424-C310267F8DF8}" name="Attendance_Table" displayName="Attendance_Table" ref="B1:C6" totalsRowShown="0">
  <autoFilter ref="B1:C6" xr:uid="{9137D8C3-940F-476D-9424-C310267F8DF8}"/>
  <tableColumns count="2">
    <tableColumn id="1" xr3:uid="{C97B457E-301A-4146-8FB7-DE7D17C0CE36}" name="EmpCode" dataDxfId="1"/>
    <tableColumn id="2" xr3:uid="{9167A8E6-85F5-4811-A4AF-B1DE1B1689B5}" name="Present Day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6-08-04T10:19:02.32" personId="{0EA12C0C-E59E-42DD-9F22-0971BCE862BC}" id="{12F74C7B-5C14-4C69-8093-0D2CC7C6E13C}">
    <text>19.07.2026 CMP PAID &amp; 2.08.2026 CMP PAID</text>
  </threadedComment>
  <threadedComment ref="K6" dT="2026-08-04T10:20:08.70" personId="{0EA12C0C-E59E-42DD-9F22-0971BCE862BC}" id="{E9DCF294-D4EE-40EC-BF8B-E85AFD4B7BB4}">
    <text>19.O6.2026 CMP PAID &amp; 26.07.26 (BOILER CMP UP PAID</text>
  </threadedComment>
  <threadedComment ref="K8" dT="2026-08-04T10:20:32.19" personId="{0EA12C0C-E59E-42DD-9F22-0971BCE862BC}" id="{8889DE83-996F-45FC-B6F9-2FC2958A7703}">
    <text>19.06.206 CMP PAID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4.xml"/><Relationship Id="rId4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5BEDA-808C-47AF-9859-07AD1E4A16CB}">
  <sheetPr codeName="Sheet2"/>
  <dimension ref="A1:AA1024"/>
  <sheetViews>
    <sheetView topLeftCell="AJ1" workbookViewId="0">
      <selection activeCell="BF6" sqref="BF6"/>
    </sheetView>
  </sheetViews>
  <sheetFormatPr defaultColWidth="8.77734375" defaultRowHeight="14.4" x14ac:dyDescent="0.3"/>
  <cols>
    <col min="1" max="1" width="16.44140625" bestFit="1" customWidth="1"/>
    <col min="2" max="2" width="15.44140625" bestFit="1" customWidth="1"/>
    <col min="3" max="3" width="16" bestFit="1" customWidth="1"/>
    <col min="4" max="4" width="15.109375" bestFit="1" customWidth="1"/>
    <col min="5" max="5" width="11.77734375" bestFit="1" customWidth="1"/>
    <col min="6" max="6" width="80.77734375" bestFit="1" customWidth="1"/>
    <col min="7" max="7" width="10.44140625" bestFit="1" customWidth="1"/>
    <col min="8" max="8" width="20.77734375" bestFit="1" customWidth="1"/>
    <col min="9" max="9" width="24.6640625" bestFit="1" customWidth="1"/>
    <col min="10" max="10" width="13.109375" bestFit="1" customWidth="1"/>
    <col min="11" max="11" width="7.109375" bestFit="1" customWidth="1"/>
    <col min="12" max="13" width="8.109375" bestFit="1" customWidth="1"/>
    <col min="14" max="14" width="13.77734375" bestFit="1" customWidth="1"/>
    <col min="15" max="15" width="8.77734375" bestFit="1" customWidth="1"/>
    <col min="16" max="16" width="13.44140625" bestFit="1" customWidth="1"/>
    <col min="17" max="17" width="9.33203125" bestFit="1" customWidth="1"/>
    <col min="18" max="18" width="14.77734375" bestFit="1" customWidth="1"/>
    <col min="19" max="19" width="16.109375" bestFit="1" customWidth="1"/>
    <col min="20" max="20" width="24.44140625" bestFit="1" customWidth="1"/>
    <col min="21" max="21" width="13" bestFit="1" customWidth="1"/>
    <col min="22" max="22" width="17.44140625" bestFit="1" customWidth="1"/>
    <col min="23" max="23" width="9.6640625" bestFit="1" customWidth="1"/>
    <col min="24" max="24" width="10.33203125" bestFit="1" customWidth="1"/>
    <col min="25" max="25" width="9.44140625" bestFit="1" customWidth="1"/>
    <col min="26" max="26" width="13.6640625" bestFit="1" customWidth="1"/>
    <col min="27" max="27" width="10.77734375" bestFit="1" customWidth="1"/>
    <col min="28" max="28" width="13.44140625" bestFit="1" customWidth="1"/>
    <col min="29" max="29" width="10.6640625" customWidth="1"/>
  </cols>
  <sheetData>
    <row r="1" spans="1:27" x14ac:dyDescent="0.3">
      <c r="A1" t="s">
        <v>209</v>
      </c>
      <c r="B1" t="s">
        <v>368</v>
      </c>
      <c r="C1" t="s">
        <v>395</v>
      </c>
      <c r="D1" t="s">
        <v>393</v>
      </c>
      <c r="E1" t="s">
        <v>396</v>
      </c>
      <c r="F1" t="s">
        <v>486</v>
      </c>
      <c r="G1" t="s">
        <v>214</v>
      </c>
      <c r="H1" t="s">
        <v>369</v>
      </c>
      <c r="I1" t="s">
        <v>370</v>
      </c>
      <c r="J1" t="s">
        <v>89</v>
      </c>
      <c r="K1" t="s">
        <v>371</v>
      </c>
      <c r="L1" t="s">
        <v>372</v>
      </c>
      <c r="M1" t="s">
        <v>373</v>
      </c>
      <c r="N1" t="s">
        <v>222</v>
      </c>
      <c r="O1" t="s">
        <v>374</v>
      </c>
      <c r="P1" t="s">
        <v>375</v>
      </c>
      <c r="Q1" t="s">
        <v>376</v>
      </c>
      <c r="R1" t="s">
        <v>377</v>
      </c>
      <c r="S1" t="s">
        <v>378</v>
      </c>
      <c r="T1" t="s">
        <v>221</v>
      </c>
      <c r="U1" t="s">
        <v>225</v>
      </c>
      <c r="V1" t="s">
        <v>379</v>
      </c>
      <c r="W1" t="s">
        <v>380</v>
      </c>
      <c r="X1" t="s">
        <v>381</v>
      </c>
      <c r="Y1" t="s">
        <v>362</v>
      </c>
      <c r="Z1" t="s">
        <v>388</v>
      </c>
      <c r="AA1" t="s">
        <v>363</v>
      </c>
    </row>
    <row r="2" spans="1:27" x14ac:dyDescent="0.3">
      <c r="A2">
        <v>5</v>
      </c>
      <c r="B2">
        <v>6</v>
      </c>
      <c r="C2">
        <v>21</v>
      </c>
      <c r="D2">
        <v>0</v>
      </c>
      <c r="E2">
        <v>0</v>
      </c>
      <c r="F2" t="s">
        <v>860</v>
      </c>
      <c r="G2" s="101">
        <v>46204</v>
      </c>
      <c r="H2" t="s">
        <v>95</v>
      </c>
      <c r="I2" t="s">
        <v>413</v>
      </c>
      <c r="J2" t="s">
        <v>414</v>
      </c>
      <c r="K2" t="s">
        <v>382</v>
      </c>
      <c r="L2" s="39">
        <v>0.37391203703703701</v>
      </c>
      <c r="M2" s="39">
        <v>0.72916666666666663</v>
      </c>
      <c r="N2">
        <v>8.5299999999999994</v>
      </c>
      <c r="O2" t="s">
        <v>861</v>
      </c>
      <c r="P2">
        <v>0</v>
      </c>
      <c r="Q2" t="s">
        <v>418</v>
      </c>
      <c r="R2">
        <v>0</v>
      </c>
      <c r="S2">
        <v>0</v>
      </c>
      <c r="T2" t="s">
        <v>415</v>
      </c>
      <c r="U2" t="s">
        <v>108</v>
      </c>
      <c r="V2" s="101">
        <v>46204</v>
      </c>
      <c r="W2">
        <v>1</v>
      </c>
      <c r="X2">
        <v>1</v>
      </c>
      <c r="Y2">
        <v>0</v>
      </c>
      <c r="Z2">
        <v>0</v>
      </c>
      <c r="AA2">
        <v>0</v>
      </c>
    </row>
    <row r="3" spans="1:27" x14ac:dyDescent="0.3">
      <c r="A3">
        <v>5</v>
      </c>
      <c r="B3">
        <v>6</v>
      </c>
      <c r="C3">
        <v>21</v>
      </c>
      <c r="D3">
        <v>0</v>
      </c>
      <c r="E3">
        <v>0</v>
      </c>
      <c r="F3" t="s">
        <v>860</v>
      </c>
      <c r="G3" s="101">
        <v>46205</v>
      </c>
      <c r="H3" t="s">
        <v>95</v>
      </c>
      <c r="I3" t="s">
        <v>413</v>
      </c>
      <c r="J3" t="s">
        <v>414</v>
      </c>
      <c r="K3" t="s">
        <v>383</v>
      </c>
      <c r="L3" s="39">
        <v>0</v>
      </c>
      <c r="M3" s="39">
        <v>0</v>
      </c>
      <c r="N3">
        <v>0</v>
      </c>
      <c r="O3" t="s">
        <v>384</v>
      </c>
      <c r="P3">
        <v>9</v>
      </c>
      <c r="Q3" t="s">
        <v>385</v>
      </c>
      <c r="R3">
        <v>0</v>
      </c>
      <c r="S3">
        <v>9</v>
      </c>
      <c r="T3" t="s">
        <v>415</v>
      </c>
      <c r="U3" t="s">
        <v>366</v>
      </c>
      <c r="V3" s="101">
        <v>46205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 x14ac:dyDescent="0.3">
      <c r="A4">
        <v>5</v>
      </c>
      <c r="B4">
        <v>6</v>
      </c>
      <c r="C4">
        <v>21</v>
      </c>
      <c r="D4">
        <v>0</v>
      </c>
      <c r="E4">
        <v>0</v>
      </c>
      <c r="F4" t="s">
        <v>860</v>
      </c>
      <c r="G4" s="101">
        <v>46206</v>
      </c>
      <c r="H4" t="s">
        <v>95</v>
      </c>
      <c r="I4" t="s">
        <v>413</v>
      </c>
      <c r="J4" t="s">
        <v>414</v>
      </c>
      <c r="K4" t="s">
        <v>383</v>
      </c>
      <c r="L4" s="39">
        <v>0</v>
      </c>
      <c r="M4" s="39">
        <v>0</v>
      </c>
      <c r="N4">
        <v>0</v>
      </c>
      <c r="O4" t="s">
        <v>384</v>
      </c>
      <c r="P4">
        <v>9</v>
      </c>
      <c r="Q4" t="s">
        <v>385</v>
      </c>
      <c r="R4">
        <v>0</v>
      </c>
      <c r="S4">
        <v>9</v>
      </c>
      <c r="T4" t="s">
        <v>415</v>
      </c>
      <c r="U4" t="s">
        <v>366</v>
      </c>
      <c r="V4" s="101">
        <v>46206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 x14ac:dyDescent="0.3">
      <c r="A5">
        <v>5</v>
      </c>
      <c r="B5">
        <v>6</v>
      </c>
      <c r="C5">
        <v>21</v>
      </c>
      <c r="D5">
        <v>0</v>
      </c>
      <c r="E5">
        <v>0</v>
      </c>
      <c r="F5" t="s">
        <v>860</v>
      </c>
      <c r="G5" s="101">
        <v>46207</v>
      </c>
      <c r="H5" t="s">
        <v>95</v>
      </c>
      <c r="I5" t="s">
        <v>413</v>
      </c>
      <c r="J5" t="s">
        <v>414</v>
      </c>
      <c r="K5" t="s">
        <v>382</v>
      </c>
      <c r="L5" s="39">
        <v>0.37363425925925925</v>
      </c>
      <c r="M5" s="39">
        <v>0.76164351851851853</v>
      </c>
      <c r="N5">
        <v>9.31</v>
      </c>
      <c r="O5" t="s">
        <v>521</v>
      </c>
      <c r="P5">
        <v>0</v>
      </c>
      <c r="Q5" t="s">
        <v>862</v>
      </c>
      <c r="R5">
        <v>0.78</v>
      </c>
      <c r="S5">
        <v>0.78</v>
      </c>
      <c r="T5" t="s">
        <v>415</v>
      </c>
      <c r="U5" t="s">
        <v>108</v>
      </c>
      <c r="V5" s="101">
        <v>46207</v>
      </c>
      <c r="W5">
        <v>1</v>
      </c>
      <c r="X5">
        <v>1</v>
      </c>
      <c r="Y5">
        <v>0</v>
      </c>
      <c r="Z5">
        <v>0</v>
      </c>
      <c r="AA5">
        <v>0</v>
      </c>
    </row>
    <row r="6" spans="1:27" x14ac:dyDescent="0.3">
      <c r="A6">
        <v>5</v>
      </c>
      <c r="B6">
        <v>6</v>
      </c>
      <c r="C6">
        <v>21</v>
      </c>
      <c r="D6">
        <v>0</v>
      </c>
      <c r="E6">
        <v>0</v>
      </c>
      <c r="F6" t="s">
        <v>860</v>
      </c>
      <c r="G6" s="101">
        <v>46208</v>
      </c>
      <c r="H6" t="s">
        <v>95</v>
      </c>
      <c r="I6" t="s">
        <v>413</v>
      </c>
      <c r="J6" t="s">
        <v>414</v>
      </c>
      <c r="K6" t="s">
        <v>382</v>
      </c>
      <c r="L6" s="39">
        <v>0.375</v>
      </c>
      <c r="M6" s="39">
        <v>0.52710648148148154</v>
      </c>
      <c r="N6">
        <v>3.65</v>
      </c>
      <c r="O6" t="s">
        <v>418</v>
      </c>
      <c r="P6">
        <v>0</v>
      </c>
      <c r="Q6" t="s">
        <v>863</v>
      </c>
      <c r="R6">
        <v>0</v>
      </c>
      <c r="S6">
        <v>0</v>
      </c>
      <c r="T6" t="s">
        <v>415</v>
      </c>
      <c r="U6" t="s">
        <v>314</v>
      </c>
      <c r="V6" s="101">
        <v>46208</v>
      </c>
      <c r="W6">
        <v>0.5</v>
      </c>
      <c r="X6">
        <v>0</v>
      </c>
      <c r="Y6">
        <v>0.5</v>
      </c>
      <c r="Z6">
        <v>0</v>
      </c>
      <c r="AA6">
        <v>0</v>
      </c>
    </row>
    <row r="7" spans="1:27" x14ac:dyDescent="0.3">
      <c r="A7">
        <v>5</v>
      </c>
      <c r="B7">
        <v>6</v>
      </c>
      <c r="C7">
        <v>21</v>
      </c>
      <c r="D7">
        <v>0</v>
      </c>
      <c r="E7">
        <v>0</v>
      </c>
      <c r="F7" t="s">
        <v>860</v>
      </c>
      <c r="G7" s="101">
        <v>46209</v>
      </c>
      <c r="H7" t="s">
        <v>95</v>
      </c>
      <c r="I7" t="s">
        <v>413</v>
      </c>
      <c r="J7" t="s">
        <v>414</v>
      </c>
      <c r="K7" t="s">
        <v>382</v>
      </c>
      <c r="L7" s="39">
        <v>0.37289351851851854</v>
      </c>
      <c r="M7" s="39">
        <v>0.79201388888888891</v>
      </c>
      <c r="N7">
        <v>10.06</v>
      </c>
      <c r="O7" t="s">
        <v>837</v>
      </c>
      <c r="P7">
        <v>0</v>
      </c>
      <c r="Q7" t="s">
        <v>864</v>
      </c>
      <c r="R7">
        <v>1.51</v>
      </c>
      <c r="S7">
        <v>1.51</v>
      </c>
      <c r="T7" t="s">
        <v>415</v>
      </c>
      <c r="U7" t="s">
        <v>108</v>
      </c>
      <c r="V7" s="101">
        <v>46209</v>
      </c>
      <c r="W7">
        <v>1</v>
      </c>
      <c r="X7">
        <v>1</v>
      </c>
      <c r="Y7">
        <v>0</v>
      </c>
      <c r="Z7">
        <v>0</v>
      </c>
      <c r="AA7">
        <v>0</v>
      </c>
    </row>
    <row r="8" spans="1:27" x14ac:dyDescent="0.3">
      <c r="A8">
        <v>5</v>
      </c>
      <c r="B8">
        <v>6</v>
      </c>
      <c r="C8">
        <v>21</v>
      </c>
      <c r="D8">
        <v>0</v>
      </c>
      <c r="E8">
        <v>0</v>
      </c>
      <c r="F8" t="s">
        <v>860</v>
      </c>
      <c r="G8" s="101">
        <v>46210</v>
      </c>
      <c r="H8" t="s">
        <v>95</v>
      </c>
      <c r="I8" t="s">
        <v>413</v>
      </c>
      <c r="J8" t="s">
        <v>414</v>
      </c>
      <c r="K8" t="s">
        <v>382</v>
      </c>
      <c r="L8" s="39">
        <v>0.37119212962962961</v>
      </c>
      <c r="M8" s="39">
        <v>0.81368055555555552</v>
      </c>
      <c r="N8">
        <v>10.62</v>
      </c>
      <c r="O8" t="s">
        <v>865</v>
      </c>
      <c r="P8">
        <v>0</v>
      </c>
      <c r="Q8" t="s">
        <v>866</v>
      </c>
      <c r="R8">
        <v>2.0299999999999998</v>
      </c>
      <c r="S8">
        <v>2.0299999999999998</v>
      </c>
      <c r="T8" t="s">
        <v>415</v>
      </c>
      <c r="U8" t="s">
        <v>108</v>
      </c>
      <c r="V8" s="101">
        <v>46210</v>
      </c>
      <c r="W8">
        <v>1</v>
      </c>
      <c r="X8">
        <v>1</v>
      </c>
      <c r="Y8">
        <v>0</v>
      </c>
      <c r="Z8">
        <v>0</v>
      </c>
      <c r="AA8">
        <v>0</v>
      </c>
    </row>
    <row r="9" spans="1:27" x14ac:dyDescent="0.3">
      <c r="A9">
        <v>5</v>
      </c>
      <c r="B9">
        <v>6</v>
      </c>
      <c r="C9">
        <v>21</v>
      </c>
      <c r="D9">
        <v>0</v>
      </c>
      <c r="E9">
        <v>0</v>
      </c>
      <c r="F9" t="s">
        <v>860</v>
      </c>
      <c r="G9" s="101">
        <v>46211</v>
      </c>
      <c r="H9" t="s">
        <v>95</v>
      </c>
      <c r="I9" t="s">
        <v>413</v>
      </c>
      <c r="J9" t="s">
        <v>414</v>
      </c>
      <c r="K9" t="s">
        <v>382</v>
      </c>
      <c r="L9" s="39">
        <v>0.37351851851851853</v>
      </c>
      <c r="M9" s="39">
        <v>0.82210648148148147</v>
      </c>
      <c r="N9">
        <v>10.77</v>
      </c>
      <c r="O9" t="s">
        <v>867</v>
      </c>
      <c r="P9">
        <v>0</v>
      </c>
      <c r="Q9" t="s">
        <v>868</v>
      </c>
      <c r="R9">
        <v>2.23</v>
      </c>
      <c r="S9">
        <v>2.23</v>
      </c>
      <c r="T9" t="s">
        <v>415</v>
      </c>
      <c r="U9" t="s">
        <v>108</v>
      </c>
      <c r="V9" s="101">
        <v>46211</v>
      </c>
      <c r="W9">
        <v>1</v>
      </c>
      <c r="X9">
        <v>1</v>
      </c>
      <c r="Y9">
        <v>0</v>
      </c>
      <c r="Z9">
        <v>0</v>
      </c>
      <c r="AA9">
        <v>0</v>
      </c>
    </row>
    <row r="10" spans="1:27" x14ac:dyDescent="0.3">
      <c r="A10">
        <v>5</v>
      </c>
      <c r="B10">
        <v>6</v>
      </c>
      <c r="C10">
        <v>21</v>
      </c>
      <c r="D10">
        <v>0</v>
      </c>
      <c r="E10">
        <v>0</v>
      </c>
      <c r="F10" t="s">
        <v>860</v>
      </c>
      <c r="G10" s="101">
        <v>46212</v>
      </c>
      <c r="H10" t="s">
        <v>95</v>
      </c>
      <c r="I10" t="s">
        <v>413</v>
      </c>
      <c r="J10" t="s">
        <v>414</v>
      </c>
      <c r="K10" t="s">
        <v>382</v>
      </c>
      <c r="L10" s="39">
        <v>0.37541666666666668</v>
      </c>
      <c r="M10" s="39">
        <v>0.7111574074074074</v>
      </c>
      <c r="N10">
        <v>8.06</v>
      </c>
      <c r="O10" t="s">
        <v>869</v>
      </c>
      <c r="P10">
        <v>0</v>
      </c>
      <c r="Q10" t="s">
        <v>870</v>
      </c>
      <c r="R10">
        <v>0</v>
      </c>
      <c r="S10">
        <v>0</v>
      </c>
      <c r="T10" t="s">
        <v>415</v>
      </c>
      <c r="U10" t="s">
        <v>108</v>
      </c>
      <c r="V10" s="101">
        <v>46212</v>
      </c>
      <c r="W10">
        <v>1</v>
      </c>
      <c r="X10">
        <v>1</v>
      </c>
      <c r="Y10">
        <v>0</v>
      </c>
      <c r="Z10">
        <v>0</v>
      </c>
      <c r="AA10">
        <v>0</v>
      </c>
    </row>
    <row r="11" spans="1:27" x14ac:dyDescent="0.3">
      <c r="A11">
        <v>5</v>
      </c>
      <c r="B11">
        <v>6</v>
      </c>
      <c r="C11">
        <v>21</v>
      </c>
      <c r="D11">
        <v>0</v>
      </c>
      <c r="E11">
        <v>0</v>
      </c>
      <c r="F11" t="s">
        <v>860</v>
      </c>
      <c r="G11" s="101">
        <v>46213</v>
      </c>
      <c r="H11" t="s">
        <v>95</v>
      </c>
      <c r="I11" t="s">
        <v>413</v>
      </c>
      <c r="J11" t="s">
        <v>414</v>
      </c>
      <c r="K11" t="s">
        <v>383</v>
      </c>
      <c r="L11" s="39">
        <v>0</v>
      </c>
      <c r="M11" s="39">
        <v>0</v>
      </c>
      <c r="N11">
        <v>0</v>
      </c>
      <c r="O11" t="s">
        <v>384</v>
      </c>
      <c r="P11">
        <v>9</v>
      </c>
      <c r="Q11" t="s">
        <v>385</v>
      </c>
      <c r="R11">
        <v>0</v>
      </c>
      <c r="S11">
        <v>9</v>
      </c>
      <c r="T11" t="s">
        <v>415</v>
      </c>
      <c r="U11" t="s">
        <v>366</v>
      </c>
      <c r="V11" s="101">
        <v>46213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 x14ac:dyDescent="0.3">
      <c r="A12">
        <v>5</v>
      </c>
      <c r="B12">
        <v>6</v>
      </c>
      <c r="C12">
        <v>21</v>
      </c>
      <c r="D12">
        <v>0</v>
      </c>
      <c r="E12">
        <v>0</v>
      </c>
      <c r="F12" t="s">
        <v>860</v>
      </c>
      <c r="G12" s="101">
        <v>46214</v>
      </c>
      <c r="H12" t="s">
        <v>95</v>
      </c>
      <c r="I12" t="s">
        <v>413</v>
      </c>
      <c r="J12" t="s">
        <v>414</v>
      </c>
      <c r="K12" t="s">
        <v>383</v>
      </c>
      <c r="L12" s="39">
        <v>0</v>
      </c>
      <c r="M12" s="39">
        <v>0</v>
      </c>
      <c r="N12">
        <v>0</v>
      </c>
      <c r="O12" t="s">
        <v>384</v>
      </c>
      <c r="P12">
        <v>9</v>
      </c>
      <c r="Q12" t="s">
        <v>385</v>
      </c>
      <c r="R12">
        <v>0</v>
      </c>
      <c r="S12">
        <v>9</v>
      </c>
      <c r="T12" t="s">
        <v>415</v>
      </c>
      <c r="U12" t="s">
        <v>366</v>
      </c>
      <c r="V12" s="101">
        <v>46214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 x14ac:dyDescent="0.3">
      <c r="A13">
        <v>5</v>
      </c>
      <c r="B13">
        <v>6</v>
      </c>
      <c r="C13">
        <v>21</v>
      </c>
      <c r="D13">
        <v>0</v>
      </c>
      <c r="E13">
        <v>0</v>
      </c>
      <c r="F13" t="s">
        <v>860</v>
      </c>
      <c r="G13" s="101">
        <v>46215</v>
      </c>
      <c r="H13" t="s">
        <v>95</v>
      </c>
      <c r="I13" t="s">
        <v>413</v>
      </c>
      <c r="J13" t="s">
        <v>414</v>
      </c>
      <c r="K13" t="s">
        <v>383</v>
      </c>
      <c r="L13" s="39">
        <v>0</v>
      </c>
      <c r="M13" s="39">
        <v>0</v>
      </c>
      <c r="N13">
        <v>0</v>
      </c>
      <c r="O13" t="s">
        <v>384</v>
      </c>
      <c r="P13">
        <v>9</v>
      </c>
      <c r="Q13" t="s">
        <v>385</v>
      </c>
      <c r="R13">
        <v>0</v>
      </c>
      <c r="S13">
        <v>9</v>
      </c>
      <c r="T13" t="s">
        <v>415</v>
      </c>
      <c r="U13" t="s">
        <v>366</v>
      </c>
      <c r="V13" s="101">
        <v>46215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 x14ac:dyDescent="0.3">
      <c r="A14">
        <v>5</v>
      </c>
      <c r="B14">
        <v>6</v>
      </c>
      <c r="C14">
        <v>21</v>
      </c>
      <c r="D14">
        <v>0</v>
      </c>
      <c r="E14">
        <v>0</v>
      </c>
      <c r="F14" t="s">
        <v>860</v>
      </c>
      <c r="G14" s="101">
        <v>46216</v>
      </c>
      <c r="H14" t="s">
        <v>95</v>
      </c>
      <c r="I14" t="s">
        <v>413</v>
      </c>
      <c r="J14" t="s">
        <v>414</v>
      </c>
      <c r="K14" t="s">
        <v>383</v>
      </c>
      <c r="L14" s="39">
        <v>0</v>
      </c>
      <c r="M14" s="39">
        <v>0</v>
      </c>
      <c r="N14">
        <v>0</v>
      </c>
      <c r="O14" t="s">
        <v>384</v>
      </c>
      <c r="P14">
        <v>9</v>
      </c>
      <c r="Q14" t="s">
        <v>385</v>
      </c>
      <c r="R14">
        <v>0</v>
      </c>
      <c r="S14">
        <v>9</v>
      </c>
      <c r="T14" t="s">
        <v>415</v>
      </c>
      <c r="U14" t="s">
        <v>366</v>
      </c>
      <c r="V14" s="101">
        <v>46216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 x14ac:dyDescent="0.3">
      <c r="A15">
        <v>5</v>
      </c>
      <c r="B15">
        <v>6</v>
      </c>
      <c r="C15">
        <v>21</v>
      </c>
      <c r="D15">
        <v>0</v>
      </c>
      <c r="E15">
        <v>0</v>
      </c>
      <c r="F15" t="s">
        <v>860</v>
      </c>
      <c r="G15" s="101">
        <v>46217</v>
      </c>
      <c r="H15" t="s">
        <v>95</v>
      </c>
      <c r="I15" t="s">
        <v>413</v>
      </c>
      <c r="J15" t="s">
        <v>414</v>
      </c>
      <c r="K15" t="s">
        <v>383</v>
      </c>
      <c r="L15" s="39">
        <v>0</v>
      </c>
      <c r="M15" s="39">
        <v>0</v>
      </c>
      <c r="N15">
        <v>0</v>
      </c>
      <c r="O15" t="s">
        <v>384</v>
      </c>
      <c r="P15">
        <v>9</v>
      </c>
      <c r="Q15" t="s">
        <v>385</v>
      </c>
      <c r="R15">
        <v>0</v>
      </c>
      <c r="S15">
        <v>9</v>
      </c>
      <c r="T15" t="s">
        <v>415</v>
      </c>
      <c r="U15" t="s">
        <v>366</v>
      </c>
      <c r="V15" s="101">
        <v>46217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 x14ac:dyDescent="0.3">
      <c r="A16">
        <v>5</v>
      </c>
      <c r="B16">
        <v>6</v>
      </c>
      <c r="C16">
        <v>21</v>
      </c>
      <c r="D16">
        <v>0</v>
      </c>
      <c r="E16">
        <v>0</v>
      </c>
      <c r="F16" t="s">
        <v>860</v>
      </c>
      <c r="G16" s="101">
        <v>46218</v>
      </c>
      <c r="H16" t="s">
        <v>95</v>
      </c>
      <c r="I16" t="s">
        <v>413</v>
      </c>
      <c r="J16" t="s">
        <v>414</v>
      </c>
      <c r="K16" t="s">
        <v>383</v>
      </c>
      <c r="L16" s="39">
        <v>0</v>
      </c>
      <c r="M16" s="39">
        <v>0</v>
      </c>
      <c r="N16">
        <v>0</v>
      </c>
      <c r="O16" t="s">
        <v>384</v>
      </c>
      <c r="P16">
        <v>9</v>
      </c>
      <c r="Q16" t="s">
        <v>385</v>
      </c>
      <c r="R16">
        <v>0</v>
      </c>
      <c r="S16">
        <v>9</v>
      </c>
      <c r="T16" t="s">
        <v>415</v>
      </c>
      <c r="U16" t="s">
        <v>366</v>
      </c>
      <c r="V16" s="101">
        <v>46218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 x14ac:dyDescent="0.3">
      <c r="A17">
        <v>5</v>
      </c>
      <c r="B17">
        <v>6</v>
      </c>
      <c r="C17">
        <v>21</v>
      </c>
      <c r="D17">
        <v>0</v>
      </c>
      <c r="E17">
        <v>0</v>
      </c>
      <c r="F17" t="s">
        <v>860</v>
      </c>
      <c r="G17" s="101">
        <v>46219</v>
      </c>
      <c r="H17" t="s">
        <v>95</v>
      </c>
      <c r="I17" t="s">
        <v>413</v>
      </c>
      <c r="J17" t="s">
        <v>414</v>
      </c>
      <c r="K17" t="s">
        <v>383</v>
      </c>
      <c r="L17" s="39">
        <v>0</v>
      </c>
      <c r="M17" s="39">
        <v>0</v>
      </c>
      <c r="N17">
        <v>0</v>
      </c>
      <c r="O17" t="s">
        <v>384</v>
      </c>
      <c r="P17">
        <v>9</v>
      </c>
      <c r="Q17" t="s">
        <v>385</v>
      </c>
      <c r="R17">
        <v>0</v>
      </c>
      <c r="S17">
        <v>9</v>
      </c>
      <c r="T17" t="s">
        <v>415</v>
      </c>
      <c r="U17" t="s">
        <v>366</v>
      </c>
      <c r="V17" s="101">
        <v>46219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 x14ac:dyDescent="0.3">
      <c r="A18">
        <v>5</v>
      </c>
      <c r="B18">
        <v>6</v>
      </c>
      <c r="C18">
        <v>21</v>
      </c>
      <c r="D18">
        <v>0</v>
      </c>
      <c r="E18">
        <v>0</v>
      </c>
      <c r="F18" t="s">
        <v>860</v>
      </c>
      <c r="G18" s="101">
        <v>46220</v>
      </c>
      <c r="H18" t="s">
        <v>95</v>
      </c>
      <c r="I18" t="s">
        <v>413</v>
      </c>
      <c r="J18" t="s">
        <v>414</v>
      </c>
      <c r="K18" t="s">
        <v>383</v>
      </c>
      <c r="L18" s="39">
        <v>0</v>
      </c>
      <c r="M18" s="39">
        <v>0</v>
      </c>
      <c r="N18">
        <v>0</v>
      </c>
      <c r="O18" t="s">
        <v>384</v>
      </c>
      <c r="P18">
        <v>9</v>
      </c>
      <c r="Q18" t="s">
        <v>385</v>
      </c>
      <c r="R18">
        <v>0</v>
      </c>
      <c r="S18">
        <v>9</v>
      </c>
      <c r="T18" t="s">
        <v>415</v>
      </c>
      <c r="U18" t="s">
        <v>366</v>
      </c>
      <c r="V18" s="101">
        <v>46220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 x14ac:dyDescent="0.3">
      <c r="A19">
        <v>5</v>
      </c>
      <c r="B19">
        <v>6</v>
      </c>
      <c r="C19">
        <v>21</v>
      </c>
      <c r="D19">
        <v>0</v>
      </c>
      <c r="E19">
        <v>0</v>
      </c>
      <c r="F19" t="s">
        <v>860</v>
      </c>
      <c r="G19" s="101">
        <v>46221</v>
      </c>
      <c r="H19" t="s">
        <v>95</v>
      </c>
      <c r="I19" t="s">
        <v>413</v>
      </c>
      <c r="J19" t="s">
        <v>414</v>
      </c>
      <c r="K19" t="s">
        <v>383</v>
      </c>
      <c r="L19" s="39">
        <v>0</v>
      </c>
      <c r="M19" s="39">
        <v>0</v>
      </c>
      <c r="N19">
        <v>0</v>
      </c>
      <c r="O19" t="s">
        <v>384</v>
      </c>
      <c r="P19">
        <v>9</v>
      </c>
      <c r="Q19" t="s">
        <v>385</v>
      </c>
      <c r="R19">
        <v>0</v>
      </c>
      <c r="S19">
        <v>9</v>
      </c>
      <c r="T19" t="s">
        <v>415</v>
      </c>
      <c r="U19" t="s">
        <v>366</v>
      </c>
      <c r="V19" s="101">
        <v>46221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 x14ac:dyDescent="0.3">
      <c r="A20">
        <v>5</v>
      </c>
      <c r="B20">
        <v>6</v>
      </c>
      <c r="C20">
        <v>21</v>
      </c>
      <c r="D20">
        <v>0</v>
      </c>
      <c r="E20">
        <v>0</v>
      </c>
      <c r="F20" t="s">
        <v>860</v>
      </c>
      <c r="G20" s="101">
        <v>46222</v>
      </c>
      <c r="H20" t="s">
        <v>95</v>
      </c>
      <c r="I20" t="s">
        <v>413</v>
      </c>
      <c r="J20" t="s">
        <v>414</v>
      </c>
      <c r="K20" t="s">
        <v>383</v>
      </c>
      <c r="L20" s="39">
        <v>0</v>
      </c>
      <c r="M20" s="39">
        <v>0</v>
      </c>
      <c r="N20">
        <v>0</v>
      </c>
      <c r="O20" t="s">
        <v>384</v>
      </c>
      <c r="P20">
        <v>9</v>
      </c>
      <c r="Q20" t="s">
        <v>385</v>
      </c>
      <c r="R20">
        <v>0</v>
      </c>
      <c r="S20">
        <v>9</v>
      </c>
      <c r="T20" t="s">
        <v>415</v>
      </c>
      <c r="U20" t="s">
        <v>366</v>
      </c>
      <c r="V20" s="101">
        <v>46222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 x14ac:dyDescent="0.3">
      <c r="A21">
        <v>5</v>
      </c>
      <c r="B21">
        <v>6</v>
      </c>
      <c r="C21">
        <v>21</v>
      </c>
      <c r="D21">
        <v>0</v>
      </c>
      <c r="E21">
        <v>0</v>
      </c>
      <c r="F21" t="s">
        <v>860</v>
      </c>
      <c r="G21" s="101">
        <v>46223</v>
      </c>
      <c r="H21" t="s">
        <v>95</v>
      </c>
      <c r="I21" t="s">
        <v>413</v>
      </c>
      <c r="J21" t="s">
        <v>414</v>
      </c>
      <c r="K21" t="s">
        <v>383</v>
      </c>
      <c r="L21" s="39">
        <v>0</v>
      </c>
      <c r="M21" s="39">
        <v>0</v>
      </c>
      <c r="N21">
        <v>0</v>
      </c>
      <c r="O21" t="s">
        <v>384</v>
      </c>
      <c r="P21">
        <v>9</v>
      </c>
      <c r="Q21" t="s">
        <v>385</v>
      </c>
      <c r="R21">
        <v>0</v>
      </c>
      <c r="S21">
        <v>9</v>
      </c>
      <c r="T21" t="s">
        <v>415</v>
      </c>
      <c r="U21" t="s">
        <v>366</v>
      </c>
      <c r="V21" s="101">
        <v>46223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 x14ac:dyDescent="0.3">
      <c r="A22">
        <v>5</v>
      </c>
      <c r="B22">
        <v>6</v>
      </c>
      <c r="C22">
        <v>21</v>
      </c>
      <c r="D22">
        <v>0</v>
      </c>
      <c r="E22">
        <v>0</v>
      </c>
      <c r="F22" t="s">
        <v>860</v>
      </c>
      <c r="G22" s="101">
        <v>46224</v>
      </c>
      <c r="H22" t="s">
        <v>95</v>
      </c>
      <c r="I22" t="s">
        <v>413</v>
      </c>
      <c r="J22" t="s">
        <v>414</v>
      </c>
      <c r="K22" t="s">
        <v>383</v>
      </c>
      <c r="L22" s="39">
        <v>0</v>
      </c>
      <c r="M22" s="39">
        <v>0</v>
      </c>
      <c r="N22">
        <v>0</v>
      </c>
      <c r="O22" t="s">
        <v>384</v>
      </c>
      <c r="P22">
        <v>9</v>
      </c>
      <c r="Q22" t="s">
        <v>385</v>
      </c>
      <c r="R22">
        <v>0</v>
      </c>
      <c r="S22">
        <v>9</v>
      </c>
      <c r="T22" t="s">
        <v>415</v>
      </c>
      <c r="U22" t="s">
        <v>366</v>
      </c>
      <c r="V22" s="101">
        <v>46224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 x14ac:dyDescent="0.3">
      <c r="A23">
        <v>5</v>
      </c>
      <c r="B23">
        <v>6</v>
      </c>
      <c r="C23">
        <v>21</v>
      </c>
      <c r="D23">
        <v>0</v>
      </c>
      <c r="E23">
        <v>0</v>
      </c>
      <c r="F23" t="s">
        <v>860</v>
      </c>
      <c r="G23" s="101">
        <v>46225</v>
      </c>
      <c r="H23" t="s">
        <v>95</v>
      </c>
      <c r="I23" t="s">
        <v>413</v>
      </c>
      <c r="J23" t="s">
        <v>414</v>
      </c>
      <c r="K23" t="s">
        <v>383</v>
      </c>
      <c r="L23" s="39">
        <v>0</v>
      </c>
      <c r="M23" s="39">
        <v>0</v>
      </c>
      <c r="N23">
        <v>0</v>
      </c>
      <c r="O23" t="s">
        <v>384</v>
      </c>
      <c r="P23">
        <v>9</v>
      </c>
      <c r="Q23" t="s">
        <v>385</v>
      </c>
      <c r="R23">
        <v>0</v>
      </c>
      <c r="S23">
        <v>9</v>
      </c>
      <c r="T23" t="s">
        <v>415</v>
      </c>
      <c r="U23" t="s">
        <v>366</v>
      </c>
      <c r="V23" s="101">
        <v>46225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 x14ac:dyDescent="0.3">
      <c r="A24">
        <v>5</v>
      </c>
      <c r="B24">
        <v>6</v>
      </c>
      <c r="C24">
        <v>21</v>
      </c>
      <c r="D24">
        <v>0</v>
      </c>
      <c r="E24">
        <v>0</v>
      </c>
      <c r="F24" t="s">
        <v>860</v>
      </c>
      <c r="G24" s="101">
        <v>46226</v>
      </c>
      <c r="H24" t="s">
        <v>95</v>
      </c>
      <c r="I24" t="s">
        <v>413</v>
      </c>
      <c r="J24" t="s">
        <v>414</v>
      </c>
      <c r="K24" t="s">
        <v>383</v>
      </c>
      <c r="L24" s="39">
        <v>0</v>
      </c>
      <c r="M24" s="39">
        <v>0</v>
      </c>
      <c r="N24">
        <v>0</v>
      </c>
      <c r="O24" t="s">
        <v>384</v>
      </c>
      <c r="P24">
        <v>9</v>
      </c>
      <c r="Q24" t="s">
        <v>385</v>
      </c>
      <c r="R24">
        <v>0</v>
      </c>
      <c r="S24">
        <v>9</v>
      </c>
      <c r="T24" t="s">
        <v>415</v>
      </c>
      <c r="U24" t="s">
        <v>366</v>
      </c>
      <c r="V24" s="101">
        <v>46226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 x14ac:dyDescent="0.3">
      <c r="A25">
        <v>5</v>
      </c>
      <c r="B25">
        <v>6</v>
      </c>
      <c r="C25">
        <v>21</v>
      </c>
      <c r="D25">
        <v>0</v>
      </c>
      <c r="E25">
        <v>0</v>
      </c>
      <c r="F25" t="s">
        <v>860</v>
      </c>
      <c r="G25" s="101">
        <v>46227</v>
      </c>
      <c r="H25" t="s">
        <v>95</v>
      </c>
      <c r="I25" t="s">
        <v>413</v>
      </c>
      <c r="J25" t="s">
        <v>414</v>
      </c>
      <c r="K25" t="s">
        <v>383</v>
      </c>
      <c r="L25" s="39">
        <v>0</v>
      </c>
      <c r="M25" s="39">
        <v>0</v>
      </c>
      <c r="N25">
        <v>0</v>
      </c>
      <c r="O25" t="s">
        <v>384</v>
      </c>
      <c r="P25">
        <v>9</v>
      </c>
      <c r="Q25" t="s">
        <v>385</v>
      </c>
      <c r="R25">
        <v>0</v>
      </c>
      <c r="S25">
        <v>9</v>
      </c>
      <c r="T25" t="s">
        <v>415</v>
      </c>
      <c r="U25" t="s">
        <v>366</v>
      </c>
      <c r="V25" s="101">
        <v>46227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x14ac:dyDescent="0.3">
      <c r="A26">
        <v>5</v>
      </c>
      <c r="B26">
        <v>6</v>
      </c>
      <c r="C26">
        <v>21</v>
      </c>
      <c r="D26">
        <v>0</v>
      </c>
      <c r="E26">
        <v>0</v>
      </c>
      <c r="F26" t="s">
        <v>860</v>
      </c>
      <c r="G26" s="101">
        <v>46228</v>
      </c>
      <c r="H26" t="s">
        <v>95</v>
      </c>
      <c r="I26" t="s">
        <v>413</v>
      </c>
      <c r="J26" t="s">
        <v>414</v>
      </c>
      <c r="K26" t="s">
        <v>383</v>
      </c>
      <c r="L26" s="39">
        <v>0</v>
      </c>
      <c r="M26" s="39">
        <v>0</v>
      </c>
      <c r="N26">
        <v>0</v>
      </c>
      <c r="O26" t="s">
        <v>384</v>
      </c>
      <c r="P26">
        <v>9</v>
      </c>
      <c r="Q26" t="s">
        <v>385</v>
      </c>
      <c r="R26">
        <v>0</v>
      </c>
      <c r="S26">
        <v>9</v>
      </c>
      <c r="T26" t="s">
        <v>415</v>
      </c>
      <c r="U26" t="s">
        <v>366</v>
      </c>
      <c r="V26" s="101">
        <v>46228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 x14ac:dyDescent="0.3">
      <c r="A27">
        <v>5</v>
      </c>
      <c r="B27">
        <v>6</v>
      </c>
      <c r="C27">
        <v>21</v>
      </c>
      <c r="D27">
        <v>0</v>
      </c>
      <c r="E27">
        <v>0</v>
      </c>
      <c r="F27" t="s">
        <v>860</v>
      </c>
      <c r="G27" s="101">
        <v>46229</v>
      </c>
      <c r="H27" t="s">
        <v>95</v>
      </c>
      <c r="I27" t="s">
        <v>413</v>
      </c>
      <c r="J27" t="s">
        <v>414</v>
      </c>
      <c r="K27" t="s">
        <v>383</v>
      </c>
      <c r="L27" s="39">
        <v>0</v>
      </c>
      <c r="M27" s="39">
        <v>0</v>
      </c>
      <c r="N27">
        <v>0</v>
      </c>
      <c r="O27" t="s">
        <v>384</v>
      </c>
      <c r="P27">
        <v>9</v>
      </c>
      <c r="Q27" t="s">
        <v>385</v>
      </c>
      <c r="R27">
        <v>0</v>
      </c>
      <c r="S27">
        <v>9</v>
      </c>
      <c r="T27" t="s">
        <v>415</v>
      </c>
      <c r="U27" t="s">
        <v>366</v>
      </c>
      <c r="V27" s="101">
        <v>46229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 x14ac:dyDescent="0.3">
      <c r="A28">
        <v>5</v>
      </c>
      <c r="B28">
        <v>6</v>
      </c>
      <c r="C28">
        <v>21</v>
      </c>
      <c r="D28">
        <v>0</v>
      </c>
      <c r="E28">
        <v>0</v>
      </c>
      <c r="F28" t="s">
        <v>860</v>
      </c>
      <c r="G28" s="101">
        <v>46230</v>
      </c>
      <c r="H28" t="s">
        <v>95</v>
      </c>
      <c r="I28" t="s">
        <v>413</v>
      </c>
      <c r="J28" t="s">
        <v>414</v>
      </c>
      <c r="K28" t="s">
        <v>383</v>
      </c>
      <c r="L28" s="39">
        <v>0</v>
      </c>
      <c r="M28" s="39">
        <v>0</v>
      </c>
      <c r="N28">
        <v>0</v>
      </c>
      <c r="O28" t="s">
        <v>384</v>
      </c>
      <c r="P28">
        <v>9</v>
      </c>
      <c r="Q28" t="s">
        <v>385</v>
      </c>
      <c r="R28">
        <v>0</v>
      </c>
      <c r="S28">
        <v>9</v>
      </c>
      <c r="T28" t="s">
        <v>415</v>
      </c>
      <c r="U28" t="s">
        <v>366</v>
      </c>
      <c r="V28" s="101">
        <v>46230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 x14ac:dyDescent="0.3">
      <c r="A29">
        <v>5</v>
      </c>
      <c r="B29">
        <v>6</v>
      </c>
      <c r="C29">
        <v>21</v>
      </c>
      <c r="D29">
        <v>0</v>
      </c>
      <c r="E29">
        <v>0</v>
      </c>
      <c r="F29" t="s">
        <v>860</v>
      </c>
      <c r="G29" s="101">
        <v>46231</v>
      </c>
      <c r="H29" t="s">
        <v>95</v>
      </c>
      <c r="I29" t="s">
        <v>413</v>
      </c>
      <c r="J29" t="s">
        <v>414</v>
      </c>
      <c r="K29" t="s">
        <v>383</v>
      </c>
      <c r="L29" s="39">
        <v>0</v>
      </c>
      <c r="M29" s="39">
        <v>0</v>
      </c>
      <c r="N29">
        <v>0</v>
      </c>
      <c r="O29" t="s">
        <v>384</v>
      </c>
      <c r="P29">
        <v>9</v>
      </c>
      <c r="Q29" t="s">
        <v>385</v>
      </c>
      <c r="R29">
        <v>0</v>
      </c>
      <c r="S29">
        <v>9</v>
      </c>
      <c r="T29" t="s">
        <v>415</v>
      </c>
      <c r="U29" t="s">
        <v>366</v>
      </c>
      <c r="V29" s="101">
        <v>46231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 x14ac:dyDescent="0.3">
      <c r="A30">
        <v>5</v>
      </c>
      <c r="B30">
        <v>6</v>
      </c>
      <c r="C30">
        <v>21</v>
      </c>
      <c r="D30">
        <v>0</v>
      </c>
      <c r="E30">
        <v>0</v>
      </c>
      <c r="F30" t="s">
        <v>860</v>
      </c>
      <c r="G30" s="101">
        <v>46232</v>
      </c>
      <c r="H30" t="s">
        <v>95</v>
      </c>
      <c r="I30" t="s">
        <v>413</v>
      </c>
      <c r="J30" t="s">
        <v>414</v>
      </c>
      <c r="K30" t="s">
        <v>383</v>
      </c>
      <c r="L30" s="39">
        <v>0</v>
      </c>
      <c r="M30" s="39">
        <v>0</v>
      </c>
      <c r="N30">
        <v>0</v>
      </c>
      <c r="O30" t="s">
        <v>384</v>
      </c>
      <c r="P30">
        <v>9</v>
      </c>
      <c r="Q30" t="s">
        <v>385</v>
      </c>
      <c r="R30">
        <v>0</v>
      </c>
      <c r="S30">
        <v>9</v>
      </c>
      <c r="T30" t="s">
        <v>415</v>
      </c>
      <c r="U30" t="s">
        <v>366</v>
      </c>
      <c r="V30" s="101">
        <v>46232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 x14ac:dyDescent="0.3">
      <c r="A31">
        <v>5</v>
      </c>
      <c r="B31">
        <v>6</v>
      </c>
      <c r="C31">
        <v>21</v>
      </c>
      <c r="D31">
        <v>0</v>
      </c>
      <c r="E31">
        <v>0</v>
      </c>
      <c r="F31" t="s">
        <v>860</v>
      </c>
      <c r="G31" s="101">
        <v>46233</v>
      </c>
      <c r="H31" t="s">
        <v>95</v>
      </c>
      <c r="I31" t="s">
        <v>413</v>
      </c>
      <c r="J31" t="s">
        <v>414</v>
      </c>
      <c r="K31" t="s">
        <v>383</v>
      </c>
      <c r="L31" s="39">
        <v>0</v>
      </c>
      <c r="M31" s="39">
        <v>0</v>
      </c>
      <c r="N31">
        <v>0</v>
      </c>
      <c r="O31" t="s">
        <v>384</v>
      </c>
      <c r="P31">
        <v>9</v>
      </c>
      <c r="Q31" t="s">
        <v>385</v>
      </c>
      <c r="R31">
        <v>0</v>
      </c>
      <c r="S31">
        <v>9</v>
      </c>
      <c r="T31" t="s">
        <v>415</v>
      </c>
      <c r="U31" t="s">
        <v>366</v>
      </c>
      <c r="V31" s="101">
        <v>46233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 x14ac:dyDescent="0.3">
      <c r="A32">
        <v>5</v>
      </c>
      <c r="B32">
        <v>6</v>
      </c>
      <c r="C32">
        <v>21</v>
      </c>
      <c r="D32">
        <v>0</v>
      </c>
      <c r="E32">
        <v>0</v>
      </c>
      <c r="F32" t="s">
        <v>860</v>
      </c>
      <c r="G32" s="101">
        <v>46234</v>
      </c>
      <c r="H32" t="s">
        <v>95</v>
      </c>
      <c r="I32" t="s">
        <v>413</v>
      </c>
      <c r="J32" t="s">
        <v>414</v>
      </c>
      <c r="K32" t="s">
        <v>383</v>
      </c>
      <c r="L32" s="39">
        <v>0</v>
      </c>
      <c r="M32" s="39">
        <v>0</v>
      </c>
      <c r="N32">
        <v>0</v>
      </c>
      <c r="O32" t="s">
        <v>384</v>
      </c>
      <c r="P32">
        <v>9</v>
      </c>
      <c r="Q32" t="s">
        <v>385</v>
      </c>
      <c r="R32">
        <v>0</v>
      </c>
      <c r="S32">
        <v>9</v>
      </c>
      <c r="T32" t="s">
        <v>415</v>
      </c>
      <c r="U32" t="s">
        <v>366</v>
      </c>
      <c r="V32" s="101">
        <v>46234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 x14ac:dyDescent="0.3">
      <c r="A33">
        <v>6</v>
      </c>
      <c r="B33">
        <v>27</v>
      </c>
      <c r="C33">
        <v>0</v>
      </c>
      <c r="D33">
        <v>0</v>
      </c>
      <c r="E33">
        <v>0</v>
      </c>
      <c r="F33" t="s">
        <v>907</v>
      </c>
      <c r="G33" s="101">
        <v>46204</v>
      </c>
      <c r="H33" t="s">
        <v>420</v>
      </c>
      <c r="I33" t="s">
        <v>413</v>
      </c>
      <c r="J33" t="s">
        <v>414</v>
      </c>
      <c r="K33" t="s">
        <v>382</v>
      </c>
      <c r="L33" s="39">
        <v>0.37482638888888886</v>
      </c>
      <c r="M33" s="39">
        <v>0.78703703703703709</v>
      </c>
      <c r="N33">
        <v>9.89</v>
      </c>
      <c r="O33" t="s">
        <v>871</v>
      </c>
      <c r="P33">
        <v>0</v>
      </c>
      <c r="Q33" t="s">
        <v>872</v>
      </c>
      <c r="R33">
        <v>1.39</v>
      </c>
      <c r="S33">
        <v>1.39</v>
      </c>
      <c r="T33" t="s">
        <v>421</v>
      </c>
      <c r="U33" t="s">
        <v>108</v>
      </c>
      <c r="V33" s="101">
        <v>46204</v>
      </c>
      <c r="W33">
        <v>1</v>
      </c>
      <c r="X33">
        <v>1</v>
      </c>
      <c r="Y33">
        <v>0</v>
      </c>
      <c r="Z33">
        <v>0</v>
      </c>
      <c r="AA33">
        <v>0</v>
      </c>
    </row>
    <row r="34" spans="1:27" x14ac:dyDescent="0.3">
      <c r="A34">
        <v>6</v>
      </c>
      <c r="B34">
        <v>27</v>
      </c>
      <c r="C34">
        <v>0</v>
      </c>
      <c r="D34">
        <v>0</v>
      </c>
      <c r="E34">
        <v>0</v>
      </c>
      <c r="F34" t="s">
        <v>907</v>
      </c>
      <c r="G34" s="101">
        <v>46205</v>
      </c>
      <c r="H34" t="s">
        <v>420</v>
      </c>
      <c r="I34" t="s">
        <v>413</v>
      </c>
      <c r="J34" t="s">
        <v>414</v>
      </c>
      <c r="K34" t="s">
        <v>382</v>
      </c>
      <c r="L34" s="39">
        <v>0.37748842592592591</v>
      </c>
      <c r="M34" s="39">
        <v>0.81381944444444443</v>
      </c>
      <c r="N34">
        <v>10.47</v>
      </c>
      <c r="O34" t="s">
        <v>873</v>
      </c>
      <c r="P34">
        <v>0</v>
      </c>
      <c r="Q34" t="s">
        <v>874</v>
      </c>
      <c r="R34">
        <v>2.0299999999999998</v>
      </c>
      <c r="S34">
        <v>2.0299999999999998</v>
      </c>
      <c r="T34" t="s">
        <v>421</v>
      </c>
      <c r="U34" t="s">
        <v>108</v>
      </c>
      <c r="V34" s="101">
        <v>46205</v>
      </c>
      <c r="W34">
        <v>1</v>
      </c>
      <c r="X34">
        <v>1</v>
      </c>
      <c r="Y34">
        <v>0</v>
      </c>
      <c r="Z34">
        <v>0</v>
      </c>
      <c r="AA34">
        <v>0</v>
      </c>
    </row>
    <row r="35" spans="1:27" x14ac:dyDescent="0.3">
      <c r="A35">
        <v>6</v>
      </c>
      <c r="B35">
        <v>27</v>
      </c>
      <c r="C35">
        <v>0</v>
      </c>
      <c r="D35">
        <v>0</v>
      </c>
      <c r="E35">
        <v>0</v>
      </c>
      <c r="F35" t="s">
        <v>907</v>
      </c>
      <c r="G35" s="101">
        <v>46206</v>
      </c>
      <c r="H35" t="s">
        <v>420</v>
      </c>
      <c r="I35" t="s">
        <v>413</v>
      </c>
      <c r="J35" t="s">
        <v>414</v>
      </c>
      <c r="K35" t="s">
        <v>382</v>
      </c>
      <c r="L35" s="39">
        <v>0.37535879629629632</v>
      </c>
      <c r="M35" s="39">
        <v>0.83572916666666663</v>
      </c>
      <c r="N35">
        <v>11.05</v>
      </c>
      <c r="O35" t="s">
        <v>619</v>
      </c>
      <c r="P35">
        <v>0</v>
      </c>
      <c r="Q35" t="s">
        <v>875</v>
      </c>
      <c r="R35">
        <v>2.56</v>
      </c>
      <c r="S35">
        <v>2.56</v>
      </c>
      <c r="T35" t="s">
        <v>421</v>
      </c>
      <c r="U35" t="s">
        <v>108</v>
      </c>
      <c r="V35" s="101">
        <v>46206</v>
      </c>
      <c r="W35">
        <v>1</v>
      </c>
      <c r="X35">
        <v>1</v>
      </c>
      <c r="Y35">
        <v>0</v>
      </c>
      <c r="Z35">
        <v>0</v>
      </c>
      <c r="AA35">
        <v>0</v>
      </c>
    </row>
    <row r="36" spans="1:27" x14ac:dyDescent="0.3">
      <c r="A36">
        <v>6</v>
      </c>
      <c r="B36">
        <v>27</v>
      </c>
      <c r="C36">
        <v>0</v>
      </c>
      <c r="D36">
        <v>0</v>
      </c>
      <c r="E36">
        <v>0</v>
      </c>
      <c r="F36" t="s">
        <v>907</v>
      </c>
      <c r="G36" s="101">
        <v>46207</v>
      </c>
      <c r="H36" t="s">
        <v>420</v>
      </c>
      <c r="I36" t="s">
        <v>413</v>
      </c>
      <c r="J36" t="s">
        <v>414</v>
      </c>
      <c r="K36" t="s">
        <v>382</v>
      </c>
      <c r="L36" s="39">
        <v>0.37418981481481484</v>
      </c>
      <c r="M36" s="39">
        <v>0.77299768518518519</v>
      </c>
      <c r="N36">
        <v>9.57</v>
      </c>
      <c r="O36" t="s">
        <v>523</v>
      </c>
      <c r="P36">
        <v>0</v>
      </c>
      <c r="Q36" t="s">
        <v>876</v>
      </c>
      <c r="R36">
        <v>1.05</v>
      </c>
      <c r="S36">
        <v>1.05</v>
      </c>
      <c r="T36" t="s">
        <v>421</v>
      </c>
      <c r="U36" t="s">
        <v>108</v>
      </c>
      <c r="V36" s="101">
        <v>46207</v>
      </c>
      <c r="W36">
        <v>1</v>
      </c>
      <c r="X36">
        <v>1</v>
      </c>
      <c r="Y36">
        <v>0</v>
      </c>
      <c r="Z36">
        <v>0</v>
      </c>
      <c r="AA36">
        <v>0</v>
      </c>
    </row>
    <row r="37" spans="1:27" x14ac:dyDescent="0.3">
      <c r="A37">
        <v>6</v>
      </c>
      <c r="B37">
        <v>27</v>
      </c>
      <c r="C37">
        <v>0</v>
      </c>
      <c r="D37">
        <v>0</v>
      </c>
      <c r="E37">
        <v>0</v>
      </c>
      <c r="F37" t="s">
        <v>907</v>
      </c>
      <c r="G37" s="101">
        <v>46208</v>
      </c>
      <c r="H37" t="s">
        <v>420</v>
      </c>
      <c r="I37" t="s">
        <v>413</v>
      </c>
      <c r="J37" t="s">
        <v>414</v>
      </c>
      <c r="K37" t="s">
        <v>383</v>
      </c>
      <c r="L37" s="39">
        <v>0</v>
      </c>
      <c r="M37" s="39">
        <v>0</v>
      </c>
      <c r="N37">
        <v>0</v>
      </c>
      <c r="O37" t="s">
        <v>384</v>
      </c>
      <c r="P37">
        <v>9</v>
      </c>
      <c r="Q37" t="s">
        <v>385</v>
      </c>
      <c r="R37">
        <v>0</v>
      </c>
      <c r="S37">
        <v>9</v>
      </c>
      <c r="T37" t="s">
        <v>421</v>
      </c>
      <c r="U37" t="s">
        <v>366</v>
      </c>
      <c r="V37" s="101">
        <v>46208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 x14ac:dyDescent="0.3">
      <c r="A38">
        <v>6</v>
      </c>
      <c r="B38">
        <v>27</v>
      </c>
      <c r="C38">
        <v>0</v>
      </c>
      <c r="D38">
        <v>0</v>
      </c>
      <c r="E38">
        <v>0</v>
      </c>
      <c r="F38" t="s">
        <v>907</v>
      </c>
      <c r="G38" s="101">
        <v>46209</v>
      </c>
      <c r="H38" t="s">
        <v>420</v>
      </c>
      <c r="I38" t="s">
        <v>413</v>
      </c>
      <c r="J38" t="s">
        <v>414</v>
      </c>
      <c r="K38" t="s">
        <v>382</v>
      </c>
      <c r="L38" s="39">
        <v>0.36703703703703705</v>
      </c>
      <c r="M38" s="39">
        <v>0.77459490740740744</v>
      </c>
      <c r="N38">
        <v>9.7799999999999994</v>
      </c>
      <c r="O38" t="s">
        <v>877</v>
      </c>
      <c r="P38">
        <v>0</v>
      </c>
      <c r="Q38" t="s">
        <v>878</v>
      </c>
      <c r="R38">
        <v>1.0900000000000001</v>
      </c>
      <c r="S38">
        <v>1.0900000000000001</v>
      </c>
      <c r="T38" t="s">
        <v>421</v>
      </c>
      <c r="U38" t="s">
        <v>108</v>
      </c>
      <c r="V38" s="101">
        <v>46209</v>
      </c>
      <c r="W38">
        <v>1</v>
      </c>
      <c r="X38">
        <v>1</v>
      </c>
      <c r="Y38">
        <v>0</v>
      </c>
      <c r="Z38">
        <v>0</v>
      </c>
      <c r="AA38">
        <v>0</v>
      </c>
    </row>
    <row r="39" spans="1:27" x14ac:dyDescent="0.3">
      <c r="A39">
        <v>6</v>
      </c>
      <c r="B39">
        <v>27</v>
      </c>
      <c r="C39">
        <v>0</v>
      </c>
      <c r="D39">
        <v>0</v>
      </c>
      <c r="E39">
        <v>0</v>
      </c>
      <c r="F39" t="s">
        <v>907</v>
      </c>
      <c r="G39" s="101">
        <v>46210</v>
      </c>
      <c r="H39" t="s">
        <v>420</v>
      </c>
      <c r="I39" t="s">
        <v>413</v>
      </c>
      <c r="J39" t="s">
        <v>414</v>
      </c>
      <c r="K39" t="s">
        <v>382</v>
      </c>
      <c r="L39" s="39">
        <v>0.37379629629629629</v>
      </c>
      <c r="M39" s="39">
        <v>0.83646990740740745</v>
      </c>
      <c r="N39">
        <v>11.1</v>
      </c>
      <c r="O39" t="s">
        <v>685</v>
      </c>
      <c r="P39">
        <v>0</v>
      </c>
      <c r="Q39" t="s">
        <v>879</v>
      </c>
      <c r="R39">
        <v>2.58</v>
      </c>
      <c r="S39">
        <v>2.58</v>
      </c>
      <c r="T39" t="s">
        <v>421</v>
      </c>
      <c r="U39" t="s">
        <v>108</v>
      </c>
      <c r="V39" s="101">
        <v>46210</v>
      </c>
      <c r="W39">
        <v>1</v>
      </c>
      <c r="X39">
        <v>1</v>
      </c>
      <c r="Y39">
        <v>0</v>
      </c>
      <c r="Z39">
        <v>0</v>
      </c>
      <c r="AA39">
        <v>0</v>
      </c>
    </row>
    <row r="40" spans="1:27" x14ac:dyDescent="0.3">
      <c r="A40">
        <v>6</v>
      </c>
      <c r="B40">
        <v>27</v>
      </c>
      <c r="C40">
        <v>0</v>
      </c>
      <c r="D40">
        <v>0</v>
      </c>
      <c r="E40">
        <v>0</v>
      </c>
      <c r="F40" t="s">
        <v>907</v>
      </c>
      <c r="G40" s="101">
        <v>46211</v>
      </c>
      <c r="H40" t="s">
        <v>420</v>
      </c>
      <c r="I40" t="s">
        <v>413</v>
      </c>
      <c r="J40" t="s">
        <v>414</v>
      </c>
      <c r="K40" t="s">
        <v>382</v>
      </c>
      <c r="L40" s="39">
        <v>0.37561342592592595</v>
      </c>
      <c r="M40" s="39">
        <v>0.72916666666666663</v>
      </c>
      <c r="N40">
        <v>8.49</v>
      </c>
      <c r="O40" t="s">
        <v>727</v>
      </c>
      <c r="P40">
        <v>0</v>
      </c>
      <c r="Q40" t="s">
        <v>418</v>
      </c>
      <c r="R40">
        <v>0</v>
      </c>
      <c r="S40">
        <v>0</v>
      </c>
      <c r="T40" t="s">
        <v>421</v>
      </c>
      <c r="U40" t="s">
        <v>108</v>
      </c>
      <c r="V40" s="101">
        <v>46211</v>
      </c>
      <c r="W40">
        <v>1</v>
      </c>
      <c r="X40">
        <v>1</v>
      </c>
      <c r="Y40">
        <v>0</v>
      </c>
      <c r="Z40">
        <v>0</v>
      </c>
      <c r="AA40">
        <v>0</v>
      </c>
    </row>
    <row r="41" spans="1:27" x14ac:dyDescent="0.3">
      <c r="A41">
        <v>6</v>
      </c>
      <c r="B41">
        <v>27</v>
      </c>
      <c r="C41">
        <v>0</v>
      </c>
      <c r="D41">
        <v>0</v>
      </c>
      <c r="E41">
        <v>0</v>
      </c>
      <c r="F41" t="s">
        <v>907</v>
      </c>
      <c r="G41" s="101">
        <v>46212</v>
      </c>
      <c r="H41" t="s">
        <v>420</v>
      </c>
      <c r="I41" t="s">
        <v>413</v>
      </c>
      <c r="J41" t="s">
        <v>414</v>
      </c>
      <c r="K41" t="s">
        <v>382</v>
      </c>
      <c r="L41" s="39">
        <v>0.37041666666666667</v>
      </c>
      <c r="M41" s="39">
        <v>0.84385416666666668</v>
      </c>
      <c r="N41">
        <v>11.36</v>
      </c>
      <c r="O41" t="s">
        <v>597</v>
      </c>
      <c r="P41">
        <v>0</v>
      </c>
      <c r="Q41" t="s">
        <v>880</v>
      </c>
      <c r="R41">
        <v>2.75</v>
      </c>
      <c r="S41">
        <v>2.75</v>
      </c>
      <c r="T41" t="s">
        <v>421</v>
      </c>
      <c r="U41" t="s">
        <v>108</v>
      </c>
      <c r="V41" s="101">
        <v>46212</v>
      </c>
      <c r="W41">
        <v>1</v>
      </c>
      <c r="X41">
        <v>1</v>
      </c>
      <c r="Y41">
        <v>0</v>
      </c>
      <c r="Z41">
        <v>0</v>
      </c>
      <c r="AA41">
        <v>0</v>
      </c>
    </row>
    <row r="42" spans="1:27" x14ac:dyDescent="0.3">
      <c r="A42">
        <v>6</v>
      </c>
      <c r="B42">
        <v>27</v>
      </c>
      <c r="C42">
        <v>0</v>
      </c>
      <c r="D42">
        <v>0</v>
      </c>
      <c r="E42">
        <v>0</v>
      </c>
      <c r="F42" t="s">
        <v>907</v>
      </c>
      <c r="G42" s="101">
        <v>46213</v>
      </c>
      <c r="H42" t="s">
        <v>420</v>
      </c>
      <c r="I42" t="s">
        <v>413</v>
      </c>
      <c r="J42" t="s">
        <v>414</v>
      </c>
      <c r="K42" t="s">
        <v>382</v>
      </c>
      <c r="L42" s="39">
        <v>0.3737037037037037</v>
      </c>
      <c r="M42" s="39">
        <v>0.82451388888888888</v>
      </c>
      <c r="N42">
        <v>10.82</v>
      </c>
      <c r="O42" t="s">
        <v>881</v>
      </c>
      <c r="P42">
        <v>0</v>
      </c>
      <c r="Q42" t="s">
        <v>882</v>
      </c>
      <c r="R42">
        <v>2.29</v>
      </c>
      <c r="S42">
        <v>2.29</v>
      </c>
      <c r="T42" t="s">
        <v>421</v>
      </c>
      <c r="U42" t="s">
        <v>108</v>
      </c>
      <c r="V42" s="101">
        <v>46213</v>
      </c>
      <c r="W42">
        <v>1</v>
      </c>
      <c r="X42">
        <v>1</v>
      </c>
      <c r="Y42">
        <v>0</v>
      </c>
      <c r="Z42">
        <v>0</v>
      </c>
      <c r="AA42">
        <v>0</v>
      </c>
    </row>
    <row r="43" spans="1:27" x14ac:dyDescent="0.3">
      <c r="A43">
        <v>6</v>
      </c>
      <c r="B43">
        <v>27</v>
      </c>
      <c r="C43">
        <v>0</v>
      </c>
      <c r="D43">
        <v>0</v>
      </c>
      <c r="E43">
        <v>0</v>
      </c>
      <c r="F43" t="s">
        <v>907</v>
      </c>
      <c r="G43" s="101">
        <v>46214</v>
      </c>
      <c r="H43" t="s">
        <v>420</v>
      </c>
      <c r="I43" t="s">
        <v>413</v>
      </c>
      <c r="J43" t="s">
        <v>414</v>
      </c>
      <c r="K43" t="s">
        <v>382</v>
      </c>
      <c r="L43" s="39">
        <v>0.3762152777777778</v>
      </c>
      <c r="M43" s="39">
        <v>0.68027777777777776</v>
      </c>
      <c r="N43">
        <v>7.3</v>
      </c>
      <c r="O43" t="s">
        <v>612</v>
      </c>
      <c r="P43">
        <v>0</v>
      </c>
      <c r="Q43" t="s">
        <v>883</v>
      </c>
      <c r="R43">
        <v>0</v>
      </c>
      <c r="S43">
        <v>0</v>
      </c>
      <c r="T43" t="s">
        <v>421</v>
      </c>
      <c r="U43" t="s">
        <v>108</v>
      </c>
      <c r="V43" s="101">
        <v>46214</v>
      </c>
      <c r="W43">
        <v>1</v>
      </c>
      <c r="X43">
        <v>1</v>
      </c>
      <c r="Y43">
        <v>0</v>
      </c>
      <c r="Z43">
        <v>0</v>
      </c>
      <c r="AA43">
        <v>0</v>
      </c>
    </row>
    <row r="44" spans="1:27" x14ac:dyDescent="0.3">
      <c r="A44">
        <v>6</v>
      </c>
      <c r="B44">
        <v>27</v>
      </c>
      <c r="C44">
        <v>0</v>
      </c>
      <c r="D44">
        <v>0</v>
      </c>
      <c r="E44">
        <v>0</v>
      </c>
      <c r="F44" t="s">
        <v>907</v>
      </c>
      <c r="G44" s="101">
        <v>46215</v>
      </c>
      <c r="H44" t="s">
        <v>420</v>
      </c>
      <c r="I44" t="s">
        <v>413</v>
      </c>
      <c r="J44" t="s">
        <v>414</v>
      </c>
      <c r="K44" t="s">
        <v>383</v>
      </c>
      <c r="L44" s="39">
        <v>0</v>
      </c>
      <c r="M44" s="39">
        <v>0</v>
      </c>
      <c r="N44">
        <v>0</v>
      </c>
      <c r="O44" t="s">
        <v>384</v>
      </c>
      <c r="P44">
        <v>9</v>
      </c>
      <c r="Q44" t="s">
        <v>385</v>
      </c>
      <c r="R44">
        <v>0</v>
      </c>
      <c r="S44">
        <v>9</v>
      </c>
      <c r="T44" t="s">
        <v>421</v>
      </c>
      <c r="U44" t="s">
        <v>366</v>
      </c>
      <c r="V44" s="101">
        <v>46215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 x14ac:dyDescent="0.3">
      <c r="A45">
        <v>6</v>
      </c>
      <c r="B45">
        <v>27</v>
      </c>
      <c r="C45">
        <v>0</v>
      </c>
      <c r="D45">
        <v>0</v>
      </c>
      <c r="E45">
        <v>0</v>
      </c>
      <c r="F45" t="s">
        <v>907</v>
      </c>
      <c r="G45" s="101">
        <v>46216</v>
      </c>
      <c r="H45" t="s">
        <v>420</v>
      </c>
      <c r="I45" t="s">
        <v>413</v>
      </c>
      <c r="J45" t="s">
        <v>414</v>
      </c>
      <c r="K45" t="s">
        <v>382</v>
      </c>
      <c r="L45" s="39">
        <v>0.34884259259259259</v>
      </c>
      <c r="M45" s="39">
        <v>0.80421296296296296</v>
      </c>
      <c r="N45">
        <v>10.93</v>
      </c>
      <c r="O45" t="s">
        <v>884</v>
      </c>
      <c r="P45">
        <v>0.5</v>
      </c>
      <c r="Q45" t="s">
        <v>885</v>
      </c>
      <c r="R45">
        <v>1.8</v>
      </c>
      <c r="S45">
        <v>2.2999999999999998</v>
      </c>
      <c r="T45" t="s">
        <v>421</v>
      </c>
      <c r="U45" t="s">
        <v>108</v>
      </c>
      <c r="V45" s="101">
        <v>46216</v>
      </c>
      <c r="W45">
        <v>1</v>
      </c>
      <c r="X45">
        <v>1</v>
      </c>
      <c r="Y45">
        <v>0</v>
      </c>
      <c r="Z45">
        <v>0</v>
      </c>
      <c r="AA45">
        <v>0</v>
      </c>
    </row>
    <row r="46" spans="1:27" x14ac:dyDescent="0.3">
      <c r="A46">
        <v>6</v>
      </c>
      <c r="B46">
        <v>27</v>
      </c>
      <c r="C46">
        <v>0</v>
      </c>
      <c r="D46">
        <v>0</v>
      </c>
      <c r="E46">
        <v>0</v>
      </c>
      <c r="F46" t="s">
        <v>907</v>
      </c>
      <c r="G46" s="101">
        <v>46217</v>
      </c>
      <c r="H46" t="s">
        <v>420</v>
      </c>
      <c r="I46" t="s">
        <v>413</v>
      </c>
      <c r="J46" t="s">
        <v>414</v>
      </c>
      <c r="K46" t="s">
        <v>382</v>
      </c>
      <c r="L46" s="39">
        <v>0.37188657407407405</v>
      </c>
      <c r="M46" s="39">
        <v>0.83862268518518523</v>
      </c>
      <c r="N46">
        <v>11.2</v>
      </c>
      <c r="O46" t="s">
        <v>589</v>
      </c>
      <c r="P46">
        <v>0</v>
      </c>
      <c r="Q46" t="s">
        <v>886</v>
      </c>
      <c r="R46">
        <v>2.63</v>
      </c>
      <c r="S46">
        <v>2.63</v>
      </c>
      <c r="T46" t="s">
        <v>421</v>
      </c>
      <c r="U46" t="s">
        <v>108</v>
      </c>
      <c r="V46" s="101">
        <v>46217</v>
      </c>
      <c r="W46">
        <v>1</v>
      </c>
      <c r="X46">
        <v>1</v>
      </c>
      <c r="Y46">
        <v>0</v>
      </c>
      <c r="Z46">
        <v>0</v>
      </c>
      <c r="AA46">
        <v>0</v>
      </c>
    </row>
    <row r="47" spans="1:27" x14ac:dyDescent="0.3">
      <c r="A47">
        <v>6</v>
      </c>
      <c r="B47">
        <v>27</v>
      </c>
      <c r="C47">
        <v>0</v>
      </c>
      <c r="D47">
        <v>0</v>
      </c>
      <c r="E47">
        <v>0</v>
      </c>
      <c r="F47" t="s">
        <v>907</v>
      </c>
      <c r="G47" s="101">
        <v>46218</v>
      </c>
      <c r="H47" t="s">
        <v>420</v>
      </c>
      <c r="I47" t="s">
        <v>413</v>
      </c>
      <c r="J47" t="s">
        <v>414</v>
      </c>
      <c r="K47" t="s">
        <v>382</v>
      </c>
      <c r="L47" s="39">
        <v>0.37188657407407405</v>
      </c>
      <c r="M47" s="39">
        <v>0.8237268518518519</v>
      </c>
      <c r="N47">
        <v>10.84</v>
      </c>
      <c r="O47" t="s">
        <v>589</v>
      </c>
      <c r="P47">
        <v>0</v>
      </c>
      <c r="Q47" t="s">
        <v>887</v>
      </c>
      <c r="R47">
        <v>2.27</v>
      </c>
      <c r="S47">
        <v>2.27</v>
      </c>
      <c r="T47" t="s">
        <v>421</v>
      </c>
      <c r="U47" t="s">
        <v>108</v>
      </c>
      <c r="V47" s="101">
        <v>46218</v>
      </c>
      <c r="W47">
        <v>1</v>
      </c>
      <c r="X47">
        <v>1</v>
      </c>
      <c r="Y47">
        <v>0</v>
      </c>
      <c r="Z47">
        <v>0</v>
      </c>
      <c r="AA47">
        <v>0</v>
      </c>
    </row>
    <row r="48" spans="1:27" x14ac:dyDescent="0.3">
      <c r="A48">
        <v>6</v>
      </c>
      <c r="B48">
        <v>27</v>
      </c>
      <c r="C48">
        <v>0</v>
      </c>
      <c r="D48">
        <v>0</v>
      </c>
      <c r="E48">
        <v>0</v>
      </c>
      <c r="F48" t="s">
        <v>907</v>
      </c>
      <c r="G48" s="101">
        <v>46219</v>
      </c>
      <c r="H48" t="s">
        <v>420</v>
      </c>
      <c r="I48" t="s">
        <v>413</v>
      </c>
      <c r="J48" t="s">
        <v>414</v>
      </c>
      <c r="K48" t="s">
        <v>382</v>
      </c>
      <c r="L48" s="39">
        <v>0.37317129629629631</v>
      </c>
      <c r="M48" s="39">
        <v>0.84767361111111106</v>
      </c>
      <c r="N48">
        <v>11.39</v>
      </c>
      <c r="O48" t="s">
        <v>567</v>
      </c>
      <c r="P48">
        <v>0</v>
      </c>
      <c r="Q48" t="s">
        <v>888</v>
      </c>
      <c r="R48">
        <v>2.84</v>
      </c>
      <c r="S48">
        <v>2.84</v>
      </c>
      <c r="T48" t="s">
        <v>421</v>
      </c>
      <c r="U48" t="s">
        <v>108</v>
      </c>
      <c r="V48" s="101">
        <v>46219</v>
      </c>
      <c r="W48">
        <v>1</v>
      </c>
      <c r="X48">
        <v>1</v>
      </c>
      <c r="Y48">
        <v>0</v>
      </c>
      <c r="Z48">
        <v>0</v>
      </c>
      <c r="AA48">
        <v>0</v>
      </c>
    </row>
    <row r="49" spans="1:27" x14ac:dyDescent="0.3">
      <c r="A49">
        <v>6</v>
      </c>
      <c r="B49">
        <v>27</v>
      </c>
      <c r="C49">
        <v>0</v>
      </c>
      <c r="D49">
        <v>0</v>
      </c>
      <c r="E49">
        <v>0</v>
      </c>
      <c r="F49" t="s">
        <v>907</v>
      </c>
      <c r="G49" s="101">
        <v>46220</v>
      </c>
      <c r="H49" t="s">
        <v>420</v>
      </c>
      <c r="I49" t="s">
        <v>413</v>
      </c>
      <c r="J49" t="s">
        <v>414</v>
      </c>
      <c r="K49" t="s">
        <v>382</v>
      </c>
      <c r="L49" s="39">
        <v>0.37221064814814814</v>
      </c>
      <c r="M49" s="39">
        <v>0.83469907407407407</v>
      </c>
      <c r="N49">
        <v>11.1</v>
      </c>
      <c r="O49" t="s">
        <v>620</v>
      </c>
      <c r="P49">
        <v>0</v>
      </c>
      <c r="Q49" t="s">
        <v>889</v>
      </c>
      <c r="R49">
        <v>2.5299999999999998</v>
      </c>
      <c r="S49">
        <v>2.5299999999999998</v>
      </c>
      <c r="T49" t="s">
        <v>421</v>
      </c>
      <c r="U49" t="s">
        <v>108</v>
      </c>
      <c r="V49" s="101">
        <v>46220</v>
      </c>
      <c r="W49">
        <v>1</v>
      </c>
      <c r="X49">
        <v>1</v>
      </c>
      <c r="Y49">
        <v>0</v>
      </c>
      <c r="Z49">
        <v>0</v>
      </c>
      <c r="AA49">
        <v>0</v>
      </c>
    </row>
    <row r="50" spans="1:27" x14ac:dyDescent="0.3">
      <c r="A50">
        <v>6</v>
      </c>
      <c r="B50">
        <v>27</v>
      </c>
      <c r="C50">
        <v>0</v>
      </c>
      <c r="D50">
        <v>0</v>
      </c>
      <c r="E50">
        <v>0</v>
      </c>
      <c r="F50" t="s">
        <v>907</v>
      </c>
      <c r="G50" s="101">
        <v>46221</v>
      </c>
      <c r="H50" t="s">
        <v>420</v>
      </c>
      <c r="I50" t="s">
        <v>413</v>
      </c>
      <c r="J50" t="s">
        <v>414</v>
      </c>
      <c r="K50" t="s">
        <v>382</v>
      </c>
      <c r="L50" s="39">
        <v>0.37494212962962964</v>
      </c>
      <c r="M50" s="39">
        <v>0.79870370370370369</v>
      </c>
      <c r="N50">
        <v>10.17</v>
      </c>
      <c r="O50" t="s">
        <v>627</v>
      </c>
      <c r="P50">
        <v>0</v>
      </c>
      <c r="Q50" t="s">
        <v>890</v>
      </c>
      <c r="R50">
        <v>1.67</v>
      </c>
      <c r="S50">
        <v>1.67</v>
      </c>
      <c r="T50" t="s">
        <v>421</v>
      </c>
      <c r="U50" t="s">
        <v>108</v>
      </c>
      <c r="V50" s="101">
        <v>46221</v>
      </c>
      <c r="W50">
        <v>1</v>
      </c>
      <c r="X50">
        <v>1</v>
      </c>
      <c r="Y50">
        <v>0</v>
      </c>
      <c r="Z50">
        <v>0</v>
      </c>
      <c r="AA50">
        <v>0</v>
      </c>
    </row>
    <row r="51" spans="1:27" x14ac:dyDescent="0.3">
      <c r="A51">
        <v>6</v>
      </c>
      <c r="B51">
        <v>27</v>
      </c>
      <c r="C51">
        <v>0</v>
      </c>
      <c r="D51">
        <v>0</v>
      </c>
      <c r="E51">
        <v>0</v>
      </c>
      <c r="F51" t="s">
        <v>907</v>
      </c>
      <c r="G51" s="101">
        <v>46222</v>
      </c>
      <c r="H51" t="s">
        <v>420</v>
      </c>
      <c r="I51" t="s">
        <v>413</v>
      </c>
      <c r="J51" t="s">
        <v>414</v>
      </c>
      <c r="K51" t="s">
        <v>382</v>
      </c>
      <c r="L51" s="39">
        <v>0.3770486111111111</v>
      </c>
      <c r="M51" s="39">
        <v>0.69218749999999996</v>
      </c>
      <c r="N51">
        <v>7.56</v>
      </c>
      <c r="O51" t="s">
        <v>428</v>
      </c>
      <c r="P51">
        <v>0</v>
      </c>
      <c r="Q51" t="s">
        <v>891</v>
      </c>
      <c r="R51">
        <v>0</v>
      </c>
      <c r="S51">
        <v>0</v>
      </c>
      <c r="T51" t="s">
        <v>421</v>
      </c>
      <c r="U51" t="s">
        <v>108</v>
      </c>
      <c r="V51" s="101">
        <v>46222</v>
      </c>
      <c r="W51">
        <v>1</v>
      </c>
      <c r="X51">
        <v>0</v>
      </c>
      <c r="Y51">
        <v>1</v>
      </c>
      <c r="Z51">
        <v>0</v>
      </c>
      <c r="AA51">
        <v>0</v>
      </c>
    </row>
    <row r="52" spans="1:27" x14ac:dyDescent="0.3">
      <c r="A52">
        <v>6</v>
      </c>
      <c r="B52">
        <v>27</v>
      </c>
      <c r="C52">
        <v>0</v>
      </c>
      <c r="D52">
        <v>0</v>
      </c>
      <c r="E52">
        <v>0</v>
      </c>
      <c r="F52" t="s">
        <v>907</v>
      </c>
      <c r="G52" s="101">
        <v>46223</v>
      </c>
      <c r="H52" t="s">
        <v>420</v>
      </c>
      <c r="I52" t="s">
        <v>413</v>
      </c>
      <c r="J52" t="s">
        <v>414</v>
      </c>
      <c r="K52" t="s">
        <v>382</v>
      </c>
      <c r="L52" s="39">
        <v>0.37346064814814817</v>
      </c>
      <c r="M52" s="39">
        <v>0.84082175925925928</v>
      </c>
      <c r="N52">
        <v>11.22</v>
      </c>
      <c r="O52" t="s">
        <v>489</v>
      </c>
      <c r="P52">
        <v>0</v>
      </c>
      <c r="Q52" t="s">
        <v>892</v>
      </c>
      <c r="R52">
        <v>2.68</v>
      </c>
      <c r="S52">
        <v>2.68</v>
      </c>
      <c r="T52" t="s">
        <v>421</v>
      </c>
      <c r="U52" t="s">
        <v>108</v>
      </c>
      <c r="V52" s="101">
        <v>46223</v>
      </c>
      <c r="W52">
        <v>1</v>
      </c>
      <c r="X52">
        <v>1</v>
      </c>
      <c r="Y52">
        <v>0</v>
      </c>
      <c r="Z52">
        <v>0</v>
      </c>
      <c r="AA52">
        <v>0</v>
      </c>
    </row>
    <row r="53" spans="1:27" x14ac:dyDescent="0.3">
      <c r="A53">
        <v>6</v>
      </c>
      <c r="B53">
        <v>27</v>
      </c>
      <c r="C53">
        <v>0</v>
      </c>
      <c r="D53">
        <v>0</v>
      </c>
      <c r="E53">
        <v>0</v>
      </c>
      <c r="F53" t="s">
        <v>907</v>
      </c>
      <c r="G53" s="101">
        <v>46224</v>
      </c>
      <c r="H53" t="s">
        <v>420</v>
      </c>
      <c r="I53" t="s">
        <v>413</v>
      </c>
      <c r="J53" t="s">
        <v>414</v>
      </c>
      <c r="K53" t="s">
        <v>382</v>
      </c>
      <c r="L53" s="39">
        <v>0.3734837962962963</v>
      </c>
      <c r="M53" s="39">
        <v>0.81295138888888885</v>
      </c>
      <c r="N53">
        <v>10.55</v>
      </c>
      <c r="O53" t="s">
        <v>696</v>
      </c>
      <c r="P53">
        <v>0</v>
      </c>
      <c r="Q53" t="s">
        <v>893</v>
      </c>
      <c r="R53">
        <v>2.0099999999999998</v>
      </c>
      <c r="S53">
        <v>2.0099999999999998</v>
      </c>
      <c r="T53" t="s">
        <v>421</v>
      </c>
      <c r="U53" t="s">
        <v>108</v>
      </c>
      <c r="V53" s="101">
        <v>46224</v>
      </c>
      <c r="W53">
        <v>1</v>
      </c>
      <c r="X53">
        <v>1</v>
      </c>
      <c r="Y53">
        <v>0</v>
      </c>
      <c r="Z53">
        <v>0</v>
      </c>
      <c r="AA53">
        <v>0</v>
      </c>
    </row>
    <row r="54" spans="1:27" x14ac:dyDescent="0.3">
      <c r="A54">
        <v>6</v>
      </c>
      <c r="B54">
        <v>27</v>
      </c>
      <c r="C54">
        <v>0</v>
      </c>
      <c r="D54">
        <v>0</v>
      </c>
      <c r="E54">
        <v>0</v>
      </c>
      <c r="F54" t="s">
        <v>907</v>
      </c>
      <c r="G54" s="101">
        <v>46225</v>
      </c>
      <c r="H54" t="s">
        <v>420</v>
      </c>
      <c r="I54" t="s">
        <v>413</v>
      </c>
      <c r="J54" t="s">
        <v>414</v>
      </c>
      <c r="K54" t="s">
        <v>382</v>
      </c>
      <c r="L54" s="39">
        <v>0.37275462962962963</v>
      </c>
      <c r="M54" s="39">
        <v>0.82120370370370366</v>
      </c>
      <c r="N54">
        <v>10.76</v>
      </c>
      <c r="O54" t="s">
        <v>700</v>
      </c>
      <c r="P54">
        <v>0</v>
      </c>
      <c r="Q54" t="s">
        <v>894</v>
      </c>
      <c r="R54">
        <v>2.21</v>
      </c>
      <c r="S54">
        <v>2.21</v>
      </c>
      <c r="T54" t="s">
        <v>421</v>
      </c>
      <c r="U54" t="s">
        <v>108</v>
      </c>
      <c r="V54" s="101">
        <v>46225</v>
      </c>
      <c r="W54">
        <v>1</v>
      </c>
      <c r="X54">
        <v>1</v>
      </c>
      <c r="Y54">
        <v>0</v>
      </c>
      <c r="Z54">
        <v>0</v>
      </c>
      <c r="AA54">
        <v>0</v>
      </c>
    </row>
    <row r="55" spans="1:27" x14ac:dyDescent="0.3">
      <c r="A55">
        <v>6</v>
      </c>
      <c r="B55">
        <v>27</v>
      </c>
      <c r="C55">
        <v>0</v>
      </c>
      <c r="D55">
        <v>0</v>
      </c>
      <c r="E55">
        <v>0</v>
      </c>
      <c r="F55" t="s">
        <v>907</v>
      </c>
      <c r="G55" s="101">
        <v>46226</v>
      </c>
      <c r="H55" t="s">
        <v>420</v>
      </c>
      <c r="I55" t="s">
        <v>413</v>
      </c>
      <c r="J55" t="s">
        <v>414</v>
      </c>
      <c r="K55" t="s">
        <v>382</v>
      </c>
      <c r="L55" s="39">
        <v>0.37260416666666668</v>
      </c>
      <c r="M55" s="39">
        <v>0</v>
      </c>
      <c r="N55">
        <v>15.06</v>
      </c>
      <c r="O55" t="s">
        <v>416</v>
      </c>
      <c r="P55">
        <v>0</v>
      </c>
      <c r="Q55" t="s">
        <v>385</v>
      </c>
      <c r="R55">
        <v>0</v>
      </c>
      <c r="S55">
        <v>0</v>
      </c>
      <c r="T55" t="s">
        <v>421</v>
      </c>
      <c r="U55" t="s">
        <v>108</v>
      </c>
      <c r="V55" s="101">
        <v>46226</v>
      </c>
      <c r="W55">
        <v>1</v>
      </c>
      <c r="X55">
        <v>1</v>
      </c>
      <c r="Y55">
        <v>0</v>
      </c>
      <c r="Z55">
        <v>0</v>
      </c>
      <c r="AA55">
        <v>0</v>
      </c>
    </row>
    <row r="56" spans="1:27" x14ac:dyDescent="0.3">
      <c r="A56">
        <v>6</v>
      </c>
      <c r="B56">
        <v>27</v>
      </c>
      <c r="C56">
        <v>0</v>
      </c>
      <c r="D56">
        <v>0</v>
      </c>
      <c r="E56">
        <v>0</v>
      </c>
      <c r="F56" t="s">
        <v>907</v>
      </c>
      <c r="G56" s="101">
        <v>46227</v>
      </c>
      <c r="H56" t="s">
        <v>420</v>
      </c>
      <c r="I56" t="s">
        <v>413</v>
      </c>
      <c r="J56" t="s">
        <v>414</v>
      </c>
      <c r="K56" t="s">
        <v>382</v>
      </c>
      <c r="L56" s="39">
        <v>0.37270833333333331</v>
      </c>
      <c r="M56" s="39">
        <v>0.83834490740740741</v>
      </c>
      <c r="N56">
        <v>11.18</v>
      </c>
      <c r="O56" t="s">
        <v>568</v>
      </c>
      <c r="P56">
        <v>0</v>
      </c>
      <c r="Q56" t="s">
        <v>895</v>
      </c>
      <c r="R56">
        <v>2.62</v>
      </c>
      <c r="S56">
        <v>2.62</v>
      </c>
      <c r="T56" t="s">
        <v>421</v>
      </c>
      <c r="U56" t="s">
        <v>108</v>
      </c>
      <c r="V56" s="101">
        <v>46227</v>
      </c>
      <c r="W56">
        <v>1</v>
      </c>
      <c r="X56">
        <v>1</v>
      </c>
      <c r="Y56">
        <v>0</v>
      </c>
      <c r="Z56">
        <v>0</v>
      </c>
      <c r="AA56">
        <v>0</v>
      </c>
    </row>
    <row r="57" spans="1:27" x14ac:dyDescent="0.3">
      <c r="A57">
        <v>6</v>
      </c>
      <c r="B57">
        <v>27</v>
      </c>
      <c r="C57">
        <v>0</v>
      </c>
      <c r="D57">
        <v>0</v>
      </c>
      <c r="E57">
        <v>0</v>
      </c>
      <c r="F57" t="s">
        <v>907</v>
      </c>
      <c r="G57" s="101">
        <v>46228</v>
      </c>
      <c r="H57" t="s">
        <v>420</v>
      </c>
      <c r="I57" t="s">
        <v>413</v>
      </c>
      <c r="J57" t="s">
        <v>414</v>
      </c>
      <c r="K57" t="s">
        <v>382</v>
      </c>
      <c r="L57" s="39">
        <v>0.37390046296296298</v>
      </c>
      <c r="M57" s="39">
        <v>0.68072916666666672</v>
      </c>
      <c r="N57">
        <v>7.36</v>
      </c>
      <c r="O57" t="s">
        <v>896</v>
      </c>
      <c r="P57">
        <v>0</v>
      </c>
      <c r="Q57" t="s">
        <v>897</v>
      </c>
      <c r="R57">
        <v>0</v>
      </c>
      <c r="S57">
        <v>0</v>
      </c>
      <c r="T57" t="s">
        <v>421</v>
      </c>
      <c r="U57" t="s">
        <v>108</v>
      </c>
      <c r="V57" s="101">
        <v>46228</v>
      </c>
      <c r="W57">
        <v>1</v>
      </c>
      <c r="X57">
        <v>1</v>
      </c>
      <c r="Y57">
        <v>0</v>
      </c>
      <c r="Z57">
        <v>0</v>
      </c>
      <c r="AA57">
        <v>0</v>
      </c>
    </row>
    <row r="58" spans="1:27" x14ac:dyDescent="0.3">
      <c r="A58">
        <v>6</v>
      </c>
      <c r="B58">
        <v>27</v>
      </c>
      <c r="C58">
        <v>0</v>
      </c>
      <c r="D58">
        <v>0</v>
      </c>
      <c r="E58">
        <v>0</v>
      </c>
      <c r="F58" t="s">
        <v>907</v>
      </c>
      <c r="G58" s="101">
        <v>46229</v>
      </c>
      <c r="H58" t="s">
        <v>420</v>
      </c>
      <c r="I58" t="s">
        <v>413</v>
      </c>
      <c r="J58" t="s">
        <v>414</v>
      </c>
      <c r="K58" t="s">
        <v>383</v>
      </c>
      <c r="L58" s="39">
        <v>0</v>
      </c>
      <c r="M58" s="39">
        <v>0</v>
      </c>
      <c r="N58">
        <v>0</v>
      </c>
      <c r="O58" t="s">
        <v>384</v>
      </c>
      <c r="P58">
        <v>9</v>
      </c>
      <c r="Q58" t="s">
        <v>385</v>
      </c>
      <c r="R58">
        <v>0</v>
      </c>
      <c r="S58">
        <v>9</v>
      </c>
      <c r="T58" t="s">
        <v>421</v>
      </c>
      <c r="U58" t="s">
        <v>366</v>
      </c>
      <c r="V58" s="101">
        <v>46229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 x14ac:dyDescent="0.3">
      <c r="A59">
        <v>6</v>
      </c>
      <c r="B59">
        <v>27</v>
      </c>
      <c r="C59">
        <v>0</v>
      </c>
      <c r="D59">
        <v>0</v>
      </c>
      <c r="E59">
        <v>0</v>
      </c>
      <c r="F59" t="s">
        <v>907</v>
      </c>
      <c r="G59" s="101">
        <v>46230</v>
      </c>
      <c r="H59" t="s">
        <v>420</v>
      </c>
      <c r="I59" t="s">
        <v>413</v>
      </c>
      <c r="J59" t="s">
        <v>414</v>
      </c>
      <c r="K59" t="s">
        <v>382</v>
      </c>
      <c r="L59" s="39">
        <v>0.34775462962962961</v>
      </c>
      <c r="M59" s="39">
        <v>0.82401620370370365</v>
      </c>
      <c r="N59">
        <v>11.43</v>
      </c>
      <c r="O59" t="s">
        <v>898</v>
      </c>
      <c r="P59">
        <v>0.5</v>
      </c>
      <c r="Q59" t="s">
        <v>899</v>
      </c>
      <c r="R59">
        <v>2.2799999999999998</v>
      </c>
      <c r="S59">
        <v>2.78</v>
      </c>
      <c r="T59" t="s">
        <v>421</v>
      </c>
      <c r="U59" t="s">
        <v>108</v>
      </c>
      <c r="V59" s="101">
        <v>46230</v>
      </c>
      <c r="W59">
        <v>1</v>
      </c>
      <c r="X59">
        <v>1</v>
      </c>
      <c r="Y59">
        <v>0</v>
      </c>
      <c r="Z59">
        <v>0</v>
      </c>
      <c r="AA59">
        <v>0</v>
      </c>
    </row>
    <row r="60" spans="1:27" x14ac:dyDescent="0.3">
      <c r="A60">
        <v>6</v>
      </c>
      <c r="B60">
        <v>27</v>
      </c>
      <c r="C60">
        <v>0</v>
      </c>
      <c r="D60">
        <v>0</v>
      </c>
      <c r="E60">
        <v>0</v>
      </c>
      <c r="F60" t="s">
        <v>907</v>
      </c>
      <c r="G60" s="101">
        <v>46231</v>
      </c>
      <c r="H60" t="s">
        <v>420</v>
      </c>
      <c r="I60" t="s">
        <v>413</v>
      </c>
      <c r="J60" t="s">
        <v>414</v>
      </c>
      <c r="K60" t="s">
        <v>382</v>
      </c>
      <c r="L60" s="39">
        <v>0.36805555555555558</v>
      </c>
      <c r="M60" s="39">
        <v>0.81312499999999999</v>
      </c>
      <c r="N60">
        <v>10.68</v>
      </c>
      <c r="O60" t="s">
        <v>900</v>
      </c>
      <c r="P60">
        <v>0</v>
      </c>
      <c r="Q60" t="s">
        <v>901</v>
      </c>
      <c r="R60">
        <v>2.02</v>
      </c>
      <c r="S60">
        <v>2.02</v>
      </c>
      <c r="T60" t="s">
        <v>421</v>
      </c>
      <c r="U60" t="s">
        <v>108</v>
      </c>
      <c r="V60" s="101">
        <v>46231</v>
      </c>
      <c r="W60">
        <v>1</v>
      </c>
      <c r="X60">
        <v>1</v>
      </c>
      <c r="Y60">
        <v>0</v>
      </c>
      <c r="Z60">
        <v>0</v>
      </c>
      <c r="AA60">
        <v>0</v>
      </c>
    </row>
    <row r="61" spans="1:27" x14ac:dyDescent="0.3">
      <c r="A61">
        <v>6</v>
      </c>
      <c r="B61">
        <v>27</v>
      </c>
      <c r="C61">
        <v>0</v>
      </c>
      <c r="D61">
        <v>0</v>
      </c>
      <c r="E61">
        <v>0</v>
      </c>
      <c r="F61" t="s">
        <v>907</v>
      </c>
      <c r="G61" s="101">
        <v>46232</v>
      </c>
      <c r="H61" t="s">
        <v>420</v>
      </c>
      <c r="I61" t="s">
        <v>413</v>
      </c>
      <c r="J61" t="s">
        <v>414</v>
      </c>
      <c r="K61" t="s">
        <v>382</v>
      </c>
      <c r="L61" s="39">
        <v>0.37011574074074072</v>
      </c>
      <c r="M61" s="39">
        <v>0.84688657407407408</v>
      </c>
      <c r="N61">
        <v>11.44</v>
      </c>
      <c r="O61" t="s">
        <v>902</v>
      </c>
      <c r="P61">
        <v>0</v>
      </c>
      <c r="Q61" t="s">
        <v>903</v>
      </c>
      <c r="R61">
        <v>2.83</v>
      </c>
      <c r="S61">
        <v>2.83</v>
      </c>
      <c r="T61" t="s">
        <v>421</v>
      </c>
      <c r="U61" t="s">
        <v>108</v>
      </c>
      <c r="V61" s="101">
        <v>46232</v>
      </c>
      <c r="W61">
        <v>1</v>
      </c>
      <c r="X61">
        <v>1</v>
      </c>
      <c r="Y61">
        <v>0</v>
      </c>
      <c r="Z61">
        <v>0</v>
      </c>
      <c r="AA61">
        <v>0</v>
      </c>
    </row>
    <row r="62" spans="1:27" x14ac:dyDescent="0.3">
      <c r="A62">
        <v>6</v>
      </c>
      <c r="B62">
        <v>27</v>
      </c>
      <c r="C62">
        <v>0</v>
      </c>
      <c r="D62">
        <v>0</v>
      </c>
      <c r="E62">
        <v>0</v>
      </c>
      <c r="F62" t="s">
        <v>907</v>
      </c>
      <c r="G62" s="101">
        <v>46233</v>
      </c>
      <c r="H62" t="s">
        <v>420</v>
      </c>
      <c r="I62" t="s">
        <v>413</v>
      </c>
      <c r="J62" t="s">
        <v>414</v>
      </c>
      <c r="K62" t="s">
        <v>382</v>
      </c>
      <c r="L62" s="39">
        <v>0.37041666666666667</v>
      </c>
      <c r="M62" s="39">
        <v>0.79939814814814814</v>
      </c>
      <c r="N62">
        <v>10.3</v>
      </c>
      <c r="O62" t="s">
        <v>597</v>
      </c>
      <c r="P62">
        <v>0</v>
      </c>
      <c r="Q62" t="s">
        <v>904</v>
      </c>
      <c r="R62">
        <v>1.69</v>
      </c>
      <c r="S62">
        <v>1.69</v>
      </c>
      <c r="T62" t="s">
        <v>421</v>
      </c>
      <c r="U62" t="s">
        <v>108</v>
      </c>
      <c r="V62" s="101">
        <v>46233</v>
      </c>
      <c r="W62">
        <v>1</v>
      </c>
      <c r="X62">
        <v>1</v>
      </c>
      <c r="Y62">
        <v>0</v>
      </c>
      <c r="Z62">
        <v>0</v>
      </c>
      <c r="AA62">
        <v>0</v>
      </c>
    </row>
    <row r="63" spans="1:27" x14ac:dyDescent="0.3">
      <c r="A63">
        <v>6</v>
      </c>
      <c r="B63">
        <v>27</v>
      </c>
      <c r="C63">
        <v>0</v>
      </c>
      <c r="D63">
        <v>0</v>
      </c>
      <c r="E63">
        <v>0</v>
      </c>
      <c r="F63" t="s">
        <v>907</v>
      </c>
      <c r="G63" s="101">
        <v>46234</v>
      </c>
      <c r="H63" t="s">
        <v>420</v>
      </c>
      <c r="I63" t="s">
        <v>413</v>
      </c>
      <c r="J63" t="s">
        <v>414</v>
      </c>
      <c r="K63" t="s">
        <v>382</v>
      </c>
      <c r="L63" s="39">
        <v>0.37059027777777775</v>
      </c>
      <c r="M63" s="39">
        <v>0.7958101851851852</v>
      </c>
      <c r="N63">
        <v>10.210000000000001</v>
      </c>
      <c r="O63" t="s">
        <v>905</v>
      </c>
      <c r="P63">
        <v>0</v>
      </c>
      <c r="Q63" t="s">
        <v>906</v>
      </c>
      <c r="R63">
        <v>1.6</v>
      </c>
      <c r="S63">
        <v>1.6</v>
      </c>
      <c r="T63" t="s">
        <v>421</v>
      </c>
      <c r="U63" t="s">
        <v>108</v>
      </c>
      <c r="V63" s="101">
        <v>46234</v>
      </c>
      <c r="W63">
        <v>1</v>
      </c>
      <c r="X63">
        <v>1</v>
      </c>
      <c r="Y63">
        <v>0</v>
      </c>
      <c r="Z63">
        <v>0</v>
      </c>
      <c r="AA63">
        <v>0</v>
      </c>
    </row>
    <row r="64" spans="1:27" x14ac:dyDescent="0.3">
      <c r="A64">
        <v>14</v>
      </c>
      <c r="B64">
        <v>25.5</v>
      </c>
      <c r="C64">
        <v>1.5</v>
      </c>
      <c r="D64">
        <v>0</v>
      </c>
      <c r="E64">
        <v>0</v>
      </c>
      <c r="F64" t="s">
        <v>1617</v>
      </c>
      <c r="G64" s="101">
        <v>46204</v>
      </c>
      <c r="H64" t="s">
        <v>97</v>
      </c>
      <c r="I64" t="s">
        <v>413</v>
      </c>
      <c r="J64" t="s">
        <v>414</v>
      </c>
      <c r="K64" t="s">
        <v>382</v>
      </c>
      <c r="L64" s="39">
        <v>0.37641203703703702</v>
      </c>
      <c r="M64" s="39">
        <v>0.73222222222222222</v>
      </c>
      <c r="N64">
        <v>8.5399999999999991</v>
      </c>
      <c r="O64" t="s">
        <v>908</v>
      </c>
      <c r="P64">
        <v>0</v>
      </c>
      <c r="Q64" t="s">
        <v>434</v>
      </c>
      <c r="R64">
        <v>0</v>
      </c>
      <c r="S64">
        <v>0</v>
      </c>
      <c r="T64" t="s">
        <v>423</v>
      </c>
      <c r="U64" t="s">
        <v>108</v>
      </c>
      <c r="V64" s="101">
        <v>46204</v>
      </c>
      <c r="W64">
        <v>1</v>
      </c>
      <c r="X64">
        <v>1</v>
      </c>
      <c r="Y64">
        <v>0</v>
      </c>
      <c r="Z64">
        <v>0</v>
      </c>
      <c r="AA64">
        <v>0</v>
      </c>
    </row>
    <row r="65" spans="1:27" x14ac:dyDescent="0.3">
      <c r="A65">
        <v>14</v>
      </c>
      <c r="B65">
        <v>25.5</v>
      </c>
      <c r="C65">
        <v>1.5</v>
      </c>
      <c r="D65">
        <v>0</v>
      </c>
      <c r="E65">
        <v>0</v>
      </c>
      <c r="F65" t="s">
        <v>1617</v>
      </c>
      <c r="G65" s="101">
        <v>46205</v>
      </c>
      <c r="H65" t="s">
        <v>97</v>
      </c>
      <c r="I65" t="s">
        <v>413</v>
      </c>
      <c r="J65" t="s">
        <v>414</v>
      </c>
      <c r="K65" t="s">
        <v>382</v>
      </c>
      <c r="L65" s="39">
        <v>0.38047453703703704</v>
      </c>
      <c r="M65" s="39">
        <v>0.73179398148148145</v>
      </c>
      <c r="N65">
        <v>8.43</v>
      </c>
      <c r="O65" t="s">
        <v>909</v>
      </c>
      <c r="P65">
        <v>0</v>
      </c>
      <c r="Q65" t="s">
        <v>910</v>
      </c>
      <c r="R65">
        <v>0</v>
      </c>
      <c r="S65">
        <v>0</v>
      </c>
      <c r="T65" t="s">
        <v>423</v>
      </c>
      <c r="U65" t="s">
        <v>108</v>
      </c>
      <c r="V65" s="101">
        <v>46205</v>
      </c>
      <c r="W65">
        <v>1</v>
      </c>
      <c r="X65">
        <v>1</v>
      </c>
      <c r="Y65">
        <v>0</v>
      </c>
      <c r="Z65">
        <v>0</v>
      </c>
      <c r="AA65">
        <v>0</v>
      </c>
    </row>
    <row r="66" spans="1:27" x14ac:dyDescent="0.3">
      <c r="A66">
        <v>14</v>
      </c>
      <c r="B66">
        <v>25.5</v>
      </c>
      <c r="C66">
        <v>1.5</v>
      </c>
      <c r="D66">
        <v>0</v>
      </c>
      <c r="E66">
        <v>0</v>
      </c>
      <c r="F66" t="s">
        <v>1617</v>
      </c>
      <c r="G66" s="101">
        <v>46206</v>
      </c>
      <c r="H66" t="s">
        <v>97</v>
      </c>
      <c r="I66" t="s">
        <v>413</v>
      </c>
      <c r="J66" t="s">
        <v>414</v>
      </c>
      <c r="K66" t="s">
        <v>382</v>
      </c>
      <c r="L66" s="39">
        <v>0.564849537037037</v>
      </c>
      <c r="M66" s="39">
        <v>0.73480324074074077</v>
      </c>
      <c r="N66">
        <v>4.08</v>
      </c>
      <c r="O66" t="s">
        <v>911</v>
      </c>
      <c r="P66">
        <v>0</v>
      </c>
      <c r="Q66" t="s">
        <v>912</v>
      </c>
      <c r="R66">
        <v>0</v>
      </c>
      <c r="S66">
        <v>0</v>
      </c>
      <c r="T66" t="s">
        <v>423</v>
      </c>
      <c r="U66" t="s">
        <v>314</v>
      </c>
      <c r="V66" s="101">
        <v>46206</v>
      </c>
      <c r="W66">
        <v>0.5</v>
      </c>
      <c r="X66">
        <v>0.5</v>
      </c>
      <c r="Y66">
        <v>0</v>
      </c>
      <c r="Z66">
        <v>0</v>
      </c>
      <c r="AA66">
        <v>0</v>
      </c>
    </row>
    <row r="67" spans="1:27" x14ac:dyDescent="0.3">
      <c r="A67">
        <v>14</v>
      </c>
      <c r="B67">
        <v>25.5</v>
      </c>
      <c r="C67">
        <v>1.5</v>
      </c>
      <c r="D67">
        <v>0</v>
      </c>
      <c r="E67">
        <v>0</v>
      </c>
      <c r="F67" t="s">
        <v>1617</v>
      </c>
      <c r="G67" s="101">
        <v>46207</v>
      </c>
      <c r="H67" t="s">
        <v>97</v>
      </c>
      <c r="I67" t="s">
        <v>413</v>
      </c>
      <c r="J67" t="s">
        <v>414</v>
      </c>
      <c r="K67" t="s">
        <v>382</v>
      </c>
      <c r="L67" s="39">
        <v>0.38212962962962965</v>
      </c>
      <c r="M67" s="39">
        <v>0.73250000000000004</v>
      </c>
      <c r="N67">
        <v>8.41</v>
      </c>
      <c r="O67" t="s">
        <v>913</v>
      </c>
      <c r="P67">
        <v>0</v>
      </c>
      <c r="Q67" t="s">
        <v>914</v>
      </c>
      <c r="R67">
        <v>0</v>
      </c>
      <c r="S67">
        <v>0</v>
      </c>
      <c r="T67" t="s">
        <v>423</v>
      </c>
      <c r="U67" t="s">
        <v>108</v>
      </c>
      <c r="V67" s="101">
        <v>46207</v>
      </c>
      <c r="W67">
        <v>1</v>
      </c>
      <c r="X67">
        <v>1</v>
      </c>
      <c r="Y67">
        <v>0</v>
      </c>
      <c r="Z67">
        <v>0</v>
      </c>
      <c r="AA67">
        <v>0</v>
      </c>
    </row>
    <row r="68" spans="1:27" x14ac:dyDescent="0.3">
      <c r="A68">
        <v>14</v>
      </c>
      <c r="B68">
        <v>25.5</v>
      </c>
      <c r="C68">
        <v>1.5</v>
      </c>
      <c r="D68">
        <v>0</v>
      </c>
      <c r="E68">
        <v>0</v>
      </c>
      <c r="F68" t="s">
        <v>1617</v>
      </c>
      <c r="G68" s="101">
        <v>46208</v>
      </c>
      <c r="H68" t="s">
        <v>97</v>
      </c>
      <c r="I68" t="s">
        <v>413</v>
      </c>
      <c r="J68" t="s">
        <v>414</v>
      </c>
      <c r="K68" t="s">
        <v>383</v>
      </c>
      <c r="L68" s="39">
        <v>0</v>
      </c>
      <c r="M68" s="39">
        <v>0</v>
      </c>
      <c r="N68">
        <v>0</v>
      </c>
      <c r="O68" t="s">
        <v>384</v>
      </c>
      <c r="P68">
        <v>9</v>
      </c>
      <c r="Q68" t="s">
        <v>385</v>
      </c>
      <c r="R68">
        <v>0</v>
      </c>
      <c r="S68">
        <v>9</v>
      </c>
      <c r="T68" t="s">
        <v>423</v>
      </c>
      <c r="U68" t="s">
        <v>366</v>
      </c>
      <c r="V68" s="101">
        <v>46208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 x14ac:dyDescent="0.3">
      <c r="A69">
        <v>14</v>
      </c>
      <c r="B69">
        <v>25.5</v>
      </c>
      <c r="C69">
        <v>1.5</v>
      </c>
      <c r="D69">
        <v>0</v>
      </c>
      <c r="E69">
        <v>0</v>
      </c>
      <c r="F69" t="s">
        <v>1617</v>
      </c>
      <c r="G69" s="101">
        <v>46209</v>
      </c>
      <c r="H69" t="s">
        <v>97</v>
      </c>
      <c r="I69" t="s">
        <v>413</v>
      </c>
      <c r="J69" t="s">
        <v>414</v>
      </c>
      <c r="K69" t="s">
        <v>382</v>
      </c>
      <c r="L69" s="39">
        <v>0.37395833333333334</v>
      </c>
      <c r="M69" s="39">
        <v>0.73145833333333332</v>
      </c>
      <c r="N69">
        <v>8.58</v>
      </c>
      <c r="O69" t="s">
        <v>915</v>
      </c>
      <c r="P69">
        <v>0</v>
      </c>
      <c r="Q69" t="s">
        <v>568</v>
      </c>
      <c r="R69">
        <v>0</v>
      </c>
      <c r="S69">
        <v>0</v>
      </c>
      <c r="T69" t="s">
        <v>423</v>
      </c>
      <c r="U69" t="s">
        <v>108</v>
      </c>
      <c r="V69" s="101">
        <v>46209</v>
      </c>
      <c r="W69">
        <v>1</v>
      </c>
      <c r="X69">
        <v>1</v>
      </c>
      <c r="Y69">
        <v>0</v>
      </c>
      <c r="Z69">
        <v>0</v>
      </c>
      <c r="AA69">
        <v>0</v>
      </c>
    </row>
    <row r="70" spans="1:27" x14ac:dyDescent="0.3">
      <c r="A70">
        <v>14</v>
      </c>
      <c r="B70">
        <v>25.5</v>
      </c>
      <c r="C70">
        <v>1.5</v>
      </c>
      <c r="D70">
        <v>0</v>
      </c>
      <c r="E70">
        <v>0</v>
      </c>
      <c r="F70" t="s">
        <v>1617</v>
      </c>
      <c r="G70" s="101">
        <v>46210</v>
      </c>
      <c r="H70" t="s">
        <v>97</v>
      </c>
      <c r="I70" t="s">
        <v>413</v>
      </c>
      <c r="J70" t="s">
        <v>414</v>
      </c>
      <c r="K70" t="s">
        <v>382</v>
      </c>
      <c r="L70" s="39">
        <v>0.37104166666666666</v>
      </c>
      <c r="M70" s="39">
        <v>0.73894675925925923</v>
      </c>
      <c r="N70">
        <v>8.83</v>
      </c>
      <c r="O70" t="s">
        <v>661</v>
      </c>
      <c r="P70">
        <v>0</v>
      </c>
      <c r="Q70" t="s">
        <v>739</v>
      </c>
      <c r="R70">
        <v>0</v>
      </c>
      <c r="S70">
        <v>0</v>
      </c>
      <c r="T70" t="s">
        <v>423</v>
      </c>
      <c r="U70" t="s">
        <v>108</v>
      </c>
      <c r="V70" s="101">
        <v>46210</v>
      </c>
      <c r="W70">
        <v>1</v>
      </c>
      <c r="X70">
        <v>1</v>
      </c>
      <c r="Y70">
        <v>0</v>
      </c>
      <c r="Z70">
        <v>0</v>
      </c>
      <c r="AA70">
        <v>0</v>
      </c>
    </row>
    <row r="71" spans="1:27" x14ac:dyDescent="0.3">
      <c r="A71">
        <v>14</v>
      </c>
      <c r="B71">
        <v>25.5</v>
      </c>
      <c r="C71">
        <v>1.5</v>
      </c>
      <c r="D71">
        <v>0</v>
      </c>
      <c r="E71">
        <v>0</v>
      </c>
      <c r="F71" t="s">
        <v>1617</v>
      </c>
      <c r="G71" s="101">
        <v>46211</v>
      </c>
      <c r="H71" t="s">
        <v>97</v>
      </c>
      <c r="I71" t="s">
        <v>413</v>
      </c>
      <c r="J71" t="s">
        <v>414</v>
      </c>
      <c r="K71" t="s">
        <v>382</v>
      </c>
      <c r="L71" s="39">
        <v>0.37490740740740741</v>
      </c>
      <c r="M71" s="39">
        <v>0.7336111111111111</v>
      </c>
      <c r="N71">
        <v>8.61</v>
      </c>
      <c r="O71" t="s">
        <v>916</v>
      </c>
      <c r="P71">
        <v>0</v>
      </c>
      <c r="Q71" t="s">
        <v>917</v>
      </c>
      <c r="R71">
        <v>0</v>
      </c>
      <c r="S71">
        <v>0</v>
      </c>
      <c r="T71" t="s">
        <v>423</v>
      </c>
      <c r="U71" t="s">
        <v>108</v>
      </c>
      <c r="V71" s="101">
        <v>46211</v>
      </c>
      <c r="W71">
        <v>1</v>
      </c>
      <c r="X71">
        <v>1</v>
      </c>
      <c r="Y71">
        <v>0</v>
      </c>
      <c r="Z71">
        <v>0</v>
      </c>
      <c r="AA71">
        <v>0</v>
      </c>
    </row>
    <row r="72" spans="1:27" x14ac:dyDescent="0.3">
      <c r="A72">
        <v>14</v>
      </c>
      <c r="B72">
        <v>25.5</v>
      </c>
      <c r="C72">
        <v>1.5</v>
      </c>
      <c r="D72">
        <v>0</v>
      </c>
      <c r="E72">
        <v>0</v>
      </c>
      <c r="F72" t="s">
        <v>1617</v>
      </c>
      <c r="G72" s="101">
        <v>46212</v>
      </c>
      <c r="H72" t="s">
        <v>97</v>
      </c>
      <c r="I72" t="s">
        <v>413</v>
      </c>
      <c r="J72" t="s">
        <v>414</v>
      </c>
      <c r="K72" t="s">
        <v>382</v>
      </c>
      <c r="L72" s="39">
        <v>0.37648148148148147</v>
      </c>
      <c r="M72" s="39">
        <v>0.73438657407407404</v>
      </c>
      <c r="N72">
        <v>8.59</v>
      </c>
      <c r="O72" t="s">
        <v>918</v>
      </c>
      <c r="P72">
        <v>0</v>
      </c>
      <c r="Q72" t="s">
        <v>750</v>
      </c>
      <c r="R72">
        <v>0</v>
      </c>
      <c r="S72">
        <v>0</v>
      </c>
      <c r="T72" t="s">
        <v>423</v>
      </c>
      <c r="U72" t="s">
        <v>108</v>
      </c>
      <c r="V72" s="101">
        <v>46212</v>
      </c>
      <c r="W72">
        <v>1</v>
      </c>
      <c r="X72">
        <v>1</v>
      </c>
      <c r="Y72">
        <v>0</v>
      </c>
      <c r="Z72">
        <v>0</v>
      </c>
      <c r="AA72">
        <v>0</v>
      </c>
    </row>
    <row r="73" spans="1:27" x14ac:dyDescent="0.3">
      <c r="A73">
        <v>14</v>
      </c>
      <c r="B73">
        <v>25.5</v>
      </c>
      <c r="C73">
        <v>1.5</v>
      </c>
      <c r="D73">
        <v>0</v>
      </c>
      <c r="E73">
        <v>0</v>
      </c>
      <c r="F73" t="s">
        <v>1617</v>
      </c>
      <c r="G73" s="101">
        <v>46213</v>
      </c>
      <c r="H73" t="s">
        <v>97</v>
      </c>
      <c r="I73" t="s">
        <v>413</v>
      </c>
      <c r="J73" t="s">
        <v>414</v>
      </c>
      <c r="K73" t="s">
        <v>382</v>
      </c>
      <c r="L73" s="39">
        <v>0.38859953703703703</v>
      </c>
      <c r="M73" s="39">
        <v>0.73295138888888889</v>
      </c>
      <c r="N73">
        <v>8.26</v>
      </c>
      <c r="O73" t="s">
        <v>919</v>
      </c>
      <c r="P73">
        <v>0</v>
      </c>
      <c r="Q73" t="s">
        <v>920</v>
      </c>
      <c r="R73">
        <v>0</v>
      </c>
      <c r="S73">
        <v>0</v>
      </c>
      <c r="T73" t="s">
        <v>423</v>
      </c>
      <c r="U73" t="s">
        <v>108</v>
      </c>
      <c r="V73" s="101">
        <v>46213</v>
      </c>
      <c r="W73">
        <v>1</v>
      </c>
      <c r="X73">
        <v>1</v>
      </c>
      <c r="Y73">
        <v>0</v>
      </c>
      <c r="Z73">
        <v>0</v>
      </c>
      <c r="AA73">
        <v>0</v>
      </c>
    </row>
    <row r="74" spans="1:27" x14ac:dyDescent="0.3">
      <c r="A74">
        <v>14</v>
      </c>
      <c r="B74">
        <v>25.5</v>
      </c>
      <c r="C74">
        <v>1.5</v>
      </c>
      <c r="D74">
        <v>0</v>
      </c>
      <c r="E74">
        <v>0</v>
      </c>
      <c r="F74" t="s">
        <v>1617</v>
      </c>
      <c r="G74" s="101">
        <v>46214</v>
      </c>
      <c r="H74" t="s">
        <v>97</v>
      </c>
      <c r="I74" t="s">
        <v>413</v>
      </c>
      <c r="J74" t="s">
        <v>414</v>
      </c>
      <c r="K74" t="s">
        <v>382</v>
      </c>
      <c r="L74" s="39">
        <v>0.37815972222222222</v>
      </c>
      <c r="M74" s="39">
        <v>0.7356597222222222</v>
      </c>
      <c r="N74">
        <v>8.58</v>
      </c>
      <c r="O74" t="s">
        <v>773</v>
      </c>
      <c r="P74">
        <v>0</v>
      </c>
      <c r="Q74" t="s">
        <v>573</v>
      </c>
      <c r="R74">
        <v>0</v>
      </c>
      <c r="S74">
        <v>0</v>
      </c>
      <c r="T74" t="s">
        <v>423</v>
      </c>
      <c r="U74" t="s">
        <v>108</v>
      </c>
      <c r="V74" s="101">
        <v>46214</v>
      </c>
      <c r="W74">
        <v>1</v>
      </c>
      <c r="X74">
        <v>1</v>
      </c>
      <c r="Y74">
        <v>0</v>
      </c>
      <c r="Z74">
        <v>0</v>
      </c>
      <c r="AA74">
        <v>0</v>
      </c>
    </row>
    <row r="75" spans="1:27" x14ac:dyDescent="0.3">
      <c r="A75">
        <v>14</v>
      </c>
      <c r="B75">
        <v>25.5</v>
      </c>
      <c r="C75">
        <v>1.5</v>
      </c>
      <c r="D75">
        <v>0</v>
      </c>
      <c r="E75">
        <v>0</v>
      </c>
      <c r="F75" t="s">
        <v>1617</v>
      </c>
      <c r="G75" s="101">
        <v>46215</v>
      </c>
      <c r="H75" t="s">
        <v>97</v>
      </c>
      <c r="I75" t="s">
        <v>413</v>
      </c>
      <c r="J75" t="s">
        <v>414</v>
      </c>
      <c r="K75" t="s">
        <v>383</v>
      </c>
      <c r="L75" s="39">
        <v>0</v>
      </c>
      <c r="M75" s="39">
        <v>0</v>
      </c>
      <c r="N75">
        <v>0</v>
      </c>
      <c r="O75" t="s">
        <v>384</v>
      </c>
      <c r="P75">
        <v>9</v>
      </c>
      <c r="Q75" t="s">
        <v>385</v>
      </c>
      <c r="R75">
        <v>0</v>
      </c>
      <c r="S75">
        <v>9</v>
      </c>
      <c r="T75" t="s">
        <v>423</v>
      </c>
      <c r="U75" t="s">
        <v>366</v>
      </c>
      <c r="V75" s="101">
        <v>46215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 x14ac:dyDescent="0.3">
      <c r="A76">
        <v>14</v>
      </c>
      <c r="B76">
        <v>25.5</v>
      </c>
      <c r="C76">
        <v>1.5</v>
      </c>
      <c r="D76">
        <v>0</v>
      </c>
      <c r="E76">
        <v>0</v>
      </c>
      <c r="F76" t="s">
        <v>1617</v>
      </c>
      <c r="G76" s="101">
        <v>46216</v>
      </c>
      <c r="H76" t="s">
        <v>97</v>
      </c>
      <c r="I76" t="s">
        <v>413</v>
      </c>
      <c r="J76" t="s">
        <v>414</v>
      </c>
      <c r="K76" t="s">
        <v>382</v>
      </c>
      <c r="L76" s="39">
        <v>0.37222222222222223</v>
      </c>
      <c r="M76" s="39">
        <v>0.72859953703703706</v>
      </c>
      <c r="N76">
        <v>8.5500000000000007</v>
      </c>
      <c r="O76" t="s">
        <v>631</v>
      </c>
      <c r="P76">
        <v>0</v>
      </c>
      <c r="Q76" t="s">
        <v>454</v>
      </c>
      <c r="R76">
        <v>0</v>
      </c>
      <c r="S76">
        <v>0</v>
      </c>
      <c r="T76" t="s">
        <v>423</v>
      </c>
      <c r="U76" t="s">
        <v>108</v>
      </c>
      <c r="V76" s="101">
        <v>46216</v>
      </c>
      <c r="W76">
        <v>1</v>
      </c>
      <c r="X76">
        <v>1</v>
      </c>
      <c r="Y76">
        <v>0</v>
      </c>
      <c r="Z76">
        <v>0</v>
      </c>
      <c r="AA76">
        <v>0</v>
      </c>
    </row>
    <row r="77" spans="1:27" x14ac:dyDescent="0.3">
      <c r="A77">
        <v>14</v>
      </c>
      <c r="B77">
        <v>25.5</v>
      </c>
      <c r="C77">
        <v>1.5</v>
      </c>
      <c r="D77">
        <v>0</v>
      </c>
      <c r="E77">
        <v>0</v>
      </c>
      <c r="F77" t="s">
        <v>1617</v>
      </c>
      <c r="G77" s="101">
        <v>46217</v>
      </c>
      <c r="H77" t="s">
        <v>97</v>
      </c>
      <c r="I77" t="s">
        <v>413</v>
      </c>
      <c r="J77" t="s">
        <v>414</v>
      </c>
      <c r="K77" t="s">
        <v>382</v>
      </c>
      <c r="L77" s="39">
        <v>0.37604166666666666</v>
      </c>
      <c r="M77" s="39">
        <v>0.73410879629629633</v>
      </c>
      <c r="N77">
        <v>8.59</v>
      </c>
      <c r="O77" t="s">
        <v>468</v>
      </c>
      <c r="P77">
        <v>0</v>
      </c>
      <c r="Q77" t="s">
        <v>561</v>
      </c>
      <c r="R77">
        <v>0</v>
      </c>
      <c r="S77">
        <v>0</v>
      </c>
      <c r="T77" t="s">
        <v>423</v>
      </c>
      <c r="U77" t="s">
        <v>108</v>
      </c>
      <c r="V77" s="101">
        <v>46217</v>
      </c>
      <c r="W77">
        <v>1</v>
      </c>
      <c r="X77">
        <v>1</v>
      </c>
      <c r="Y77">
        <v>0</v>
      </c>
      <c r="Z77">
        <v>0</v>
      </c>
      <c r="AA77">
        <v>0</v>
      </c>
    </row>
    <row r="78" spans="1:27" x14ac:dyDescent="0.3">
      <c r="A78">
        <v>14</v>
      </c>
      <c r="B78">
        <v>25.5</v>
      </c>
      <c r="C78">
        <v>1.5</v>
      </c>
      <c r="D78">
        <v>0</v>
      </c>
      <c r="E78">
        <v>0</v>
      </c>
      <c r="F78" t="s">
        <v>1617</v>
      </c>
      <c r="G78" s="101">
        <v>46218</v>
      </c>
      <c r="H78" t="s">
        <v>97</v>
      </c>
      <c r="I78" t="s">
        <v>413</v>
      </c>
      <c r="J78" t="s">
        <v>414</v>
      </c>
      <c r="K78" t="s">
        <v>382</v>
      </c>
      <c r="L78" s="39">
        <v>0.37560185185185185</v>
      </c>
      <c r="M78" s="39">
        <v>0.72916666666666663</v>
      </c>
      <c r="N78">
        <v>8.49</v>
      </c>
      <c r="O78" t="s">
        <v>554</v>
      </c>
      <c r="P78">
        <v>0</v>
      </c>
      <c r="Q78" t="s">
        <v>418</v>
      </c>
      <c r="R78">
        <v>0</v>
      </c>
      <c r="S78">
        <v>0</v>
      </c>
      <c r="T78" t="s">
        <v>423</v>
      </c>
      <c r="U78" t="s">
        <v>108</v>
      </c>
      <c r="V78" s="101">
        <v>46218</v>
      </c>
      <c r="W78">
        <v>1</v>
      </c>
      <c r="X78">
        <v>1</v>
      </c>
      <c r="Y78">
        <v>0</v>
      </c>
      <c r="Z78">
        <v>0</v>
      </c>
      <c r="AA78">
        <v>0</v>
      </c>
    </row>
    <row r="79" spans="1:27" x14ac:dyDescent="0.3">
      <c r="A79">
        <v>14</v>
      </c>
      <c r="B79">
        <v>25.5</v>
      </c>
      <c r="C79">
        <v>1.5</v>
      </c>
      <c r="D79">
        <v>0</v>
      </c>
      <c r="E79">
        <v>0</v>
      </c>
      <c r="F79" t="s">
        <v>1617</v>
      </c>
      <c r="G79" s="101">
        <v>46219</v>
      </c>
      <c r="H79" t="s">
        <v>97</v>
      </c>
      <c r="I79" t="s">
        <v>413</v>
      </c>
      <c r="J79" t="s">
        <v>414</v>
      </c>
      <c r="K79" t="s">
        <v>382</v>
      </c>
      <c r="L79" s="39">
        <v>0.3769675925925926</v>
      </c>
      <c r="M79" s="39">
        <v>0.73273148148148148</v>
      </c>
      <c r="N79">
        <v>8.5399999999999991</v>
      </c>
      <c r="O79" t="s">
        <v>602</v>
      </c>
      <c r="P79">
        <v>0</v>
      </c>
      <c r="Q79" t="s">
        <v>921</v>
      </c>
      <c r="R79">
        <v>0</v>
      </c>
      <c r="S79">
        <v>0</v>
      </c>
      <c r="T79" t="s">
        <v>423</v>
      </c>
      <c r="U79" t="s">
        <v>108</v>
      </c>
      <c r="V79" s="101">
        <v>46219</v>
      </c>
      <c r="W79">
        <v>1</v>
      </c>
      <c r="X79">
        <v>1</v>
      </c>
      <c r="Y79">
        <v>0</v>
      </c>
      <c r="Z79">
        <v>0</v>
      </c>
      <c r="AA79">
        <v>0</v>
      </c>
    </row>
    <row r="80" spans="1:27" x14ac:dyDescent="0.3">
      <c r="A80">
        <v>14</v>
      </c>
      <c r="B80">
        <v>25.5</v>
      </c>
      <c r="C80">
        <v>1.5</v>
      </c>
      <c r="D80">
        <v>0</v>
      </c>
      <c r="E80">
        <v>0</v>
      </c>
      <c r="F80" t="s">
        <v>1617</v>
      </c>
      <c r="G80" s="101">
        <v>46220</v>
      </c>
      <c r="H80" t="s">
        <v>97</v>
      </c>
      <c r="I80" t="s">
        <v>413</v>
      </c>
      <c r="J80" t="s">
        <v>414</v>
      </c>
      <c r="K80" t="s">
        <v>382</v>
      </c>
      <c r="L80" s="39">
        <v>0.37783564814814813</v>
      </c>
      <c r="M80" s="39">
        <v>0.73799768518518516</v>
      </c>
      <c r="N80">
        <v>8.64</v>
      </c>
      <c r="O80" t="s">
        <v>922</v>
      </c>
      <c r="P80">
        <v>0</v>
      </c>
      <c r="Q80" t="s">
        <v>923</v>
      </c>
      <c r="R80">
        <v>0</v>
      </c>
      <c r="S80">
        <v>0</v>
      </c>
      <c r="T80" t="s">
        <v>423</v>
      </c>
      <c r="U80" t="s">
        <v>108</v>
      </c>
      <c r="V80" s="101">
        <v>46220</v>
      </c>
      <c r="W80">
        <v>1</v>
      </c>
      <c r="X80">
        <v>1</v>
      </c>
      <c r="Y80">
        <v>0</v>
      </c>
      <c r="Z80">
        <v>0</v>
      </c>
      <c r="AA80">
        <v>0</v>
      </c>
    </row>
    <row r="81" spans="1:27" x14ac:dyDescent="0.3">
      <c r="A81">
        <v>14</v>
      </c>
      <c r="B81">
        <v>25.5</v>
      </c>
      <c r="C81">
        <v>1.5</v>
      </c>
      <c r="D81">
        <v>0</v>
      </c>
      <c r="E81">
        <v>0</v>
      </c>
      <c r="F81" t="s">
        <v>1617</v>
      </c>
      <c r="G81" s="101">
        <v>46221</v>
      </c>
      <c r="H81" t="s">
        <v>97</v>
      </c>
      <c r="I81" t="s">
        <v>413</v>
      </c>
      <c r="J81" t="s">
        <v>414</v>
      </c>
      <c r="K81" t="s">
        <v>382</v>
      </c>
      <c r="L81" s="39">
        <v>0.37288194444444445</v>
      </c>
      <c r="M81" s="39">
        <v>0.73275462962962967</v>
      </c>
      <c r="N81">
        <v>8.64</v>
      </c>
      <c r="O81" t="s">
        <v>758</v>
      </c>
      <c r="P81">
        <v>0</v>
      </c>
      <c r="Q81" t="s">
        <v>924</v>
      </c>
      <c r="R81">
        <v>0</v>
      </c>
      <c r="S81">
        <v>0</v>
      </c>
      <c r="T81" t="s">
        <v>423</v>
      </c>
      <c r="U81" t="s">
        <v>108</v>
      </c>
      <c r="V81" s="101">
        <v>46221</v>
      </c>
      <c r="W81">
        <v>1</v>
      </c>
      <c r="X81">
        <v>1</v>
      </c>
      <c r="Y81">
        <v>0</v>
      </c>
      <c r="Z81">
        <v>0</v>
      </c>
      <c r="AA81">
        <v>0</v>
      </c>
    </row>
    <row r="82" spans="1:27" x14ac:dyDescent="0.3">
      <c r="A82">
        <v>14</v>
      </c>
      <c r="B82">
        <v>25.5</v>
      </c>
      <c r="C82">
        <v>1.5</v>
      </c>
      <c r="D82">
        <v>0</v>
      </c>
      <c r="E82">
        <v>0</v>
      </c>
      <c r="F82" t="s">
        <v>1617</v>
      </c>
      <c r="G82" s="101">
        <v>46222</v>
      </c>
      <c r="H82" t="s">
        <v>97</v>
      </c>
      <c r="I82" t="s">
        <v>413</v>
      </c>
      <c r="J82" t="s">
        <v>414</v>
      </c>
      <c r="K82" t="s">
        <v>382</v>
      </c>
      <c r="L82" s="39">
        <v>0.38633101851851853</v>
      </c>
      <c r="M82" s="39">
        <v>0.6857523148148148</v>
      </c>
      <c r="N82">
        <v>7.19</v>
      </c>
      <c r="O82" t="s">
        <v>925</v>
      </c>
      <c r="P82">
        <v>0</v>
      </c>
      <c r="Q82" t="s">
        <v>926</v>
      </c>
      <c r="R82">
        <v>0</v>
      </c>
      <c r="S82">
        <v>0</v>
      </c>
      <c r="T82" t="s">
        <v>423</v>
      </c>
      <c r="U82" t="s">
        <v>108</v>
      </c>
      <c r="V82" s="101">
        <v>46222</v>
      </c>
      <c r="W82">
        <v>1</v>
      </c>
      <c r="X82">
        <v>0</v>
      </c>
      <c r="Y82">
        <v>1</v>
      </c>
      <c r="Z82">
        <v>0</v>
      </c>
      <c r="AA82">
        <v>0</v>
      </c>
    </row>
    <row r="83" spans="1:27" x14ac:dyDescent="0.3">
      <c r="A83">
        <v>14</v>
      </c>
      <c r="B83">
        <v>25.5</v>
      </c>
      <c r="C83">
        <v>1.5</v>
      </c>
      <c r="D83">
        <v>0</v>
      </c>
      <c r="E83">
        <v>0</v>
      </c>
      <c r="F83" t="s">
        <v>1617</v>
      </c>
      <c r="G83" s="101">
        <v>46223</v>
      </c>
      <c r="H83" t="s">
        <v>97</v>
      </c>
      <c r="I83" t="s">
        <v>413</v>
      </c>
      <c r="J83" t="s">
        <v>414</v>
      </c>
      <c r="K83" t="s">
        <v>382</v>
      </c>
      <c r="L83" s="39">
        <v>0.37473379629629627</v>
      </c>
      <c r="M83" s="39">
        <v>0.73515046296296294</v>
      </c>
      <c r="N83">
        <v>8.65</v>
      </c>
      <c r="O83" t="s">
        <v>927</v>
      </c>
      <c r="P83">
        <v>0</v>
      </c>
      <c r="Q83" t="s">
        <v>755</v>
      </c>
      <c r="R83">
        <v>0</v>
      </c>
      <c r="S83">
        <v>0</v>
      </c>
      <c r="T83" t="s">
        <v>423</v>
      </c>
      <c r="U83" t="s">
        <v>108</v>
      </c>
      <c r="V83" s="101">
        <v>46223</v>
      </c>
      <c r="W83">
        <v>1</v>
      </c>
      <c r="X83">
        <v>1</v>
      </c>
      <c r="Y83">
        <v>0</v>
      </c>
      <c r="Z83">
        <v>0</v>
      </c>
      <c r="AA83">
        <v>0</v>
      </c>
    </row>
    <row r="84" spans="1:27" x14ac:dyDescent="0.3">
      <c r="A84">
        <v>14</v>
      </c>
      <c r="B84">
        <v>25.5</v>
      </c>
      <c r="C84">
        <v>1.5</v>
      </c>
      <c r="D84">
        <v>0</v>
      </c>
      <c r="E84">
        <v>0</v>
      </c>
      <c r="F84" t="s">
        <v>1617</v>
      </c>
      <c r="G84" s="101">
        <v>46224</v>
      </c>
      <c r="H84" t="s">
        <v>97</v>
      </c>
      <c r="I84" t="s">
        <v>413</v>
      </c>
      <c r="J84" t="s">
        <v>414</v>
      </c>
      <c r="K84" t="s">
        <v>382</v>
      </c>
      <c r="L84" s="39">
        <v>0.37119212962962961</v>
      </c>
      <c r="M84" s="39">
        <v>0.73109953703703701</v>
      </c>
      <c r="N84">
        <v>8.64</v>
      </c>
      <c r="O84" t="s">
        <v>865</v>
      </c>
      <c r="P84">
        <v>0</v>
      </c>
      <c r="Q84" t="s">
        <v>628</v>
      </c>
      <c r="R84">
        <v>0</v>
      </c>
      <c r="S84">
        <v>0</v>
      </c>
      <c r="T84" t="s">
        <v>423</v>
      </c>
      <c r="U84" t="s">
        <v>108</v>
      </c>
      <c r="V84" s="101">
        <v>46224</v>
      </c>
      <c r="W84">
        <v>1</v>
      </c>
      <c r="X84">
        <v>1</v>
      </c>
      <c r="Y84">
        <v>0</v>
      </c>
      <c r="Z84">
        <v>0</v>
      </c>
      <c r="AA84">
        <v>0</v>
      </c>
    </row>
    <row r="85" spans="1:27" x14ac:dyDescent="0.3">
      <c r="A85">
        <v>14</v>
      </c>
      <c r="B85">
        <v>25.5</v>
      </c>
      <c r="C85">
        <v>1.5</v>
      </c>
      <c r="D85">
        <v>0</v>
      </c>
      <c r="E85">
        <v>0</v>
      </c>
      <c r="F85" t="s">
        <v>1617</v>
      </c>
      <c r="G85" s="101">
        <v>46225</v>
      </c>
      <c r="H85" t="s">
        <v>97</v>
      </c>
      <c r="I85" t="s">
        <v>413</v>
      </c>
      <c r="J85" t="s">
        <v>414</v>
      </c>
      <c r="K85" t="s">
        <v>382</v>
      </c>
      <c r="L85" s="39">
        <v>0.37601851851851853</v>
      </c>
      <c r="M85" s="39">
        <v>0.73267361111111107</v>
      </c>
      <c r="N85">
        <v>8.56</v>
      </c>
      <c r="O85" t="s">
        <v>606</v>
      </c>
      <c r="P85">
        <v>0</v>
      </c>
      <c r="Q85" t="s">
        <v>609</v>
      </c>
      <c r="R85">
        <v>0</v>
      </c>
      <c r="S85">
        <v>0</v>
      </c>
      <c r="T85" t="s">
        <v>423</v>
      </c>
      <c r="U85" t="s">
        <v>108</v>
      </c>
      <c r="V85" s="101">
        <v>46225</v>
      </c>
      <c r="W85">
        <v>1</v>
      </c>
      <c r="X85">
        <v>1</v>
      </c>
      <c r="Y85">
        <v>0</v>
      </c>
      <c r="Z85">
        <v>0</v>
      </c>
      <c r="AA85">
        <v>0</v>
      </c>
    </row>
    <row r="86" spans="1:27" x14ac:dyDescent="0.3">
      <c r="A86">
        <v>14</v>
      </c>
      <c r="B86">
        <v>25.5</v>
      </c>
      <c r="C86">
        <v>1.5</v>
      </c>
      <c r="D86">
        <v>0</v>
      </c>
      <c r="E86">
        <v>0</v>
      </c>
      <c r="F86" t="s">
        <v>1617</v>
      </c>
      <c r="G86" s="101">
        <v>46226</v>
      </c>
      <c r="H86" t="s">
        <v>97</v>
      </c>
      <c r="I86" t="s">
        <v>413</v>
      </c>
      <c r="J86" t="s">
        <v>414</v>
      </c>
      <c r="K86" t="s">
        <v>382</v>
      </c>
      <c r="L86" s="39">
        <v>0.37035879629629631</v>
      </c>
      <c r="M86" s="39">
        <v>0.72916666666666663</v>
      </c>
      <c r="N86">
        <v>8.61</v>
      </c>
      <c r="O86" t="s">
        <v>498</v>
      </c>
      <c r="P86">
        <v>0</v>
      </c>
      <c r="Q86" t="s">
        <v>418</v>
      </c>
      <c r="R86">
        <v>0</v>
      </c>
      <c r="S86">
        <v>0</v>
      </c>
      <c r="T86" t="s">
        <v>423</v>
      </c>
      <c r="U86" t="s">
        <v>108</v>
      </c>
      <c r="V86" s="101">
        <v>46226</v>
      </c>
      <c r="W86">
        <v>1</v>
      </c>
      <c r="X86">
        <v>1</v>
      </c>
      <c r="Y86">
        <v>0</v>
      </c>
      <c r="Z86">
        <v>0</v>
      </c>
      <c r="AA86">
        <v>0</v>
      </c>
    </row>
    <row r="87" spans="1:27" x14ac:dyDescent="0.3">
      <c r="A87">
        <v>14</v>
      </c>
      <c r="B87">
        <v>25.5</v>
      </c>
      <c r="C87">
        <v>1.5</v>
      </c>
      <c r="D87">
        <v>0</v>
      </c>
      <c r="E87">
        <v>0</v>
      </c>
      <c r="F87" t="s">
        <v>1617</v>
      </c>
      <c r="G87" s="101">
        <v>46227</v>
      </c>
      <c r="H87" t="s">
        <v>97</v>
      </c>
      <c r="I87" t="s">
        <v>413</v>
      </c>
      <c r="J87" t="s">
        <v>414</v>
      </c>
      <c r="K87" t="s">
        <v>382</v>
      </c>
      <c r="L87" s="39">
        <v>0.37385416666666665</v>
      </c>
      <c r="M87" s="39">
        <v>0.72291666666666665</v>
      </c>
      <c r="N87">
        <v>8.3800000000000008</v>
      </c>
      <c r="O87" t="s">
        <v>928</v>
      </c>
      <c r="P87">
        <v>0</v>
      </c>
      <c r="Q87" t="s">
        <v>1618</v>
      </c>
      <c r="R87">
        <v>0</v>
      </c>
      <c r="S87">
        <v>0</v>
      </c>
      <c r="T87" t="s">
        <v>423</v>
      </c>
      <c r="U87" t="s">
        <v>108</v>
      </c>
      <c r="V87" s="101">
        <v>46227</v>
      </c>
      <c r="W87">
        <v>1</v>
      </c>
      <c r="X87">
        <v>1</v>
      </c>
      <c r="Y87">
        <v>0</v>
      </c>
      <c r="Z87">
        <v>0</v>
      </c>
      <c r="AA87">
        <v>0</v>
      </c>
    </row>
    <row r="88" spans="1:27" x14ac:dyDescent="0.3">
      <c r="A88">
        <v>14</v>
      </c>
      <c r="B88">
        <v>25.5</v>
      </c>
      <c r="C88">
        <v>1.5</v>
      </c>
      <c r="D88">
        <v>0</v>
      </c>
      <c r="E88">
        <v>0</v>
      </c>
      <c r="F88" t="s">
        <v>1617</v>
      </c>
      <c r="G88" s="101">
        <v>46228</v>
      </c>
      <c r="H88" t="s">
        <v>97</v>
      </c>
      <c r="I88" t="s">
        <v>413</v>
      </c>
      <c r="J88" t="s">
        <v>414</v>
      </c>
      <c r="K88" t="s">
        <v>382</v>
      </c>
      <c r="L88" s="39">
        <v>0.38081018518518517</v>
      </c>
      <c r="M88" s="39">
        <v>0.72870370370370374</v>
      </c>
      <c r="N88">
        <v>8.35</v>
      </c>
      <c r="O88" t="s">
        <v>929</v>
      </c>
      <c r="P88">
        <v>0</v>
      </c>
      <c r="Q88" t="s">
        <v>726</v>
      </c>
      <c r="R88">
        <v>0</v>
      </c>
      <c r="S88">
        <v>0</v>
      </c>
      <c r="T88" t="s">
        <v>423</v>
      </c>
      <c r="U88" t="s">
        <v>108</v>
      </c>
      <c r="V88" s="101">
        <v>46228</v>
      </c>
      <c r="W88">
        <v>1</v>
      </c>
      <c r="X88">
        <v>1</v>
      </c>
      <c r="Y88">
        <v>0</v>
      </c>
      <c r="Z88">
        <v>0</v>
      </c>
      <c r="AA88">
        <v>0</v>
      </c>
    </row>
    <row r="89" spans="1:27" x14ac:dyDescent="0.3">
      <c r="A89">
        <v>14</v>
      </c>
      <c r="B89">
        <v>25.5</v>
      </c>
      <c r="C89">
        <v>1.5</v>
      </c>
      <c r="D89">
        <v>0</v>
      </c>
      <c r="E89">
        <v>0</v>
      </c>
      <c r="F89" t="s">
        <v>1617</v>
      </c>
      <c r="G89" s="101">
        <v>46229</v>
      </c>
      <c r="H89" t="s">
        <v>97</v>
      </c>
      <c r="I89" t="s">
        <v>413</v>
      </c>
      <c r="J89" t="s">
        <v>414</v>
      </c>
      <c r="K89" t="s">
        <v>383</v>
      </c>
      <c r="L89" s="39">
        <v>0</v>
      </c>
      <c r="M89" s="39">
        <v>0</v>
      </c>
      <c r="N89">
        <v>0</v>
      </c>
      <c r="O89" t="s">
        <v>384</v>
      </c>
      <c r="P89">
        <v>9</v>
      </c>
      <c r="Q89" t="s">
        <v>385</v>
      </c>
      <c r="R89">
        <v>0</v>
      </c>
      <c r="S89">
        <v>9</v>
      </c>
      <c r="T89" t="s">
        <v>423</v>
      </c>
      <c r="U89" t="s">
        <v>366</v>
      </c>
      <c r="V89" s="101">
        <v>46229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 x14ac:dyDescent="0.3">
      <c r="A90">
        <v>14</v>
      </c>
      <c r="B90">
        <v>25.5</v>
      </c>
      <c r="C90">
        <v>1.5</v>
      </c>
      <c r="D90">
        <v>0</v>
      </c>
      <c r="E90">
        <v>0</v>
      </c>
      <c r="F90" t="s">
        <v>1617</v>
      </c>
      <c r="G90" s="101">
        <v>46230</v>
      </c>
      <c r="H90" t="s">
        <v>97</v>
      </c>
      <c r="I90" t="s">
        <v>413</v>
      </c>
      <c r="J90" t="s">
        <v>414</v>
      </c>
      <c r="K90" t="s">
        <v>382</v>
      </c>
      <c r="L90" s="39">
        <v>0.44342592592592595</v>
      </c>
      <c r="M90" s="39">
        <v>0.73428240740740736</v>
      </c>
      <c r="N90">
        <v>6.98</v>
      </c>
      <c r="O90" t="s">
        <v>930</v>
      </c>
      <c r="P90">
        <v>0</v>
      </c>
      <c r="Q90" t="s">
        <v>931</v>
      </c>
      <c r="R90">
        <v>0</v>
      </c>
      <c r="S90">
        <v>0</v>
      </c>
      <c r="T90" t="s">
        <v>423</v>
      </c>
      <c r="U90" t="s">
        <v>108</v>
      </c>
      <c r="V90" s="101">
        <v>46230</v>
      </c>
      <c r="W90">
        <v>1</v>
      </c>
      <c r="X90">
        <v>1</v>
      </c>
      <c r="Y90">
        <v>0</v>
      </c>
      <c r="Z90">
        <v>0</v>
      </c>
      <c r="AA90">
        <v>0</v>
      </c>
    </row>
    <row r="91" spans="1:27" x14ac:dyDescent="0.3">
      <c r="A91">
        <v>14</v>
      </c>
      <c r="B91">
        <v>25.5</v>
      </c>
      <c r="C91">
        <v>1.5</v>
      </c>
      <c r="D91">
        <v>0</v>
      </c>
      <c r="E91">
        <v>0</v>
      </c>
      <c r="F91" t="s">
        <v>1617</v>
      </c>
      <c r="G91" s="101">
        <v>46231</v>
      </c>
      <c r="H91" t="s">
        <v>97</v>
      </c>
      <c r="I91" t="s">
        <v>413</v>
      </c>
      <c r="J91" t="s">
        <v>414</v>
      </c>
      <c r="K91" t="s">
        <v>382</v>
      </c>
      <c r="L91" s="39">
        <v>0.37449074074074074</v>
      </c>
      <c r="M91" s="39">
        <v>0.84362268518518524</v>
      </c>
      <c r="N91">
        <v>11.26</v>
      </c>
      <c r="O91" t="s">
        <v>932</v>
      </c>
      <c r="P91">
        <v>0</v>
      </c>
      <c r="Q91" t="s">
        <v>933</v>
      </c>
      <c r="R91">
        <v>2.75</v>
      </c>
      <c r="S91">
        <v>2.75</v>
      </c>
      <c r="T91" t="s">
        <v>423</v>
      </c>
      <c r="U91" t="s">
        <v>108</v>
      </c>
      <c r="V91" s="101">
        <v>46231</v>
      </c>
      <c r="W91">
        <v>1</v>
      </c>
      <c r="X91">
        <v>1</v>
      </c>
      <c r="Y91">
        <v>0</v>
      </c>
      <c r="Z91">
        <v>0</v>
      </c>
      <c r="AA91">
        <v>0</v>
      </c>
    </row>
    <row r="92" spans="1:27" x14ac:dyDescent="0.3">
      <c r="A92">
        <v>14</v>
      </c>
      <c r="B92">
        <v>25.5</v>
      </c>
      <c r="C92">
        <v>1.5</v>
      </c>
      <c r="D92">
        <v>0</v>
      </c>
      <c r="E92">
        <v>0</v>
      </c>
      <c r="F92" t="s">
        <v>1617</v>
      </c>
      <c r="G92" s="101">
        <v>46232</v>
      </c>
      <c r="H92" t="s">
        <v>97</v>
      </c>
      <c r="I92" t="s">
        <v>413</v>
      </c>
      <c r="J92" t="s">
        <v>414</v>
      </c>
      <c r="K92" t="s">
        <v>382</v>
      </c>
      <c r="L92" s="39">
        <v>0.37600694444444444</v>
      </c>
      <c r="M92" s="39">
        <v>0.73204861111111108</v>
      </c>
      <c r="N92">
        <v>8.5399999999999991</v>
      </c>
      <c r="O92" t="s">
        <v>699</v>
      </c>
      <c r="P92">
        <v>0</v>
      </c>
      <c r="Q92" t="s">
        <v>934</v>
      </c>
      <c r="R92">
        <v>0</v>
      </c>
      <c r="S92">
        <v>0</v>
      </c>
      <c r="T92" t="s">
        <v>423</v>
      </c>
      <c r="U92" t="s">
        <v>108</v>
      </c>
      <c r="V92" s="101">
        <v>46232</v>
      </c>
      <c r="W92">
        <v>1</v>
      </c>
      <c r="X92">
        <v>1</v>
      </c>
      <c r="Y92">
        <v>0</v>
      </c>
      <c r="Z92">
        <v>0</v>
      </c>
      <c r="AA92">
        <v>0</v>
      </c>
    </row>
    <row r="93" spans="1:27" x14ac:dyDescent="0.3">
      <c r="A93">
        <v>14</v>
      </c>
      <c r="B93">
        <v>25.5</v>
      </c>
      <c r="C93">
        <v>1.5</v>
      </c>
      <c r="D93">
        <v>0</v>
      </c>
      <c r="E93">
        <v>0</v>
      </c>
      <c r="F93" t="s">
        <v>1617</v>
      </c>
      <c r="G93" s="101">
        <v>46233</v>
      </c>
      <c r="H93" t="s">
        <v>97</v>
      </c>
      <c r="I93" t="s">
        <v>413</v>
      </c>
      <c r="J93" t="s">
        <v>414</v>
      </c>
      <c r="K93" t="s">
        <v>382</v>
      </c>
      <c r="L93" s="39">
        <v>0.37892361111111111</v>
      </c>
      <c r="M93" s="39">
        <v>0.73456018518518518</v>
      </c>
      <c r="N93">
        <v>8.5399999999999991</v>
      </c>
      <c r="O93" t="s">
        <v>653</v>
      </c>
      <c r="P93">
        <v>0</v>
      </c>
      <c r="Q93" t="s">
        <v>935</v>
      </c>
      <c r="R93">
        <v>0</v>
      </c>
      <c r="S93">
        <v>0</v>
      </c>
      <c r="T93" t="s">
        <v>423</v>
      </c>
      <c r="U93" t="s">
        <v>108</v>
      </c>
      <c r="V93" s="101">
        <v>46233</v>
      </c>
      <c r="W93">
        <v>1</v>
      </c>
      <c r="X93">
        <v>1</v>
      </c>
      <c r="Y93">
        <v>0</v>
      </c>
      <c r="Z93">
        <v>0</v>
      </c>
      <c r="AA93">
        <v>0</v>
      </c>
    </row>
    <row r="94" spans="1:27" x14ac:dyDescent="0.3">
      <c r="A94">
        <v>14</v>
      </c>
      <c r="B94">
        <v>25.5</v>
      </c>
      <c r="C94">
        <v>1.5</v>
      </c>
      <c r="D94">
        <v>0</v>
      </c>
      <c r="E94">
        <v>0</v>
      </c>
      <c r="F94" t="s">
        <v>1617</v>
      </c>
      <c r="G94" s="101">
        <v>46234</v>
      </c>
      <c r="H94" t="s">
        <v>97</v>
      </c>
      <c r="I94" t="s">
        <v>413</v>
      </c>
      <c r="J94" t="s">
        <v>414</v>
      </c>
      <c r="K94" t="s">
        <v>382</v>
      </c>
      <c r="L94" s="39">
        <v>0.45885416666666667</v>
      </c>
      <c r="M94" s="39">
        <v>0.46527777777777779</v>
      </c>
      <c r="N94">
        <v>0.15</v>
      </c>
      <c r="O94" t="s">
        <v>936</v>
      </c>
      <c r="P94">
        <v>0</v>
      </c>
      <c r="Q94" t="s">
        <v>1619</v>
      </c>
      <c r="R94">
        <v>0</v>
      </c>
      <c r="S94">
        <v>0</v>
      </c>
      <c r="T94" t="s">
        <v>423</v>
      </c>
      <c r="U94" t="s">
        <v>366</v>
      </c>
      <c r="V94" s="101">
        <v>46234</v>
      </c>
      <c r="W94">
        <v>0</v>
      </c>
      <c r="X94">
        <v>0</v>
      </c>
      <c r="Y94">
        <v>0</v>
      </c>
      <c r="Z94">
        <v>0</v>
      </c>
      <c r="AA94">
        <v>0</v>
      </c>
    </row>
    <row r="95" spans="1:27" x14ac:dyDescent="0.3">
      <c r="A95">
        <v>29</v>
      </c>
      <c r="B95">
        <v>21.5</v>
      </c>
      <c r="C95">
        <v>5.5</v>
      </c>
      <c r="D95">
        <v>0</v>
      </c>
      <c r="E95">
        <v>0</v>
      </c>
      <c r="F95" t="s">
        <v>937</v>
      </c>
      <c r="G95" s="101">
        <v>46204</v>
      </c>
      <c r="H95" t="s">
        <v>426</v>
      </c>
      <c r="I95" t="s">
        <v>413</v>
      </c>
      <c r="J95" t="s">
        <v>387</v>
      </c>
      <c r="K95" t="s">
        <v>382</v>
      </c>
      <c r="L95" s="39">
        <v>0.38626157407407408</v>
      </c>
      <c r="M95" s="39">
        <v>0.73137731481481483</v>
      </c>
      <c r="N95">
        <v>8.2799999999999994</v>
      </c>
      <c r="O95" t="s">
        <v>938</v>
      </c>
      <c r="P95">
        <v>0</v>
      </c>
      <c r="Q95" t="s">
        <v>939</v>
      </c>
      <c r="R95">
        <v>0</v>
      </c>
      <c r="S95">
        <v>0</v>
      </c>
      <c r="T95" t="s">
        <v>427</v>
      </c>
      <c r="U95" t="s">
        <v>108</v>
      </c>
      <c r="V95" s="101">
        <v>46204</v>
      </c>
      <c r="W95">
        <v>1</v>
      </c>
      <c r="X95">
        <v>1</v>
      </c>
      <c r="Y95">
        <v>0</v>
      </c>
      <c r="Z95">
        <v>0</v>
      </c>
      <c r="AA95">
        <v>0</v>
      </c>
    </row>
    <row r="96" spans="1:27" x14ac:dyDescent="0.3">
      <c r="A96">
        <v>29</v>
      </c>
      <c r="B96">
        <v>21.5</v>
      </c>
      <c r="C96">
        <v>5.5</v>
      </c>
      <c r="D96">
        <v>0</v>
      </c>
      <c r="E96">
        <v>0</v>
      </c>
      <c r="F96" t="s">
        <v>937</v>
      </c>
      <c r="G96" s="101">
        <v>46205</v>
      </c>
      <c r="H96" t="s">
        <v>426</v>
      </c>
      <c r="I96" t="s">
        <v>413</v>
      </c>
      <c r="J96" t="s">
        <v>387</v>
      </c>
      <c r="K96" t="s">
        <v>382</v>
      </c>
      <c r="L96" s="39">
        <v>0.5877430555555555</v>
      </c>
      <c r="M96" s="39">
        <v>0.74155092592592597</v>
      </c>
      <c r="N96">
        <v>3.69</v>
      </c>
      <c r="O96" t="s">
        <v>940</v>
      </c>
      <c r="P96">
        <v>0</v>
      </c>
      <c r="Q96" t="s">
        <v>941</v>
      </c>
      <c r="R96">
        <v>0</v>
      </c>
      <c r="S96">
        <v>0</v>
      </c>
      <c r="T96" t="s">
        <v>427</v>
      </c>
      <c r="U96" t="s">
        <v>314</v>
      </c>
      <c r="V96" s="101">
        <v>46205</v>
      </c>
      <c r="W96">
        <v>0.5</v>
      </c>
      <c r="X96">
        <v>0.5</v>
      </c>
      <c r="Y96">
        <v>0</v>
      </c>
      <c r="Z96">
        <v>0</v>
      </c>
      <c r="AA96">
        <v>0</v>
      </c>
    </row>
    <row r="97" spans="1:27" x14ac:dyDescent="0.3">
      <c r="A97">
        <v>29</v>
      </c>
      <c r="B97">
        <v>21.5</v>
      </c>
      <c r="C97">
        <v>5.5</v>
      </c>
      <c r="D97">
        <v>0</v>
      </c>
      <c r="E97">
        <v>0</v>
      </c>
      <c r="F97" t="s">
        <v>937</v>
      </c>
      <c r="G97" s="101">
        <v>46206</v>
      </c>
      <c r="H97" t="s">
        <v>426</v>
      </c>
      <c r="I97" t="s">
        <v>413</v>
      </c>
      <c r="J97" t="s">
        <v>387</v>
      </c>
      <c r="K97" t="s">
        <v>382</v>
      </c>
      <c r="L97" s="39">
        <v>0.36247685185185186</v>
      </c>
      <c r="M97" s="39">
        <v>0.72888888888888892</v>
      </c>
      <c r="N97">
        <v>8.7899999999999991</v>
      </c>
      <c r="O97" t="s">
        <v>942</v>
      </c>
      <c r="P97">
        <v>0</v>
      </c>
      <c r="Q97" t="s">
        <v>943</v>
      </c>
      <c r="R97">
        <v>0</v>
      </c>
      <c r="S97">
        <v>0</v>
      </c>
      <c r="T97" t="s">
        <v>427</v>
      </c>
      <c r="U97" t="s">
        <v>108</v>
      </c>
      <c r="V97" s="101">
        <v>46206</v>
      </c>
      <c r="W97">
        <v>1</v>
      </c>
      <c r="X97">
        <v>1</v>
      </c>
      <c r="Y97">
        <v>0</v>
      </c>
      <c r="Z97">
        <v>0</v>
      </c>
      <c r="AA97">
        <v>0</v>
      </c>
    </row>
    <row r="98" spans="1:27" x14ac:dyDescent="0.3">
      <c r="A98">
        <v>29</v>
      </c>
      <c r="B98">
        <v>21.5</v>
      </c>
      <c r="C98">
        <v>5.5</v>
      </c>
      <c r="D98">
        <v>0</v>
      </c>
      <c r="E98">
        <v>0</v>
      </c>
      <c r="F98" t="s">
        <v>937</v>
      </c>
      <c r="G98" s="101">
        <v>46207</v>
      </c>
      <c r="H98" t="s">
        <v>426</v>
      </c>
      <c r="I98" t="s">
        <v>413</v>
      </c>
      <c r="J98" t="s">
        <v>387</v>
      </c>
      <c r="K98" t="s">
        <v>382</v>
      </c>
      <c r="L98" s="39">
        <v>0.37181712962962965</v>
      </c>
      <c r="M98" s="39">
        <v>0.73447916666666668</v>
      </c>
      <c r="N98">
        <v>8.6999999999999993</v>
      </c>
      <c r="O98" t="s">
        <v>666</v>
      </c>
      <c r="P98">
        <v>0</v>
      </c>
      <c r="Q98" t="s">
        <v>944</v>
      </c>
      <c r="R98">
        <v>0</v>
      </c>
      <c r="S98">
        <v>0</v>
      </c>
      <c r="T98" t="s">
        <v>427</v>
      </c>
      <c r="U98" t="s">
        <v>108</v>
      </c>
      <c r="V98" s="101">
        <v>46207</v>
      </c>
      <c r="W98">
        <v>1</v>
      </c>
      <c r="X98">
        <v>1</v>
      </c>
      <c r="Y98">
        <v>0</v>
      </c>
      <c r="Z98">
        <v>0</v>
      </c>
      <c r="AA98">
        <v>0</v>
      </c>
    </row>
    <row r="99" spans="1:27" x14ac:dyDescent="0.3">
      <c r="A99">
        <v>29</v>
      </c>
      <c r="B99">
        <v>21.5</v>
      </c>
      <c r="C99">
        <v>5.5</v>
      </c>
      <c r="D99">
        <v>0</v>
      </c>
      <c r="E99">
        <v>0</v>
      </c>
      <c r="F99" t="s">
        <v>937</v>
      </c>
      <c r="G99" s="101">
        <v>46208</v>
      </c>
      <c r="H99" t="s">
        <v>426</v>
      </c>
      <c r="I99" t="s">
        <v>413</v>
      </c>
      <c r="J99" t="s">
        <v>387</v>
      </c>
      <c r="K99" t="s">
        <v>383</v>
      </c>
      <c r="L99" s="39">
        <v>0</v>
      </c>
      <c r="M99" s="39">
        <v>0</v>
      </c>
      <c r="N99">
        <v>0</v>
      </c>
      <c r="O99" t="s">
        <v>384</v>
      </c>
      <c r="P99">
        <v>9</v>
      </c>
      <c r="Q99" t="s">
        <v>385</v>
      </c>
      <c r="R99">
        <v>0</v>
      </c>
      <c r="S99">
        <v>9</v>
      </c>
      <c r="T99" t="s">
        <v>427</v>
      </c>
      <c r="U99" t="s">
        <v>366</v>
      </c>
      <c r="V99" s="101">
        <v>46208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 x14ac:dyDescent="0.3">
      <c r="A100">
        <v>29</v>
      </c>
      <c r="B100">
        <v>21.5</v>
      </c>
      <c r="C100">
        <v>5.5</v>
      </c>
      <c r="D100">
        <v>0</v>
      </c>
      <c r="E100">
        <v>0</v>
      </c>
      <c r="F100" t="s">
        <v>937</v>
      </c>
      <c r="G100" s="101">
        <v>46209</v>
      </c>
      <c r="H100" t="s">
        <v>426</v>
      </c>
      <c r="I100" t="s">
        <v>413</v>
      </c>
      <c r="J100" t="s">
        <v>387</v>
      </c>
      <c r="K100" t="s">
        <v>382</v>
      </c>
      <c r="L100" s="39">
        <v>0.36724537037037036</v>
      </c>
      <c r="M100" s="39">
        <v>0.73263888888888884</v>
      </c>
      <c r="N100">
        <v>8.77</v>
      </c>
      <c r="O100" t="s">
        <v>945</v>
      </c>
      <c r="P100">
        <v>0</v>
      </c>
      <c r="Q100" t="s">
        <v>946</v>
      </c>
      <c r="R100">
        <v>0</v>
      </c>
      <c r="S100">
        <v>0</v>
      </c>
      <c r="T100" t="s">
        <v>427</v>
      </c>
      <c r="U100" t="s">
        <v>108</v>
      </c>
      <c r="V100" s="101">
        <v>46209</v>
      </c>
      <c r="W100">
        <v>1</v>
      </c>
      <c r="X100">
        <v>1</v>
      </c>
      <c r="Y100">
        <v>0</v>
      </c>
      <c r="Z100">
        <v>0</v>
      </c>
      <c r="AA100">
        <v>0</v>
      </c>
    </row>
    <row r="101" spans="1:27" x14ac:dyDescent="0.3">
      <c r="A101">
        <v>29</v>
      </c>
      <c r="B101">
        <v>21.5</v>
      </c>
      <c r="C101">
        <v>5.5</v>
      </c>
      <c r="D101">
        <v>0</v>
      </c>
      <c r="E101">
        <v>0</v>
      </c>
      <c r="F101" t="s">
        <v>937</v>
      </c>
      <c r="G101" s="101">
        <v>46210</v>
      </c>
      <c r="H101" t="s">
        <v>426</v>
      </c>
      <c r="I101" t="s">
        <v>413</v>
      </c>
      <c r="J101" t="s">
        <v>387</v>
      </c>
      <c r="K101" t="s">
        <v>382</v>
      </c>
      <c r="L101" s="39">
        <v>0.36918981481481483</v>
      </c>
      <c r="M101" s="39">
        <v>0.72922453703703705</v>
      </c>
      <c r="N101">
        <v>8.64</v>
      </c>
      <c r="O101" t="s">
        <v>947</v>
      </c>
      <c r="P101">
        <v>0</v>
      </c>
      <c r="Q101" t="s">
        <v>627</v>
      </c>
      <c r="R101">
        <v>0</v>
      </c>
      <c r="S101">
        <v>0</v>
      </c>
      <c r="T101" t="s">
        <v>427</v>
      </c>
      <c r="U101" t="s">
        <v>108</v>
      </c>
      <c r="V101" s="101">
        <v>46210</v>
      </c>
      <c r="W101">
        <v>1</v>
      </c>
      <c r="X101">
        <v>1</v>
      </c>
      <c r="Y101">
        <v>0</v>
      </c>
      <c r="Z101">
        <v>0</v>
      </c>
      <c r="AA101">
        <v>0</v>
      </c>
    </row>
    <row r="102" spans="1:27" x14ac:dyDescent="0.3">
      <c r="A102">
        <v>29</v>
      </c>
      <c r="B102">
        <v>21.5</v>
      </c>
      <c r="C102">
        <v>5.5</v>
      </c>
      <c r="D102">
        <v>0</v>
      </c>
      <c r="E102">
        <v>0</v>
      </c>
      <c r="F102" t="s">
        <v>937</v>
      </c>
      <c r="G102" s="101">
        <v>46211</v>
      </c>
      <c r="H102" t="s">
        <v>426</v>
      </c>
      <c r="I102" t="s">
        <v>413</v>
      </c>
      <c r="J102" t="s">
        <v>387</v>
      </c>
      <c r="K102" t="s">
        <v>382</v>
      </c>
      <c r="L102" s="39">
        <v>0.3691550925925926</v>
      </c>
      <c r="M102" s="39">
        <v>0.73423611111111109</v>
      </c>
      <c r="N102">
        <v>8.76</v>
      </c>
      <c r="O102" t="s">
        <v>948</v>
      </c>
      <c r="P102">
        <v>0</v>
      </c>
      <c r="Q102" t="s">
        <v>949</v>
      </c>
      <c r="R102">
        <v>0</v>
      </c>
      <c r="S102">
        <v>0</v>
      </c>
      <c r="T102" t="s">
        <v>427</v>
      </c>
      <c r="U102" t="s">
        <v>108</v>
      </c>
      <c r="V102" s="101">
        <v>46211</v>
      </c>
      <c r="W102">
        <v>1</v>
      </c>
      <c r="X102">
        <v>1</v>
      </c>
      <c r="Y102">
        <v>0</v>
      </c>
      <c r="Z102">
        <v>0</v>
      </c>
      <c r="AA102">
        <v>0</v>
      </c>
    </row>
    <row r="103" spans="1:27" x14ac:dyDescent="0.3">
      <c r="A103">
        <v>29</v>
      </c>
      <c r="B103">
        <v>21.5</v>
      </c>
      <c r="C103">
        <v>5.5</v>
      </c>
      <c r="D103">
        <v>0</v>
      </c>
      <c r="E103">
        <v>0</v>
      </c>
      <c r="F103" t="s">
        <v>937</v>
      </c>
      <c r="G103" s="101">
        <v>46212</v>
      </c>
      <c r="H103" t="s">
        <v>426</v>
      </c>
      <c r="I103" t="s">
        <v>413</v>
      </c>
      <c r="J103" t="s">
        <v>387</v>
      </c>
      <c r="K103" t="s">
        <v>382</v>
      </c>
      <c r="L103" s="39">
        <v>0.36733796296296295</v>
      </c>
      <c r="M103" s="39">
        <v>0.73226851851851849</v>
      </c>
      <c r="N103">
        <v>8.76</v>
      </c>
      <c r="O103" t="s">
        <v>784</v>
      </c>
      <c r="P103">
        <v>0</v>
      </c>
      <c r="Q103" t="s">
        <v>950</v>
      </c>
      <c r="R103">
        <v>0</v>
      </c>
      <c r="S103">
        <v>0</v>
      </c>
      <c r="T103" t="s">
        <v>427</v>
      </c>
      <c r="U103" t="s">
        <v>108</v>
      </c>
      <c r="V103" s="101">
        <v>46212</v>
      </c>
      <c r="W103">
        <v>1</v>
      </c>
      <c r="X103">
        <v>1</v>
      </c>
      <c r="Y103">
        <v>0</v>
      </c>
      <c r="Z103">
        <v>0</v>
      </c>
      <c r="AA103">
        <v>0</v>
      </c>
    </row>
    <row r="104" spans="1:27" x14ac:dyDescent="0.3">
      <c r="A104">
        <v>29</v>
      </c>
      <c r="B104">
        <v>21.5</v>
      </c>
      <c r="C104">
        <v>5.5</v>
      </c>
      <c r="D104">
        <v>0</v>
      </c>
      <c r="E104">
        <v>0</v>
      </c>
      <c r="F104" t="s">
        <v>937</v>
      </c>
      <c r="G104" s="101">
        <v>46213</v>
      </c>
      <c r="H104" t="s">
        <v>426</v>
      </c>
      <c r="I104" t="s">
        <v>413</v>
      </c>
      <c r="J104" t="s">
        <v>387</v>
      </c>
      <c r="K104" t="s">
        <v>382</v>
      </c>
      <c r="L104" s="39">
        <v>0.36814814814814817</v>
      </c>
      <c r="M104" s="39">
        <v>0.73322916666666671</v>
      </c>
      <c r="N104">
        <v>8.76</v>
      </c>
      <c r="O104" t="s">
        <v>951</v>
      </c>
      <c r="P104">
        <v>0</v>
      </c>
      <c r="Q104" t="s">
        <v>499</v>
      </c>
      <c r="R104">
        <v>0</v>
      </c>
      <c r="S104">
        <v>0</v>
      </c>
      <c r="T104" t="s">
        <v>427</v>
      </c>
      <c r="U104" t="s">
        <v>108</v>
      </c>
      <c r="V104" s="101">
        <v>46213</v>
      </c>
      <c r="W104">
        <v>1</v>
      </c>
      <c r="X104">
        <v>1</v>
      </c>
      <c r="Y104">
        <v>0</v>
      </c>
      <c r="Z104">
        <v>0</v>
      </c>
      <c r="AA104">
        <v>0</v>
      </c>
    </row>
    <row r="105" spans="1:27" x14ac:dyDescent="0.3">
      <c r="A105">
        <v>29</v>
      </c>
      <c r="B105">
        <v>21.5</v>
      </c>
      <c r="C105">
        <v>5.5</v>
      </c>
      <c r="D105">
        <v>0</v>
      </c>
      <c r="E105">
        <v>0</v>
      </c>
      <c r="F105" t="s">
        <v>937</v>
      </c>
      <c r="G105" s="101">
        <v>46214</v>
      </c>
      <c r="H105" t="s">
        <v>426</v>
      </c>
      <c r="I105" t="s">
        <v>413</v>
      </c>
      <c r="J105" t="s">
        <v>387</v>
      </c>
      <c r="K105" t="s">
        <v>382</v>
      </c>
      <c r="L105" s="39">
        <v>0.37614583333333335</v>
      </c>
      <c r="M105" s="39">
        <v>0.73144675925925928</v>
      </c>
      <c r="N105">
        <v>8.5299999999999994</v>
      </c>
      <c r="O105" t="s">
        <v>952</v>
      </c>
      <c r="P105">
        <v>0</v>
      </c>
      <c r="Q105" t="s">
        <v>522</v>
      </c>
      <c r="R105">
        <v>0</v>
      </c>
      <c r="S105">
        <v>0</v>
      </c>
      <c r="T105" t="s">
        <v>427</v>
      </c>
      <c r="U105" t="s">
        <v>108</v>
      </c>
      <c r="V105" s="101">
        <v>46214</v>
      </c>
      <c r="W105">
        <v>1</v>
      </c>
      <c r="X105">
        <v>1</v>
      </c>
      <c r="Y105">
        <v>0</v>
      </c>
      <c r="Z105">
        <v>0</v>
      </c>
      <c r="AA105">
        <v>0</v>
      </c>
    </row>
    <row r="106" spans="1:27" x14ac:dyDescent="0.3">
      <c r="A106">
        <v>29</v>
      </c>
      <c r="B106">
        <v>21.5</v>
      </c>
      <c r="C106">
        <v>5.5</v>
      </c>
      <c r="D106">
        <v>0</v>
      </c>
      <c r="E106">
        <v>0</v>
      </c>
      <c r="F106" t="s">
        <v>937</v>
      </c>
      <c r="G106" s="101">
        <v>46215</v>
      </c>
      <c r="H106" t="s">
        <v>426</v>
      </c>
      <c r="I106" t="s">
        <v>413</v>
      </c>
      <c r="J106" t="s">
        <v>387</v>
      </c>
      <c r="K106" t="s">
        <v>383</v>
      </c>
      <c r="L106" s="39">
        <v>0</v>
      </c>
      <c r="M106" s="39">
        <v>0</v>
      </c>
      <c r="N106">
        <v>0</v>
      </c>
      <c r="O106" t="s">
        <v>384</v>
      </c>
      <c r="P106">
        <v>9</v>
      </c>
      <c r="Q106" t="s">
        <v>385</v>
      </c>
      <c r="R106">
        <v>0</v>
      </c>
      <c r="S106">
        <v>9</v>
      </c>
      <c r="T106" t="s">
        <v>427</v>
      </c>
      <c r="U106" t="s">
        <v>366</v>
      </c>
      <c r="V106" s="101">
        <v>46215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 x14ac:dyDescent="0.3">
      <c r="A107">
        <v>29</v>
      </c>
      <c r="B107">
        <v>21.5</v>
      </c>
      <c r="C107">
        <v>5.5</v>
      </c>
      <c r="D107">
        <v>0</v>
      </c>
      <c r="E107">
        <v>0</v>
      </c>
      <c r="F107" t="s">
        <v>937</v>
      </c>
      <c r="G107" s="101">
        <v>46216</v>
      </c>
      <c r="H107" t="s">
        <v>426</v>
      </c>
      <c r="I107" t="s">
        <v>413</v>
      </c>
      <c r="J107" t="s">
        <v>387</v>
      </c>
      <c r="K107" t="s">
        <v>383</v>
      </c>
      <c r="L107" s="39">
        <v>0</v>
      </c>
      <c r="M107" s="39">
        <v>0</v>
      </c>
      <c r="N107">
        <v>0</v>
      </c>
      <c r="O107" t="s">
        <v>384</v>
      </c>
      <c r="P107">
        <v>9</v>
      </c>
      <c r="Q107" t="s">
        <v>385</v>
      </c>
      <c r="R107">
        <v>0</v>
      </c>
      <c r="S107">
        <v>9</v>
      </c>
      <c r="T107" t="s">
        <v>427</v>
      </c>
      <c r="U107" t="s">
        <v>366</v>
      </c>
      <c r="V107" s="101">
        <v>46216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 x14ac:dyDescent="0.3">
      <c r="A108">
        <v>29</v>
      </c>
      <c r="B108">
        <v>21.5</v>
      </c>
      <c r="C108">
        <v>5.5</v>
      </c>
      <c r="D108">
        <v>0</v>
      </c>
      <c r="E108">
        <v>0</v>
      </c>
      <c r="F108" t="s">
        <v>937</v>
      </c>
      <c r="G108" s="101">
        <v>46217</v>
      </c>
      <c r="H108" t="s">
        <v>426</v>
      </c>
      <c r="I108" t="s">
        <v>413</v>
      </c>
      <c r="J108" t="s">
        <v>387</v>
      </c>
      <c r="K108" t="s">
        <v>383</v>
      </c>
      <c r="L108" s="39">
        <v>0</v>
      </c>
      <c r="M108" s="39">
        <v>0</v>
      </c>
      <c r="N108">
        <v>0</v>
      </c>
      <c r="O108" t="s">
        <v>384</v>
      </c>
      <c r="P108">
        <v>9</v>
      </c>
      <c r="Q108" t="s">
        <v>385</v>
      </c>
      <c r="R108">
        <v>0</v>
      </c>
      <c r="S108">
        <v>9</v>
      </c>
      <c r="T108" t="s">
        <v>427</v>
      </c>
      <c r="U108" t="s">
        <v>366</v>
      </c>
      <c r="V108" s="101">
        <v>46217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 x14ac:dyDescent="0.3">
      <c r="A109">
        <v>29</v>
      </c>
      <c r="B109">
        <v>21.5</v>
      </c>
      <c r="C109">
        <v>5.5</v>
      </c>
      <c r="D109">
        <v>0</v>
      </c>
      <c r="E109">
        <v>0</v>
      </c>
      <c r="F109" t="s">
        <v>937</v>
      </c>
      <c r="G109" s="101">
        <v>46218</v>
      </c>
      <c r="H109" t="s">
        <v>426</v>
      </c>
      <c r="I109" t="s">
        <v>413</v>
      </c>
      <c r="J109" t="s">
        <v>387</v>
      </c>
      <c r="K109" t="s">
        <v>382</v>
      </c>
      <c r="L109" s="39">
        <v>0.36126157407407405</v>
      </c>
      <c r="M109" s="39">
        <v>0.72894675925925922</v>
      </c>
      <c r="N109">
        <v>8.82</v>
      </c>
      <c r="O109" t="s">
        <v>953</v>
      </c>
      <c r="P109">
        <v>0</v>
      </c>
      <c r="Q109" t="s">
        <v>954</v>
      </c>
      <c r="R109">
        <v>0</v>
      </c>
      <c r="S109">
        <v>0</v>
      </c>
      <c r="T109" t="s">
        <v>427</v>
      </c>
      <c r="U109" t="s">
        <v>108</v>
      </c>
      <c r="V109" s="101">
        <v>46218</v>
      </c>
      <c r="W109">
        <v>1</v>
      </c>
      <c r="X109">
        <v>1</v>
      </c>
      <c r="Y109">
        <v>0</v>
      </c>
      <c r="Z109">
        <v>0</v>
      </c>
      <c r="AA109">
        <v>0</v>
      </c>
    </row>
    <row r="110" spans="1:27" x14ac:dyDescent="0.3">
      <c r="A110">
        <v>29</v>
      </c>
      <c r="B110">
        <v>21.5</v>
      </c>
      <c r="C110">
        <v>5.5</v>
      </c>
      <c r="D110">
        <v>0</v>
      </c>
      <c r="E110">
        <v>0</v>
      </c>
      <c r="F110" t="s">
        <v>937</v>
      </c>
      <c r="G110" s="101">
        <v>46219</v>
      </c>
      <c r="H110" t="s">
        <v>426</v>
      </c>
      <c r="I110" t="s">
        <v>413</v>
      </c>
      <c r="J110" t="s">
        <v>387</v>
      </c>
      <c r="K110" t="s">
        <v>382</v>
      </c>
      <c r="L110" s="39">
        <v>0.36881944444444442</v>
      </c>
      <c r="M110" s="39">
        <v>0.73050925925925925</v>
      </c>
      <c r="N110">
        <v>8.68</v>
      </c>
      <c r="O110" t="s">
        <v>955</v>
      </c>
      <c r="P110">
        <v>0</v>
      </c>
      <c r="Q110" t="s">
        <v>615</v>
      </c>
      <c r="R110">
        <v>0</v>
      </c>
      <c r="S110">
        <v>0</v>
      </c>
      <c r="T110" t="s">
        <v>427</v>
      </c>
      <c r="U110" t="s">
        <v>108</v>
      </c>
      <c r="V110" s="101">
        <v>46219</v>
      </c>
      <c r="W110">
        <v>1</v>
      </c>
      <c r="X110">
        <v>1</v>
      </c>
      <c r="Y110">
        <v>0</v>
      </c>
      <c r="Z110">
        <v>0</v>
      </c>
      <c r="AA110">
        <v>0</v>
      </c>
    </row>
    <row r="111" spans="1:27" x14ac:dyDescent="0.3">
      <c r="A111">
        <v>29</v>
      </c>
      <c r="B111">
        <v>21.5</v>
      </c>
      <c r="C111">
        <v>5.5</v>
      </c>
      <c r="D111">
        <v>0</v>
      </c>
      <c r="E111">
        <v>0</v>
      </c>
      <c r="F111" t="s">
        <v>937</v>
      </c>
      <c r="G111" s="101">
        <v>46220</v>
      </c>
      <c r="H111" t="s">
        <v>426</v>
      </c>
      <c r="I111" t="s">
        <v>413</v>
      </c>
      <c r="J111" t="s">
        <v>387</v>
      </c>
      <c r="K111" t="s">
        <v>382</v>
      </c>
      <c r="L111" s="39">
        <v>0.36913194444444447</v>
      </c>
      <c r="M111" s="39">
        <v>0.72879629629629628</v>
      </c>
      <c r="N111">
        <v>8.6300000000000008</v>
      </c>
      <c r="O111" t="s">
        <v>956</v>
      </c>
      <c r="P111">
        <v>0</v>
      </c>
      <c r="Q111" t="s">
        <v>515</v>
      </c>
      <c r="R111">
        <v>0</v>
      </c>
      <c r="S111">
        <v>0</v>
      </c>
      <c r="T111" t="s">
        <v>427</v>
      </c>
      <c r="U111" t="s">
        <v>108</v>
      </c>
      <c r="V111" s="101">
        <v>46220</v>
      </c>
      <c r="W111">
        <v>1</v>
      </c>
      <c r="X111">
        <v>1</v>
      </c>
      <c r="Y111">
        <v>0</v>
      </c>
      <c r="Z111">
        <v>0</v>
      </c>
      <c r="AA111">
        <v>0</v>
      </c>
    </row>
    <row r="112" spans="1:27" x14ac:dyDescent="0.3">
      <c r="A112">
        <v>29</v>
      </c>
      <c r="B112">
        <v>21.5</v>
      </c>
      <c r="C112">
        <v>5.5</v>
      </c>
      <c r="D112">
        <v>0</v>
      </c>
      <c r="E112">
        <v>0</v>
      </c>
      <c r="F112" t="s">
        <v>937</v>
      </c>
      <c r="G112" s="101">
        <v>46221</v>
      </c>
      <c r="H112" t="s">
        <v>426</v>
      </c>
      <c r="I112" t="s">
        <v>413</v>
      </c>
      <c r="J112" t="s">
        <v>387</v>
      </c>
      <c r="K112" t="s">
        <v>382</v>
      </c>
      <c r="L112" s="39">
        <v>0.36887731481481484</v>
      </c>
      <c r="M112" s="39">
        <v>0.73100694444444447</v>
      </c>
      <c r="N112">
        <v>8.69</v>
      </c>
      <c r="O112" t="s">
        <v>575</v>
      </c>
      <c r="P112">
        <v>0</v>
      </c>
      <c r="Q112" t="s">
        <v>681</v>
      </c>
      <c r="R112">
        <v>0</v>
      </c>
      <c r="S112">
        <v>0</v>
      </c>
      <c r="T112" t="s">
        <v>427</v>
      </c>
      <c r="U112" t="s">
        <v>108</v>
      </c>
      <c r="V112" s="101">
        <v>46221</v>
      </c>
      <c r="W112">
        <v>1</v>
      </c>
      <c r="X112">
        <v>1</v>
      </c>
      <c r="Y112">
        <v>0</v>
      </c>
      <c r="Z112">
        <v>0</v>
      </c>
      <c r="AA112">
        <v>0</v>
      </c>
    </row>
    <row r="113" spans="1:27" x14ac:dyDescent="0.3">
      <c r="A113">
        <v>29</v>
      </c>
      <c r="B113">
        <v>21.5</v>
      </c>
      <c r="C113">
        <v>5.5</v>
      </c>
      <c r="D113">
        <v>0</v>
      </c>
      <c r="E113">
        <v>0</v>
      </c>
      <c r="F113" t="s">
        <v>937</v>
      </c>
      <c r="G113" s="101">
        <v>46222</v>
      </c>
      <c r="H113" t="s">
        <v>426</v>
      </c>
      <c r="I113" t="s">
        <v>413</v>
      </c>
      <c r="J113" t="s">
        <v>387</v>
      </c>
      <c r="K113" t="s">
        <v>383</v>
      </c>
      <c r="L113" s="39">
        <v>0</v>
      </c>
      <c r="M113" s="39">
        <v>0</v>
      </c>
      <c r="N113">
        <v>0</v>
      </c>
      <c r="O113" t="s">
        <v>384</v>
      </c>
      <c r="P113">
        <v>9</v>
      </c>
      <c r="Q113" t="s">
        <v>385</v>
      </c>
      <c r="R113">
        <v>0</v>
      </c>
      <c r="S113">
        <v>9</v>
      </c>
      <c r="T113" t="s">
        <v>427</v>
      </c>
      <c r="U113" t="s">
        <v>366</v>
      </c>
      <c r="V113" s="101">
        <v>46222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 x14ac:dyDescent="0.3">
      <c r="A114">
        <v>29</v>
      </c>
      <c r="B114">
        <v>21.5</v>
      </c>
      <c r="C114">
        <v>5.5</v>
      </c>
      <c r="D114">
        <v>0</v>
      </c>
      <c r="E114">
        <v>0</v>
      </c>
      <c r="F114" t="s">
        <v>937</v>
      </c>
      <c r="G114" s="101">
        <v>46223</v>
      </c>
      <c r="H114" t="s">
        <v>426</v>
      </c>
      <c r="I114" t="s">
        <v>413</v>
      </c>
      <c r="J114" t="s">
        <v>387</v>
      </c>
      <c r="K114" t="s">
        <v>383</v>
      </c>
      <c r="L114" s="39">
        <v>0</v>
      </c>
      <c r="M114" s="39">
        <v>0</v>
      </c>
      <c r="N114">
        <v>0</v>
      </c>
      <c r="O114" t="s">
        <v>384</v>
      </c>
      <c r="P114">
        <v>9</v>
      </c>
      <c r="Q114" t="s">
        <v>385</v>
      </c>
      <c r="R114">
        <v>0</v>
      </c>
      <c r="S114">
        <v>9</v>
      </c>
      <c r="T114" t="s">
        <v>427</v>
      </c>
      <c r="U114" t="s">
        <v>366</v>
      </c>
      <c r="V114" s="101">
        <v>46223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 x14ac:dyDescent="0.3">
      <c r="A115">
        <v>29</v>
      </c>
      <c r="B115">
        <v>21.5</v>
      </c>
      <c r="C115">
        <v>5.5</v>
      </c>
      <c r="D115">
        <v>0</v>
      </c>
      <c r="E115">
        <v>0</v>
      </c>
      <c r="F115" t="s">
        <v>937</v>
      </c>
      <c r="G115" s="101">
        <v>46224</v>
      </c>
      <c r="H115" t="s">
        <v>426</v>
      </c>
      <c r="I115" t="s">
        <v>413</v>
      </c>
      <c r="J115" t="s">
        <v>387</v>
      </c>
      <c r="K115" t="s">
        <v>382</v>
      </c>
      <c r="L115" s="39">
        <v>0.36418981481481483</v>
      </c>
      <c r="M115" s="39">
        <v>0.72896990740740741</v>
      </c>
      <c r="N115">
        <v>8.75</v>
      </c>
      <c r="O115" t="s">
        <v>957</v>
      </c>
      <c r="P115">
        <v>0</v>
      </c>
      <c r="Q115" t="s">
        <v>958</v>
      </c>
      <c r="R115">
        <v>0</v>
      </c>
      <c r="S115">
        <v>0</v>
      </c>
      <c r="T115" t="s">
        <v>427</v>
      </c>
      <c r="U115" t="s">
        <v>108</v>
      </c>
      <c r="V115" s="101">
        <v>46224</v>
      </c>
      <c r="W115">
        <v>1</v>
      </c>
      <c r="X115">
        <v>1</v>
      </c>
      <c r="Y115">
        <v>0</v>
      </c>
      <c r="Z115">
        <v>0</v>
      </c>
      <c r="AA115">
        <v>0</v>
      </c>
    </row>
    <row r="116" spans="1:27" x14ac:dyDescent="0.3">
      <c r="A116">
        <v>29</v>
      </c>
      <c r="B116">
        <v>21.5</v>
      </c>
      <c r="C116">
        <v>5.5</v>
      </c>
      <c r="D116">
        <v>0</v>
      </c>
      <c r="E116">
        <v>0</v>
      </c>
      <c r="F116" t="s">
        <v>937</v>
      </c>
      <c r="G116" s="101">
        <v>46225</v>
      </c>
      <c r="H116" t="s">
        <v>426</v>
      </c>
      <c r="I116" t="s">
        <v>413</v>
      </c>
      <c r="J116" t="s">
        <v>387</v>
      </c>
      <c r="K116" t="s">
        <v>382</v>
      </c>
      <c r="L116" s="39">
        <v>0.36879629629629629</v>
      </c>
      <c r="M116" s="39">
        <v>0.72818287037037033</v>
      </c>
      <c r="N116">
        <v>8.6300000000000008</v>
      </c>
      <c r="O116" t="s">
        <v>741</v>
      </c>
      <c r="P116">
        <v>0</v>
      </c>
      <c r="Q116" t="s">
        <v>712</v>
      </c>
      <c r="R116">
        <v>0</v>
      </c>
      <c r="S116">
        <v>0</v>
      </c>
      <c r="T116" t="s">
        <v>427</v>
      </c>
      <c r="U116" t="s">
        <v>108</v>
      </c>
      <c r="V116" s="101">
        <v>46225</v>
      </c>
      <c r="W116">
        <v>1</v>
      </c>
      <c r="X116">
        <v>1</v>
      </c>
      <c r="Y116">
        <v>0</v>
      </c>
      <c r="Z116">
        <v>0</v>
      </c>
      <c r="AA116">
        <v>0</v>
      </c>
    </row>
    <row r="117" spans="1:27" x14ac:dyDescent="0.3">
      <c r="A117">
        <v>29</v>
      </c>
      <c r="B117">
        <v>21.5</v>
      </c>
      <c r="C117">
        <v>5.5</v>
      </c>
      <c r="D117">
        <v>0</v>
      </c>
      <c r="E117">
        <v>0</v>
      </c>
      <c r="F117" t="s">
        <v>937</v>
      </c>
      <c r="G117" s="101">
        <v>46226</v>
      </c>
      <c r="H117" t="s">
        <v>426</v>
      </c>
      <c r="I117" t="s">
        <v>413</v>
      </c>
      <c r="J117" t="s">
        <v>387</v>
      </c>
      <c r="K117" t="s">
        <v>382</v>
      </c>
      <c r="L117" s="39">
        <v>0.36248842592592595</v>
      </c>
      <c r="M117" s="39">
        <v>0.73189814814814813</v>
      </c>
      <c r="N117">
        <v>8.8699999999999992</v>
      </c>
      <c r="O117" t="s">
        <v>959</v>
      </c>
      <c r="P117">
        <v>0</v>
      </c>
      <c r="Q117" t="s">
        <v>849</v>
      </c>
      <c r="R117">
        <v>0</v>
      </c>
      <c r="S117">
        <v>0</v>
      </c>
      <c r="T117" t="s">
        <v>427</v>
      </c>
      <c r="U117" t="s">
        <v>108</v>
      </c>
      <c r="V117" s="101">
        <v>46226</v>
      </c>
      <c r="W117">
        <v>1</v>
      </c>
      <c r="X117">
        <v>1</v>
      </c>
      <c r="Y117">
        <v>0</v>
      </c>
      <c r="Z117">
        <v>0</v>
      </c>
      <c r="AA117">
        <v>0</v>
      </c>
    </row>
    <row r="118" spans="1:27" x14ac:dyDescent="0.3">
      <c r="A118">
        <v>29</v>
      </c>
      <c r="B118">
        <v>21.5</v>
      </c>
      <c r="C118">
        <v>5.5</v>
      </c>
      <c r="D118">
        <v>0</v>
      </c>
      <c r="E118">
        <v>0</v>
      </c>
      <c r="F118" t="s">
        <v>937</v>
      </c>
      <c r="G118" s="101">
        <v>46227</v>
      </c>
      <c r="H118" t="s">
        <v>426</v>
      </c>
      <c r="I118" t="s">
        <v>413</v>
      </c>
      <c r="J118" t="s">
        <v>387</v>
      </c>
      <c r="K118" t="s">
        <v>382</v>
      </c>
      <c r="L118" s="39">
        <v>0.37165509259259261</v>
      </c>
      <c r="M118" s="39">
        <v>0.68571759259259257</v>
      </c>
      <c r="N118">
        <v>7.54</v>
      </c>
      <c r="O118" t="s">
        <v>960</v>
      </c>
      <c r="P118">
        <v>0</v>
      </c>
      <c r="Q118" t="s">
        <v>961</v>
      </c>
      <c r="R118">
        <v>0</v>
      </c>
      <c r="S118">
        <v>0</v>
      </c>
      <c r="T118" t="s">
        <v>427</v>
      </c>
      <c r="U118" t="s">
        <v>108</v>
      </c>
      <c r="V118" s="101">
        <v>46227</v>
      </c>
      <c r="W118">
        <v>1</v>
      </c>
      <c r="X118">
        <v>1</v>
      </c>
      <c r="Y118">
        <v>0</v>
      </c>
      <c r="Z118">
        <v>0</v>
      </c>
      <c r="AA118">
        <v>0</v>
      </c>
    </row>
    <row r="119" spans="1:27" x14ac:dyDescent="0.3">
      <c r="A119">
        <v>29</v>
      </c>
      <c r="B119">
        <v>21.5</v>
      </c>
      <c r="C119">
        <v>5.5</v>
      </c>
      <c r="D119">
        <v>0</v>
      </c>
      <c r="E119">
        <v>0</v>
      </c>
      <c r="F119" t="s">
        <v>937</v>
      </c>
      <c r="G119" s="101">
        <v>46228</v>
      </c>
      <c r="H119" t="s">
        <v>426</v>
      </c>
      <c r="I119" t="s">
        <v>413</v>
      </c>
      <c r="J119" t="s">
        <v>387</v>
      </c>
      <c r="K119" t="s">
        <v>382</v>
      </c>
      <c r="L119" s="39">
        <v>0.37290509259259258</v>
      </c>
      <c r="M119" s="39">
        <v>0.72752314814814811</v>
      </c>
      <c r="N119">
        <v>8.51</v>
      </c>
      <c r="O119" t="s">
        <v>671</v>
      </c>
      <c r="P119">
        <v>0</v>
      </c>
      <c r="Q119" t="s">
        <v>586</v>
      </c>
      <c r="R119">
        <v>0</v>
      </c>
      <c r="S119">
        <v>0</v>
      </c>
      <c r="T119" t="s">
        <v>427</v>
      </c>
      <c r="U119" t="s">
        <v>108</v>
      </c>
      <c r="V119" s="101">
        <v>46228</v>
      </c>
      <c r="W119">
        <v>1</v>
      </c>
      <c r="X119">
        <v>1</v>
      </c>
      <c r="Y119">
        <v>0</v>
      </c>
      <c r="Z119">
        <v>0</v>
      </c>
      <c r="AA119">
        <v>0</v>
      </c>
    </row>
    <row r="120" spans="1:27" x14ac:dyDescent="0.3">
      <c r="A120">
        <v>29</v>
      </c>
      <c r="B120">
        <v>21.5</v>
      </c>
      <c r="C120">
        <v>5.5</v>
      </c>
      <c r="D120">
        <v>0</v>
      </c>
      <c r="E120">
        <v>0</v>
      </c>
      <c r="F120" t="s">
        <v>937</v>
      </c>
      <c r="G120" s="101">
        <v>46229</v>
      </c>
      <c r="H120" t="s">
        <v>426</v>
      </c>
      <c r="I120" t="s">
        <v>413</v>
      </c>
      <c r="J120" t="s">
        <v>387</v>
      </c>
      <c r="K120" t="s">
        <v>383</v>
      </c>
      <c r="L120" s="39">
        <v>0</v>
      </c>
      <c r="M120" s="39">
        <v>0</v>
      </c>
      <c r="N120">
        <v>0</v>
      </c>
      <c r="O120" t="s">
        <v>384</v>
      </c>
      <c r="P120">
        <v>9</v>
      </c>
      <c r="Q120" t="s">
        <v>385</v>
      </c>
      <c r="R120">
        <v>0</v>
      </c>
      <c r="S120">
        <v>9</v>
      </c>
      <c r="T120" t="s">
        <v>427</v>
      </c>
      <c r="U120" t="s">
        <v>366</v>
      </c>
      <c r="V120" s="101">
        <v>46229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 x14ac:dyDescent="0.3">
      <c r="A121">
        <v>29</v>
      </c>
      <c r="B121">
        <v>21.5</v>
      </c>
      <c r="C121">
        <v>5.5</v>
      </c>
      <c r="D121">
        <v>0</v>
      </c>
      <c r="E121">
        <v>0</v>
      </c>
      <c r="F121" t="s">
        <v>937</v>
      </c>
      <c r="G121" s="101">
        <v>46230</v>
      </c>
      <c r="H121" t="s">
        <v>426</v>
      </c>
      <c r="I121" t="s">
        <v>413</v>
      </c>
      <c r="J121" t="s">
        <v>387</v>
      </c>
      <c r="K121" t="s">
        <v>382</v>
      </c>
      <c r="L121" s="39">
        <v>0.36495370370370372</v>
      </c>
      <c r="M121" s="39">
        <v>0.72700231481481481</v>
      </c>
      <c r="N121">
        <v>8.69</v>
      </c>
      <c r="O121" t="s">
        <v>962</v>
      </c>
      <c r="P121">
        <v>0</v>
      </c>
      <c r="Q121" t="s">
        <v>588</v>
      </c>
      <c r="R121">
        <v>0</v>
      </c>
      <c r="S121">
        <v>0</v>
      </c>
      <c r="T121" t="s">
        <v>427</v>
      </c>
      <c r="U121" t="s">
        <v>108</v>
      </c>
      <c r="V121" s="101">
        <v>46230</v>
      </c>
      <c r="W121">
        <v>1</v>
      </c>
      <c r="X121">
        <v>1</v>
      </c>
      <c r="Y121">
        <v>0</v>
      </c>
      <c r="Z121">
        <v>0</v>
      </c>
      <c r="AA121">
        <v>0</v>
      </c>
    </row>
    <row r="122" spans="1:27" x14ac:dyDescent="0.3">
      <c r="A122">
        <v>29</v>
      </c>
      <c r="B122">
        <v>21.5</v>
      </c>
      <c r="C122">
        <v>5.5</v>
      </c>
      <c r="D122">
        <v>0</v>
      </c>
      <c r="E122">
        <v>0</v>
      </c>
      <c r="F122" t="s">
        <v>937</v>
      </c>
      <c r="G122" s="101">
        <v>46231</v>
      </c>
      <c r="H122" t="s">
        <v>426</v>
      </c>
      <c r="I122" t="s">
        <v>413</v>
      </c>
      <c r="J122" t="s">
        <v>387</v>
      </c>
      <c r="K122" t="s">
        <v>383</v>
      </c>
      <c r="L122" s="39">
        <v>0</v>
      </c>
      <c r="M122" s="39">
        <v>0</v>
      </c>
      <c r="N122">
        <v>0</v>
      </c>
      <c r="O122" t="s">
        <v>384</v>
      </c>
      <c r="P122">
        <v>9</v>
      </c>
      <c r="Q122" t="s">
        <v>385</v>
      </c>
      <c r="R122">
        <v>0</v>
      </c>
      <c r="S122">
        <v>9</v>
      </c>
      <c r="T122" t="s">
        <v>427</v>
      </c>
      <c r="U122" t="s">
        <v>366</v>
      </c>
      <c r="V122" s="101">
        <v>46231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 x14ac:dyDescent="0.3">
      <c r="A123">
        <v>29</v>
      </c>
      <c r="B123">
        <v>21.5</v>
      </c>
      <c r="C123">
        <v>5.5</v>
      </c>
      <c r="D123">
        <v>0</v>
      </c>
      <c r="E123">
        <v>0</v>
      </c>
      <c r="F123" t="s">
        <v>937</v>
      </c>
      <c r="G123" s="101">
        <v>46232</v>
      </c>
      <c r="H123" t="s">
        <v>426</v>
      </c>
      <c r="I123" t="s">
        <v>413</v>
      </c>
      <c r="J123" t="s">
        <v>387</v>
      </c>
      <c r="K123" t="s">
        <v>383</v>
      </c>
      <c r="L123" s="39">
        <v>0</v>
      </c>
      <c r="M123" s="39">
        <v>0</v>
      </c>
      <c r="N123">
        <v>0</v>
      </c>
      <c r="O123" t="s">
        <v>384</v>
      </c>
      <c r="P123">
        <v>9</v>
      </c>
      <c r="Q123" t="s">
        <v>385</v>
      </c>
      <c r="R123">
        <v>0</v>
      </c>
      <c r="S123">
        <v>9</v>
      </c>
      <c r="T123" t="s">
        <v>427</v>
      </c>
      <c r="U123" t="s">
        <v>366</v>
      </c>
      <c r="V123" s="101">
        <v>46232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 x14ac:dyDescent="0.3">
      <c r="A124">
        <v>29</v>
      </c>
      <c r="B124">
        <v>21.5</v>
      </c>
      <c r="C124">
        <v>5.5</v>
      </c>
      <c r="D124">
        <v>0</v>
      </c>
      <c r="E124">
        <v>0</v>
      </c>
      <c r="F124" t="s">
        <v>937</v>
      </c>
      <c r="G124" s="101">
        <v>46233</v>
      </c>
      <c r="H124" t="s">
        <v>426</v>
      </c>
      <c r="I124" t="s">
        <v>413</v>
      </c>
      <c r="J124" t="s">
        <v>387</v>
      </c>
      <c r="K124" t="s">
        <v>382</v>
      </c>
      <c r="L124" s="39">
        <v>0.36569444444444443</v>
      </c>
      <c r="M124" s="39">
        <v>0.73222222222222222</v>
      </c>
      <c r="N124">
        <v>8.8000000000000007</v>
      </c>
      <c r="O124" t="s">
        <v>963</v>
      </c>
      <c r="P124">
        <v>0</v>
      </c>
      <c r="Q124" t="s">
        <v>434</v>
      </c>
      <c r="R124">
        <v>0</v>
      </c>
      <c r="S124">
        <v>0</v>
      </c>
      <c r="T124" t="s">
        <v>427</v>
      </c>
      <c r="U124" t="s">
        <v>108</v>
      </c>
      <c r="V124" s="101">
        <v>46233</v>
      </c>
      <c r="W124">
        <v>1</v>
      </c>
      <c r="X124">
        <v>1</v>
      </c>
      <c r="Y124">
        <v>0</v>
      </c>
      <c r="Z124">
        <v>0</v>
      </c>
      <c r="AA124">
        <v>0</v>
      </c>
    </row>
    <row r="125" spans="1:27" x14ac:dyDescent="0.3">
      <c r="A125">
        <v>29</v>
      </c>
      <c r="B125">
        <v>21.5</v>
      </c>
      <c r="C125">
        <v>5.5</v>
      </c>
      <c r="D125">
        <v>0</v>
      </c>
      <c r="E125">
        <v>0</v>
      </c>
      <c r="F125" t="s">
        <v>937</v>
      </c>
      <c r="G125" s="101">
        <v>46234</v>
      </c>
      <c r="H125" t="s">
        <v>426</v>
      </c>
      <c r="I125" t="s">
        <v>413</v>
      </c>
      <c r="J125" t="s">
        <v>387</v>
      </c>
      <c r="K125" t="s">
        <v>382</v>
      </c>
      <c r="L125" s="39">
        <v>0.36912037037037038</v>
      </c>
      <c r="M125" s="39">
        <v>0.73077546296296292</v>
      </c>
      <c r="N125">
        <v>8.68</v>
      </c>
      <c r="O125" t="s">
        <v>964</v>
      </c>
      <c r="P125">
        <v>0</v>
      </c>
      <c r="Q125" t="s">
        <v>495</v>
      </c>
      <c r="R125">
        <v>0</v>
      </c>
      <c r="S125">
        <v>0</v>
      </c>
      <c r="T125" t="s">
        <v>427</v>
      </c>
      <c r="U125" t="s">
        <v>108</v>
      </c>
      <c r="V125" s="101">
        <v>46234</v>
      </c>
      <c r="W125">
        <v>1</v>
      </c>
      <c r="X125">
        <v>1</v>
      </c>
      <c r="Y125">
        <v>0</v>
      </c>
      <c r="Z125">
        <v>0</v>
      </c>
      <c r="AA125">
        <v>0</v>
      </c>
    </row>
    <row r="126" spans="1:27" x14ac:dyDescent="0.3">
      <c r="A126">
        <v>32</v>
      </c>
      <c r="B126">
        <v>26.5</v>
      </c>
      <c r="C126">
        <v>0.5</v>
      </c>
      <c r="D126">
        <v>0</v>
      </c>
      <c r="E126">
        <v>0</v>
      </c>
      <c r="F126" t="s">
        <v>907</v>
      </c>
      <c r="G126" s="101">
        <v>46204</v>
      </c>
      <c r="H126" t="s">
        <v>105</v>
      </c>
      <c r="I126" t="s">
        <v>413</v>
      </c>
      <c r="J126" t="s">
        <v>414</v>
      </c>
      <c r="K126" t="s">
        <v>382</v>
      </c>
      <c r="L126" s="39">
        <v>0.37659722222222225</v>
      </c>
      <c r="M126" s="39">
        <v>0.73271990740740744</v>
      </c>
      <c r="N126">
        <v>8.5500000000000007</v>
      </c>
      <c r="O126" t="s">
        <v>704</v>
      </c>
      <c r="P126">
        <v>0</v>
      </c>
      <c r="Q126" t="s">
        <v>677</v>
      </c>
      <c r="R126">
        <v>0</v>
      </c>
      <c r="S126">
        <v>0</v>
      </c>
      <c r="T126" t="s">
        <v>430</v>
      </c>
      <c r="U126" t="s">
        <v>108</v>
      </c>
      <c r="V126" s="101">
        <v>46204</v>
      </c>
      <c r="W126">
        <v>1</v>
      </c>
      <c r="X126">
        <v>1</v>
      </c>
      <c r="Y126">
        <v>0</v>
      </c>
      <c r="Z126">
        <v>0</v>
      </c>
      <c r="AA126">
        <v>0</v>
      </c>
    </row>
    <row r="127" spans="1:27" x14ac:dyDescent="0.3">
      <c r="A127">
        <v>32</v>
      </c>
      <c r="B127">
        <v>26.5</v>
      </c>
      <c r="C127">
        <v>0.5</v>
      </c>
      <c r="D127">
        <v>0</v>
      </c>
      <c r="E127">
        <v>0</v>
      </c>
      <c r="F127" t="s">
        <v>907</v>
      </c>
      <c r="G127" s="101">
        <v>46205</v>
      </c>
      <c r="H127" t="s">
        <v>105</v>
      </c>
      <c r="I127" t="s">
        <v>413</v>
      </c>
      <c r="J127" t="s">
        <v>414</v>
      </c>
      <c r="K127" t="s">
        <v>382</v>
      </c>
      <c r="L127" s="39">
        <v>0.38074074074074077</v>
      </c>
      <c r="M127" s="39">
        <v>0.73133101851851856</v>
      </c>
      <c r="N127">
        <v>8.41</v>
      </c>
      <c r="O127" t="s">
        <v>748</v>
      </c>
      <c r="P127">
        <v>0</v>
      </c>
      <c r="Q127" t="s">
        <v>630</v>
      </c>
      <c r="R127">
        <v>0</v>
      </c>
      <c r="S127">
        <v>0</v>
      </c>
      <c r="T127" t="s">
        <v>430</v>
      </c>
      <c r="U127" t="s">
        <v>108</v>
      </c>
      <c r="V127" s="101">
        <v>46205</v>
      </c>
      <c r="W127">
        <v>1</v>
      </c>
      <c r="X127">
        <v>1</v>
      </c>
      <c r="Y127">
        <v>0</v>
      </c>
      <c r="Z127">
        <v>0</v>
      </c>
      <c r="AA127">
        <v>0</v>
      </c>
    </row>
    <row r="128" spans="1:27" x14ac:dyDescent="0.3">
      <c r="A128">
        <v>32</v>
      </c>
      <c r="B128">
        <v>26.5</v>
      </c>
      <c r="C128">
        <v>0.5</v>
      </c>
      <c r="D128">
        <v>0</v>
      </c>
      <c r="E128">
        <v>0</v>
      </c>
      <c r="F128" t="s">
        <v>907</v>
      </c>
      <c r="G128" s="101">
        <v>46206</v>
      </c>
      <c r="H128" t="s">
        <v>105</v>
      </c>
      <c r="I128" t="s">
        <v>413</v>
      </c>
      <c r="J128" t="s">
        <v>414</v>
      </c>
      <c r="K128" t="s">
        <v>382</v>
      </c>
      <c r="L128" s="39">
        <v>0.37324074074074076</v>
      </c>
      <c r="M128" s="39">
        <v>0.5649305555555556</v>
      </c>
      <c r="N128">
        <v>4.5999999999999996</v>
      </c>
      <c r="O128" t="s">
        <v>548</v>
      </c>
      <c r="P128">
        <v>0</v>
      </c>
      <c r="Q128" t="s">
        <v>965</v>
      </c>
      <c r="R128">
        <v>0</v>
      </c>
      <c r="S128">
        <v>0</v>
      </c>
      <c r="T128" t="s">
        <v>430</v>
      </c>
      <c r="U128" t="s">
        <v>314</v>
      </c>
      <c r="V128" s="101">
        <v>46206</v>
      </c>
      <c r="W128">
        <v>0.5</v>
      </c>
      <c r="X128">
        <v>0.5</v>
      </c>
      <c r="Y128">
        <v>0</v>
      </c>
      <c r="Z128">
        <v>0</v>
      </c>
      <c r="AA128">
        <v>0</v>
      </c>
    </row>
    <row r="129" spans="1:27" x14ac:dyDescent="0.3">
      <c r="A129">
        <v>32</v>
      </c>
      <c r="B129">
        <v>26.5</v>
      </c>
      <c r="C129">
        <v>0.5</v>
      </c>
      <c r="D129">
        <v>0</v>
      </c>
      <c r="E129">
        <v>0</v>
      </c>
      <c r="F129" t="s">
        <v>907</v>
      </c>
      <c r="G129" s="101">
        <v>46207</v>
      </c>
      <c r="H129" t="s">
        <v>105</v>
      </c>
      <c r="I129" t="s">
        <v>413</v>
      </c>
      <c r="J129" t="s">
        <v>414</v>
      </c>
      <c r="K129" t="s">
        <v>382</v>
      </c>
      <c r="L129" s="39">
        <v>0.38229166666666664</v>
      </c>
      <c r="M129" s="39">
        <v>0.73229166666666667</v>
      </c>
      <c r="N129">
        <v>8.4</v>
      </c>
      <c r="O129" t="s">
        <v>966</v>
      </c>
      <c r="P129">
        <v>0</v>
      </c>
      <c r="Q129" t="s">
        <v>967</v>
      </c>
      <c r="R129">
        <v>0</v>
      </c>
      <c r="S129">
        <v>0</v>
      </c>
      <c r="T129" t="s">
        <v>430</v>
      </c>
      <c r="U129" t="s">
        <v>108</v>
      </c>
      <c r="V129" s="101">
        <v>46207</v>
      </c>
      <c r="W129">
        <v>1</v>
      </c>
      <c r="X129">
        <v>1</v>
      </c>
      <c r="Y129">
        <v>0</v>
      </c>
      <c r="Z129">
        <v>0</v>
      </c>
      <c r="AA129">
        <v>0</v>
      </c>
    </row>
    <row r="130" spans="1:27" x14ac:dyDescent="0.3">
      <c r="A130">
        <v>32</v>
      </c>
      <c r="B130">
        <v>26.5</v>
      </c>
      <c r="C130">
        <v>0.5</v>
      </c>
      <c r="D130">
        <v>0</v>
      </c>
      <c r="E130">
        <v>0</v>
      </c>
      <c r="F130" t="s">
        <v>907</v>
      </c>
      <c r="G130" s="101">
        <v>46208</v>
      </c>
      <c r="H130" t="s">
        <v>105</v>
      </c>
      <c r="I130" t="s">
        <v>413</v>
      </c>
      <c r="J130" t="s">
        <v>414</v>
      </c>
      <c r="K130" t="s">
        <v>383</v>
      </c>
      <c r="L130" s="39">
        <v>0</v>
      </c>
      <c r="M130" s="39">
        <v>0</v>
      </c>
      <c r="N130">
        <v>0</v>
      </c>
      <c r="O130" t="s">
        <v>384</v>
      </c>
      <c r="P130">
        <v>9</v>
      </c>
      <c r="Q130" t="s">
        <v>385</v>
      </c>
      <c r="R130">
        <v>0</v>
      </c>
      <c r="S130">
        <v>9</v>
      </c>
      <c r="T130" t="s">
        <v>430</v>
      </c>
      <c r="U130" t="s">
        <v>366</v>
      </c>
      <c r="V130" s="101">
        <v>46208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 x14ac:dyDescent="0.3">
      <c r="A131">
        <v>32</v>
      </c>
      <c r="B131">
        <v>26.5</v>
      </c>
      <c r="C131">
        <v>0.5</v>
      </c>
      <c r="D131">
        <v>0</v>
      </c>
      <c r="E131">
        <v>0</v>
      </c>
      <c r="F131" t="s">
        <v>907</v>
      </c>
      <c r="G131" s="101">
        <v>46209</v>
      </c>
      <c r="H131" t="s">
        <v>105</v>
      </c>
      <c r="I131" t="s">
        <v>413</v>
      </c>
      <c r="J131" t="s">
        <v>414</v>
      </c>
      <c r="K131" t="s">
        <v>382</v>
      </c>
      <c r="L131" s="39">
        <v>0.37405092592592593</v>
      </c>
      <c r="M131" s="39">
        <v>0.73165509259259254</v>
      </c>
      <c r="N131">
        <v>8.58</v>
      </c>
      <c r="O131" t="s">
        <v>745</v>
      </c>
      <c r="P131">
        <v>0</v>
      </c>
      <c r="Q131" t="s">
        <v>751</v>
      </c>
      <c r="R131">
        <v>0</v>
      </c>
      <c r="S131">
        <v>0</v>
      </c>
      <c r="T131" t="s">
        <v>430</v>
      </c>
      <c r="U131" t="s">
        <v>108</v>
      </c>
      <c r="V131" s="101">
        <v>46209</v>
      </c>
      <c r="W131">
        <v>1</v>
      </c>
      <c r="X131">
        <v>1</v>
      </c>
      <c r="Y131">
        <v>0</v>
      </c>
      <c r="Z131">
        <v>0</v>
      </c>
      <c r="AA131">
        <v>0</v>
      </c>
    </row>
    <row r="132" spans="1:27" x14ac:dyDescent="0.3">
      <c r="A132">
        <v>32</v>
      </c>
      <c r="B132">
        <v>26.5</v>
      </c>
      <c r="C132">
        <v>0.5</v>
      </c>
      <c r="D132">
        <v>0</v>
      </c>
      <c r="E132">
        <v>0</v>
      </c>
      <c r="F132" t="s">
        <v>907</v>
      </c>
      <c r="G132" s="101">
        <v>46210</v>
      </c>
      <c r="H132" t="s">
        <v>105</v>
      </c>
      <c r="I132" t="s">
        <v>413</v>
      </c>
      <c r="J132" t="s">
        <v>414</v>
      </c>
      <c r="K132" t="s">
        <v>382</v>
      </c>
      <c r="L132" s="39">
        <v>0.37047453703703703</v>
      </c>
      <c r="M132" s="39">
        <v>0.74023148148148143</v>
      </c>
      <c r="N132">
        <v>8.8699999999999992</v>
      </c>
      <c r="O132" t="s">
        <v>968</v>
      </c>
      <c r="P132">
        <v>0</v>
      </c>
      <c r="Q132" t="s">
        <v>969</v>
      </c>
      <c r="R132">
        <v>0</v>
      </c>
      <c r="S132">
        <v>0</v>
      </c>
      <c r="T132" t="s">
        <v>430</v>
      </c>
      <c r="U132" t="s">
        <v>108</v>
      </c>
      <c r="V132" s="101">
        <v>46210</v>
      </c>
      <c r="W132">
        <v>1</v>
      </c>
      <c r="X132">
        <v>1</v>
      </c>
      <c r="Y132">
        <v>0</v>
      </c>
      <c r="Z132">
        <v>0</v>
      </c>
      <c r="AA132">
        <v>0</v>
      </c>
    </row>
    <row r="133" spans="1:27" x14ac:dyDescent="0.3">
      <c r="A133">
        <v>32</v>
      </c>
      <c r="B133">
        <v>26.5</v>
      </c>
      <c r="C133">
        <v>0.5</v>
      </c>
      <c r="D133">
        <v>0</v>
      </c>
      <c r="E133">
        <v>0</v>
      </c>
      <c r="F133" t="s">
        <v>907</v>
      </c>
      <c r="G133" s="101">
        <v>46211</v>
      </c>
      <c r="H133" t="s">
        <v>105</v>
      </c>
      <c r="I133" t="s">
        <v>413</v>
      </c>
      <c r="J133" t="s">
        <v>414</v>
      </c>
      <c r="K133" t="s">
        <v>382</v>
      </c>
      <c r="L133" s="39">
        <v>0.37486111111111109</v>
      </c>
      <c r="M133" s="39">
        <v>0.76989583333333333</v>
      </c>
      <c r="N133">
        <v>9.48</v>
      </c>
      <c r="O133" t="s">
        <v>730</v>
      </c>
      <c r="P133">
        <v>0</v>
      </c>
      <c r="Q133" t="s">
        <v>970</v>
      </c>
      <c r="R133">
        <v>0.98</v>
      </c>
      <c r="S133">
        <v>0.98</v>
      </c>
      <c r="T133" t="s">
        <v>430</v>
      </c>
      <c r="U133" t="s">
        <v>108</v>
      </c>
      <c r="V133" s="101">
        <v>46211</v>
      </c>
      <c r="W133">
        <v>1</v>
      </c>
      <c r="X133">
        <v>1</v>
      </c>
      <c r="Y133">
        <v>0</v>
      </c>
      <c r="Z133">
        <v>0</v>
      </c>
      <c r="AA133">
        <v>0</v>
      </c>
    </row>
    <row r="134" spans="1:27" x14ac:dyDescent="0.3">
      <c r="A134">
        <v>32</v>
      </c>
      <c r="B134">
        <v>26.5</v>
      </c>
      <c r="C134">
        <v>0.5</v>
      </c>
      <c r="D134">
        <v>0</v>
      </c>
      <c r="E134">
        <v>0</v>
      </c>
      <c r="F134" t="s">
        <v>907</v>
      </c>
      <c r="G134" s="101">
        <v>46212</v>
      </c>
      <c r="H134" t="s">
        <v>105</v>
      </c>
      <c r="I134" t="s">
        <v>413</v>
      </c>
      <c r="J134" t="s">
        <v>414</v>
      </c>
      <c r="K134" t="s">
        <v>382</v>
      </c>
      <c r="L134" s="39">
        <v>0.3765162037037037</v>
      </c>
      <c r="M134" s="39">
        <v>0.73603009259259256</v>
      </c>
      <c r="N134">
        <v>8.6300000000000008</v>
      </c>
      <c r="O134" t="s">
        <v>781</v>
      </c>
      <c r="P134">
        <v>0</v>
      </c>
      <c r="Q134" t="s">
        <v>617</v>
      </c>
      <c r="R134">
        <v>0</v>
      </c>
      <c r="S134">
        <v>0</v>
      </c>
      <c r="T134" t="s">
        <v>430</v>
      </c>
      <c r="U134" t="s">
        <v>108</v>
      </c>
      <c r="V134" s="101">
        <v>46212</v>
      </c>
      <c r="W134">
        <v>1</v>
      </c>
      <c r="X134">
        <v>1</v>
      </c>
      <c r="Y134">
        <v>0</v>
      </c>
      <c r="Z134">
        <v>0</v>
      </c>
      <c r="AA134">
        <v>0</v>
      </c>
    </row>
    <row r="135" spans="1:27" x14ac:dyDescent="0.3">
      <c r="A135">
        <v>32</v>
      </c>
      <c r="B135">
        <v>26.5</v>
      </c>
      <c r="C135">
        <v>0.5</v>
      </c>
      <c r="D135">
        <v>0</v>
      </c>
      <c r="E135">
        <v>0</v>
      </c>
      <c r="F135" t="s">
        <v>907</v>
      </c>
      <c r="G135" s="101">
        <v>46213</v>
      </c>
      <c r="H135" t="s">
        <v>105</v>
      </c>
      <c r="I135" t="s">
        <v>413</v>
      </c>
      <c r="J135" t="s">
        <v>414</v>
      </c>
      <c r="K135" t="s">
        <v>382</v>
      </c>
      <c r="L135" s="39">
        <v>0.38241898148148146</v>
      </c>
      <c r="M135" s="39">
        <v>0.73287037037037039</v>
      </c>
      <c r="N135">
        <v>8.41</v>
      </c>
      <c r="O135" t="s">
        <v>971</v>
      </c>
      <c r="P135">
        <v>0</v>
      </c>
      <c r="Q135" t="s">
        <v>972</v>
      </c>
      <c r="R135">
        <v>0</v>
      </c>
      <c r="S135">
        <v>0</v>
      </c>
      <c r="T135" t="s">
        <v>430</v>
      </c>
      <c r="U135" t="s">
        <v>108</v>
      </c>
      <c r="V135" s="101">
        <v>46213</v>
      </c>
      <c r="W135">
        <v>1</v>
      </c>
      <c r="X135">
        <v>1</v>
      </c>
      <c r="Y135">
        <v>0</v>
      </c>
      <c r="Z135">
        <v>0</v>
      </c>
      <c r="AA135">
        <v>0</v>
      </c>
    </row>
    <row r="136" spans="1:27" x14ac:dyDescent="0.3">
      <c r="A136">
        <v>32</v>
      </c>
      <c r="B136">
        <v>26.5</v>
      </c>
      <c r="C136">
        <v>0.5</v>
      </c>
      <c r="D136">
        <v>0</v>
      </c>
      <c r="E136">
        <v>0</v>
      </c>
      <c r="F136" t="s">
        <v>907</v>
      </c>
      <c r="G136" s="101">
        <v>46214</v>
      </c>
      <c r="H136" t="s">
        <v>105</v>
      </c>
      <c r="I136" t="s">
        <v>413</v>
      </c>
      <c r="J136" t="s">
        <v>414</v>
      </c>
      <c r="K136" t="s">
        <v>382</v>
      </c>
      <c r="L136" s="39">
        <v>0.37819444444444444</v>
      </c>
      <c r="M136" s="39">
        <v>0.73579861111111111</v>
      </c>
      <c r="N136">
        <v>8.58</v>
      </c>
      <c r="O136" t="s">
        <v>655</v>
      </c>
      <c r="P136">
        <v>0</v>
      </c>
      <c r="Q136" t="s">
        <v>973</v>
      </c>
      <c r="R136">
        <v>0</v>
      </c>
      <c r="S136">
        <v>0</v>
      </c>
      <c r="T136" t="s">
        <v>430</v>
      </c>
      <c r="U136" t="s">
        <v>108</v>
      </c>
      <c r="V136" s="101">
        <v>46214</v>
      </c>
      <c r="W136">
        <v>1</v>
      </c>
      <c r="X136">
        <v>1</v>
      </c>
      <c r="Y136">
        <v>0</v>
      </c>
      <c r="Z136">
        <v>0</v>
      </c>
      <c r="AA136">
        <v>0</v>
      </c>
    </row>
    <row r="137" spans="1:27" x14ac:dyDescent="0.3">
      <c r="A137">
        <v>32</v>
      </c>
      <c r="B137">
        <v>26.5</v>
      </c>
      <c r="C137">
        <v>0.5</v>
      </c>
      <c r="D137">
        <v>0</v>
      </c>
      <c r="E137">
        <v>0</v>
      </c>
      <c r="F137" t="s">
        <v>907</v>
      </c>
      <c r="G137" s="101">
        <v>46215</v>
      </c>
      <c r="H137" t="s">
        <v>105</v>
      </c>
      <c r="I137" t="s">
        <v>413</v>
      </c>
      <c r="J137" t="s">
        <v>414</v>
      </c>
      <c r="K137" t="s">
        <v>383</v>
      </c>
      <c r="L137" s="39">
        <v>0</v>
      </c>
      <c r="M137" s="39">
        <v>0</v>
      </c>
      <c r="N137">
        <v>0</v>
      </c>
      <c r="O137" t="s">
        <v>384</v>
      </c>
      <c r="P137">
        <v>9</v>
      </c>
      <c r="Q137" t="s">
        <v>385</v>
      </c>
      <c r="R137">
        <v>0</v>
      </c>
      <c r="S137">
        <v>9</v>
      </c>
      <c r="T137" t="s">
        <v>430</v>
      </c>
      <c r="U137" t="s">
        <v>366</v>
      </c>
      <c r="V137" s="101">
        <v>46215</v>
      </c>
      <c r="W137">
        <v>0</v>
      </c>
      <c r="X137">
        <v>0</v>
      </c>
      <c r="Y137">
        <v>0</v>
      </c>
      <c r="Z137">
        <v>0</v>
      </c>
      <c r="AA137">
        <v>0</v>
      </c>
    </row>
    <row r="138" spans="1:27" x14ac:dyDescent="0.3">
      <c r="A138">
        <v>32</v>
      </c>
      <c r="B138">
        <v>26.5</v>
      </c>
      <c r="C138">
        <v>0.5</v>
      </c>
      <c r="D138">
        <v>0</v>
      </c>
      <c r="E138">
        <v>0</v>
      </c>
      <c r="F138" t="s">
        <v>907</v>
      </c>
      <c r="G138" s="101">
        <v>46216</v>
      </c>
      <c r="H138" t="s">
        <v>105</v>
      </c>
      <c r="I138" t="s">
        <v>413</v>
      </c>
      <c r="J138" t="s">
        <v>414</v>
      </c>
      <c r="K138" t="s">
        <v>382</v>
      </c>
      <c r="L138" s="39">
        <v>0.375</v>
      </c>
      <c r="M138" s="39">
        <v>0.72916666666666663</v>
      </c>
      <c r="N138">
        <v>8.5</v>
      </c>
      <c r="O138" t="s">
        <v>418</v>
      </c>
      <c r="P138">
        <v>0</v>
      </c>
      <c r="Q138" t="s">
        <v>418</v>
      </c>
      <c r="R138">
        <v>0</v>
      </c>
      <c r="S138">
        <v>0</v>
      </c>
      <c r="T138" t="s">
        <v>430</v>
      </c>
      <c r="U138" t="s">
        <v>108</v>
      </c>
      <c r="V138" s="101">
        <v>46216</v>
      </c>
      <c r="W138">
        <v>1</v>
      </c>
      <c r="X138">
        <v>1</v>
      </c>
      <c r="Y138">
        <v>0</v>
      </c>
      <c r="Z138">
        <v>0</v>
      </c>
      <c r="AA138">
        <v>0</v>
      </c>
    </row>
    <row r="139" spans="1:27" x14ac:dyDescent="0.3">
      <c r="A139">
        <v>32</v>
      </c>
      <c r="B139">
        <v>26.5</v>
      </c>
      <c r="C139">
        <v>0.5</v>
      </c>
      <c r="D139">
        <v>0</v>
      </c>
      <c r="E139">
        <v>0</v>
      </c>
      <c r="F139" t="s">
        <v>907</v>
      </c>
      <c r="G139" s="101">
        <v>46217</v>
      </c>
      <c r="H139" t="s">
        <v>105</v>
      </c>
      <c r="I139" t="s">
        <v>413</v>
      </c>
      <c r="J139" t="s">
        <v>414</v>
      </c>
      <c r="K139" t="s">
        <v>382</v>
      </c>
      <c r="L139" s="39">
        <v>0.375</v>
      </c>
      <c r="M139" s="39">
        <v>0.72916666666666663</v>
      </c>
      <c r="N139">
        <v>8.5</v>
      </c>
      <c r="O139" t="s">
        <v>418</v>
      </c>
      <c r="P139">
        <v>0</v>
      </c>
      <c r="Q139" t="s">
        <v>418</v>
      </c>
      <c r="R139">
        <v>0</v>
      </c>
      <c r="S139">
        <v>0</v>
      </c>
      <c r="T139" t="s">
        <v>430</v>
      </c>
      <c r="U139" t="s">
        <v>108</v>
      </c>
      <c r="V139" s="101">
        <v>46217</v>
      </c>
      <c r="W139">
        <v>1</v>
      </c>
      <c r="X139">
        <v>1</v>
      </c>
      <c r="Y139">
        <v>0</v>
      </c>
      <c r="Z139">
        <v>0</v>
      </c>
      <c r="AA139">
        <v>0</v>
      </c>
    </row>
    <row r="140" spans="1:27" x14ac:dyDescent="0.3">
      <c r="A140">
        <v>32</v>
      </c>
      <c r="B140">
        <v>26.5</v>
      </c>
      <c r="C140">
        <v>0.5</v>
      </c>
      <c r="D140">
        <v>0</v>
      </c>
      <c r="E140">
        <v>0</v>
      </c>
      <c r="F140" t="s">
        <v>907</v>
      </c>
      <c r="G140" s="101">
        <v>46218</v>
      </c>
      <c r="H140" t="s">
        <v>105</v>
      </c>
      <c r="I140" t="s">
        <v>413</v>
      </c>
      <c r="J140" t="s">
        <v>414</v>
      </c>
      <c r="K140" t="s">
        <v>382</v>
      </c>
      <c r="L140" s="39">
        <v>0.375</v>
      </c>
      <c r="M140" s="39">
        <v>0.72916666666666663</v>
      </c>
      <c r="N140">
        <v>8.5</v>
      </c>
      <c r="O140" t="s">
        <v>418</v>
      </c>
      <c r="P140">
        <v>0</v>
      </c>
      <c r="Q140" t="s">
        <v>418</v>
      </c>
      <c r="R140">
        <v>0</v>
      </c>
      <c r="S140">
        <v>0</v>
      </c>
      <c r="T140" t="s">
        <v>430</v>
      </c>
      <c r="U140" t="s">
        <v>108</v>
      </c>
      <c r="V140" s="101">
        <v>46218</v>
      </c>
      <c r="W140">
        <v>1</v>
      </c>
      <c r="X140">
        <v>1</v>
      </c>
      <c r="Y140">
        <v>0</v>
      </c>
      <c r="Z140">
        <v>0</v>
      </c>
      <c r="AA140">
        <v>0</v>
      </c>
    </row>
    <row r="141" spans="1:27" x14ac:dyDescent="0.3">
      <c r="A141">
        <v>32</v>
      </c>
      <c r="B141">
        <v>26.5</v>
      </c>
      <c r="C141">
        <v>0.5</v>
      </c>
      <c r="D141">
        <v>0</v>
      </c>
      <c r="E141">
        <v>0</v>
      </c>
      <c r="F141" t="s">
        <v>907</v>
      </c>
      <c r="G141" s="101">
        <v>46219</v>
      </c>
      <c r="H141" t="s">
        <v>105</v>
      </c>
      <c r="I141" t="s">
        <v>413</v>
      </c>
      <c r="J141" t="s">
        <v>414</v>
      </c>
      <c r="K141" t="s">
        <v>382</v>
      </c>
      <c r="L141" s="39">
        <v>0.37694444444444447</v>
      </c>
      <c r="M141" s="39">
        <v>0.72916666666666663</v>
      </c>
      <c r="N141">
        <v>8.4499999999999993</v>
      </c>
      <c r="O141" t="s">
        <v>701</v>
      </c>
      <c r="P141">
        <v>0</v>
      </c>
      <c r="Q141" t="s">
        <v>418</v>
      </c>
      <c r="R141">
        <v>0</v>
      </c>
      <c r="S141">
        <v>0</v>
      </c>
      <c r="T141" t="s">
        <v>430</v>
      </c>
      <c r="U141" t="s">
        <v>108</v>
      </c>
      <c r="V141" s="101">
        <v>46219</v>
      </c>
      <c r="W141">
        <v>1</v>
      </c>
      <c r="X141">
        <v>1</v>
      </c>
      <c r="Y141">
        <v>0</v>
      </c>
      <c r="Z141">
        <v>0</v>
      </c>
      <c r="AA141">
        <v>0</v>
      </c>
    </row>
    <row r="142" spans="1:27" x14ac:dyDescent="0.3">
      <c r="A142">
        <v>32</v>
      </c>
      <c r="B142">
        <v>26.5</v>
      </c>
      <c r="C142">
        <v>0.5</v>
      </c>
      <c r="D142">
        <v>0</v>
      </c>
      <c r="E142">
        <v>0</v>
      </c>
      <c r="F142" t="s">
        <v>907</v>
      </c>
      <c r="G142" s="101">
        <v>46220</v>
      </c>
      <c r="H142" t="s">
        <v>105</v>
      </c>
      <c r="I142" t="s">
        <v>413</v>
      </c>
      <c r="J142" t="s">
        <v>414</v>
      </c>
      <c r="K142" t="s">
        <v>382</v>
      </c>
      <c r="L142" s="39">
        <v>0.375</v>
      </c>
      <c r="M142" s="39">
        <v>0.72916666666666663</v>
      </c>
      <c r="N142">
        <v>8.5</v>
      </c>
      <c r="O142" t="s">
        <v>418</v>
      </c>
      <c r="P142">
        <v>0</v>
      </c>
      <c r="Q142" t="s">
        <v>418</v>
      </c>
      <c r="R142">
        <v>0</v>
      </c>
      <c r="S142">
        <v>0</v>
      </c>
      <c r="T142" t="s">
        <v>430</v>
      </c>
      <c r="U142" t="s">
        <v>108</v>
      </c>
      <c r="V142" s="101">
        <v>46220</v>
      </c>
      <c r="W142">
        <v>1</v>
      </c>
      <c r="X142">
        <v>1</v>
      </c>
      <c r="Y142">
        <v>0</v>
      </c>
      <c r="Z142">
        <v>0</v>
      </c>
      <c r="AA142">
        <v>0</v>
      </c>
    </row>
    <row r="143" spans="1:27" x14ac:dyDescent="0.3">
      <c r="A143">
        <v>32</v>
      </c>
      <c r="B143">
        <v>26.5</v>
      </c>
      <c r="C143">
        <v>0.5</v>
      </c>
      <c r="D143">
        <v>0</v>
      </c>
      <c r="E143">
        <v>0</v>
      </c>
      <c r="F143" t="s">
        <v>907</v>
      </c>
      <c r="G143" s="101">
        <v>46221</v>
      </c>
      <c r="H143" t="s">
        <v>105</v>
      </c>
      <c r="I143" t="s">
        <v>413</v>
      </c>
      <c r="J143" t="s">
        <v>414</v>
      </c>
      <c r="K143" t="s">
        <v>382</v>
      </c>
      <c r="L143" s="39">
        <v>0.37306712962962962</v>
      </c>
      <c r="M143" s="39">
        <v>0.72916666666666663</v>
      </c>
      <c r="N143">
        <v>8.5500000000000007</v>
      </c>
      <c r="O143" t="s">
        <v>628</v>
      </c>
      <c r="P143">
        <v>0</v>
      </c>
      <c r="Q143" t="s">
        <v>418</v>
      </c>
      <c r="R143">
        <v>0</v>
      </c>
      <c r="S143">
        <v>0</v>
      </c>
      <c r="T143" t="s">
        <v>430</v>
      </c>
      <c r="U143" t="s">
        <v>108</v>
      </c>
      <c r="V143" s="101">
        <v>46221</v>
      </c>
      <c r="W143">
        <v>1</v>
      </c>
      <c r="X143">
        <v>1</v>
      </c>
      <c r="Y143">
        <v>0</v>
      </c>
      <c r="Z143">
        <v>0</v>
      </c>
      <c r="AA143">
        <v>0</v>
      </c>
    </row>
    <row r="144" spans="1:27" x14ac:dyDescent="0.3">
      <c r="A144">
        <v>32</v>
      </c>
      <c r="B144">
        <v>26.5</v>
      </c>
      <c r="C144">
        <v>0.5</v>
      </c>
      <c r="D144">
        <v>0</v>
      </c>
      <c r="E144">
        <v>0</v>
      </c>
      <c r="F144" t="s">
        <v>907</v>
      </c>
      <c r="G144" s="101">
        <v>46222</v>
      </c>
      <c r="H144" t="s">
        <v>105</v>
      </c>
      <c r="I144" t="s">
        <v>413</v>
      </c>
      <c r="J144" t="s">
        <v>414</v>
      </c>
      <c r="K144" t="s">
        <v>382</v>
      </c>
      <c r="L144" s="39">
        <v>0.38648148148148148</v>
      </c>
      <c r="M144" s="39">
        <v>0.66918981481481477</v>
      </c>
      <c r="N144">
        <v>6.78</v>
      </c>
      <c r="O144" t="s">
        <v>974</v>
      </c>
      <c r="P144">
        <v>0</v>
      </c>
      <c r="Q144" t="s">
        <v>975</v>
      </c>
      <c r="R144">
        <v>0</v>
      </c>
      <c r="S144">
        <v>0</v>
      </c>
      <c r="T144" t="s">
        <v>430</v>
      </c>
      <c r="U144" t="s">
        <v>108</v>
      </c>
      <c r="V144" s="101">
        <v>46222</v>
      </c>
      <c r="W144">
        <v>1</v>
      </c>
      <c r="X144">
        <v>0</v>
      </c>
      <c r="Y144">
        <v>1</v>
      </c>
      <c r="Z144">
        <v>0</v>
      </c>
      <c r="AA144">
        <v>0</v>
      </c>
    </row>
    <row r="145" spans="1:27" x14ac:dyDescent="0.3">
      <c r="A145">
        <v>32</v>
      </c>
      <c r="B145">
        <v>26.5</v>
      </c>
      <c r="C145">
        <v>0.5</v>
      </c>
      <c r="D145">
        <v>0</v>
      </c>
      <c r="E145">
        <v>0</v>
      </c>
      <c r="F145" t="s">
        <v>907</v>
      </c>
      <c r="G145" s="101">
        <v>46223</v>
      </c>
      <c r="H145" t="s">
        <v>105</v>
      </c>
      <c r="I145" t="s">
        <v>413</v>
      </c>
      <c r="J145" t="s">
        <v>414</v>
      </c>
      <c r="K145" t="s">
        <v>382</v>
      </c>
      <c r="L145" s="39">
        <v>0.37504629629629632</v>
      </c>
      <c r="M145" s="39">
        <v>0.73476851851851854</v>
      </c>
      <c r="N145">
        <v>8.6300000000000008</v>
      </c>
      <c r="O145" t="s">
        <v>976</v>
      </c>
      <c r="P145">
        <v>0</v>
      </c>
      <c r="Q145" t="s">
        <v>723</v>
      </c>
      <c r="R145">
        <v>0</v>
      </c>
      <c r="S145">
        <v>0</v>
      </c>
      <c r="T145" t="s">
        <v>430</v>
      </c>
      <c r="U145" t="s">
        <v>108</v>
      </c>
      <c r="V145" s="101">
        <v>46223</v>
      </c>
      <c r="W145">
        <v>1</v>
      </c>
      <c r="X145">
        <v>1</v>
      </c>
      <c r="Y145">
        <v>0</v>
      </c>
      <c r="Z145">
        <v>0</v>
      </c>
      <c r="AA145">
        <v>0</v>
      </c>
    </row>
    <row r="146" spans="1:27" x14ac:dyDescent="0.3">
      <c r="A146">
        <v>32</v>
      </c>
      <c r="B146">
        <v>26.5</v>
      </c>
      <c r="C146">
        <v>0.5</v>
      </c>
      <c r="D146">
        <v>0</v>
      </c>
      <c r="E146">
        <v>0</v>
      </c>
      <c r="F146" t="s">
        <v>907</v>
      </c>
      <c r="G146" s="101">
        <v>46224</v>
      </c>
      <c r="H146" t="s">
        <v>105</v>
      </c>
      <c r="I146" t="s">
        <v>413</v>
      </c>
      <c r="J146" t="s">
        <v>414</v>
      </c>
      <c r="K146" t="s">
        <v>382</v>
      </c>
      <c r="L146" s="39">
        <v>0.37113425925925925</v>
      </c>
      <c r="M146" s="39">
        <v>0.73412037037037037</v>
      </c>
      <c r="N146">
        <v>8.7100000000000009</v>
      </c>
      <c r="O146" t="s">
        <v>728</v>
      </c>
      <c r="P146">
        <v>0</v>
      </c>
      <c r="Q146" t="s">
        <v>977</v>
      </c>
      <c r="R146">
        <v>0</v>
      </c>
      <c r="S146">
        <v>0</v>
      </c>
      <c r="T146" t="s">
        <v>430</v>
      </c>
      <c r="U146" t="s">
        <v>108</v>
      </c>
      <c r="V146" s="101">
        <v>46224</v>
      </c>
      <c r="W146">
        <v>1</v>
      </c>
      <c r="X146">
        <v>1</v>
      </c>
      <c r="Y146">
        <v>0</v>
      </c>
      <c r="Z146">
        <v>0</v>
      </c>
      <c r="AA146">
        <v>0</v>
      </c>
    </row>
    <row r="147" spans="1:27" x14ac:dyDescent="0.3">
      <c r="A147">
        <v>32</v>
      </c>
      <c r="B147">
        <v>26.5</v>
      </c>
      <c r="C147">
        <v>0.5</v>
      </c>
      <c r="D147">
        <v>0</v>
      </c>
      <c r="E147">
        <v>0</v>
      </c>
      <c r="F147" t="s">
        <v>907</v>
      </c>
      <c r="G147" s="101">
        <v>46225</v>
      </c>
      <c r="H147" t="s">
        <v>105</v>
      </c>
      <c r="I147" t="s">
        <v>413</v>
      </c>
      <c r="J147" t="s">
        <v>414</v>
      </c>
      <c r="K147" t="s">
        <v>382</v>
      </c>
      <c r="L147" s="39">
        <v>0.37519675925925927</v>
      </c>
      <c r="M147" s="39">
        <v>0.72916666666666663</v>
      </c>
      <c r="N147">
        <v>8.5</v>
      </c>
      <c r="O147" t="s">
        <v>958</v>
      </c>
      <c r="P147">
        <v>0</v>
      </c>
      <c r="Q147" t="s">
        <v>418</v>
      </c>
      <c r="R147">
        <v>0</v>
      </c>
      <c r="S147">
        <v>0</v>
      </c>
      <c r="T147" t="s">
        <v>430</v>
      </c>
      <c r="U147" t="s">
        <v>108</v>
      </c>
      <c r="V147" s="101">
        <v>46225</v>
      </c>
      <c r="W147">
        <v>1</v>
      </c>
      <c r="X147">
        <v>1</v>
      </c>
      <c r="Y147">
        <v>0</v>
      </c>
      <c r="Z147">
        <v>0</v>
      </c>
      <c r="AA147">
        <v>0</v>
      </c>
    </row>
    <row r="148" spans="1:27" x14ac:dyDescent="0.3">
      <c r="A148">
        <v>32</v>
      </c>
      <c r="B148">
        <v>26.5</v>
      </c>
      <c r="C148">
        <v>0.5</v>
      </c>
      <c r="D148">
        <v>0</v>
      </c>
      <c r="E148">
        <v>0</v>
      </c>
      <c r="F148" t="s">
        <v>907</v>
      </c>
      <c r="G148" s="101">
        <v>46226</v>
      </c>
      <c r="H148" t="s">
        <v>105</v>
      </c>
      <c r="I148" t="s">
        <v>413</v>
      </c>
      <c r="J148" t="s">
        <v>414</v>
      </c>
      <c r="K148" t="s">
        <v>382</v>
      </c>
      <c r="L148" s="39">
        <v>0.3704513888888889</v>
      </c>
      <c r="M148" s="39">
        <v>0.74012731481481486</v>
      </c>
      <c r="N148">
        <v>8.8699999999999992</v>
      </c>
      <c r="O148" t="s">
        <v>756</v>
      </c>
      <c r="P148">
        <v>0</v>
      </c>
      <c r="Q148" t="s">
        <v>978</v>
      </c>
      <c r="R148">
        <v>0</v>
      </c>
      <c r="S148">
        <v>0</v>
      </c>
      <c r="T148" t="s">
        <v>430</v>
      </c>
      <c r="U148" t="s">
        <v>108</v>
      </c>
      <c r="V148" s="101">
        <v>46226</v>
      </c>
      <c r="W148">
        <v>1</v>
      </c>
      <c r="X148">
        <v>1</v>
      </c>
      <c r="Y148">
        <v>0</v>
      </c>
      <c r="Z148">
        <v>0</v>
      </c>
      <c r="AA148">
        <v>0</v>
      </c>
    </row>
    <row r="149" spans="1:27" x14ac:dyDescent="0.3">
      <c r="A149">
        <v>32</v>
      </c>
      <c r="B149">
        <v>26.5</v>
      </c>
      <c r="C149">
        <v>0.5</v>
      </c>
      <c r="D149">
        <v>0</v>
      </c>
      <c r="E149">
        <v>0</v>
      </c>
      <c r="F149" t="s">
        <v>907</v>
      </c>
      <c r="G149" s="101">
        <v>46227</v>
      </c>
      <c r="H149" t="s">
        <v>105</v>
      </c>
      <c r="I149" t="s">
        <v>413</v>
      </c>
      <c r="J149" t="s">
        <v>414</v>
      </c>
      <c r="K149" t="s">
        <v>382</v>
      </c>
      <c r="L149" s="39">
        <v>0.73423611111111109</v>
      </c>
      <c r="M149" s="39">
        <v>0</v>
      </c>
      <c r="N149">
        <v>6.38</v>
      </c>
      <c r="O149" t="s">
        <v>979</v>
      </c>
      <c r="P149">
        <v>0</v>
      </c>
      <c r="Q149" t="s">
        <v>385</v>
      </c>
      <c r="R149">
        <v>0</v>
      </c>
      <c r="S149">
        <v>0</v>
      </c>
      <c r="T149" t="s">
        <v>430</v>
      </c>
      <c r="U149" t="s">
        <v>108</v>
      </c>
      <c r="V149" s="101">
        <v>46227</v>
      </c>
      <c r="W149">
        <v>1</v>
      </c>
      <c r="X149">
        <v>1</v>
      </c>
      <c r="Y149">
        <v>0</v>
      </c>
      <c r="Z149">
        <v>0</v>
      </c>
      <c r="AA149">
        <v>0</v>
      </c>
    </row>
    <row r="150" spans="1:27" x14ac:dyDescent="0.3">
      <c r="A150">
        <v>32</v>
      </c>
      <c r="B150">
        <v>26.5</v>
      </c>
      <c r="C150">
        <v>0.5</v>
      </c>
      <c r="D150">
        <v>0</v>
      </c>
      <c r="E150">
        <v>0</v>
      </c>
      <c r="F150" t="s">
        <v>907</v>
      </c>
      <c r="G150" s="101">
        <v>46228</v>
      </c>
      <c r="H150" t="s">
        <v>105</v>
      </c>
      <c r="I150" t="s">
        <v>413</v>
      </c>
      <c r="J150" t="s">
        <v>414</v>
      </c>
      <c r="K150" t="s">
        <v>382</v>
      </c>
      <c r="L150" s="39">
        <v>0.72868055555555555</v>
      </c>
      <c r="M150" s="39">
        <v>0</v>
      </c>
      <c r="N150">
        <v>6.51</v>
      </c>
      <c r="O150" t="s">
        <v>980</v>
      </c>
      <c r="P150">
        <v>0</v>
      </c>
      <c r="Q150" t="s">
        <v>385</v>
      </c>
      <c r="R150">
        <v>0</v>
      </c>
      <c r="S150">
        <v>0</v>
      </c>
      <c r="T150" t="s">
        <v>430</v>
      </c>
      <c r="U150" t="s">
        <v>108</v>
      </c>
      <c r="V150" s="101">
        <v>46228</v>
      </c>
      <c r="W150">
        <v>1</v>
      </c>
      <c r="X150">
        <v>1</v>
      </c>
      <c r="Y150">
        <v>0</v>
      </c>
      <c r="Z150">
        <v>0</v>
      </c>
      <c r="AA150">
        <v>0</v>
      </c>
    </row>
    <row r="151" spans="1:27" x14ac:dyDescent="0.3">
      <c r="A151">
        <v>32</v>
      </c>
      <c r="B151">
        <v>26.5</v>
      </c>
      <c r="C151">
        <v>0.5</v>
      </c>
      <c r="D151">
        <v>0</v>
      </c>
      <c r="E151">
        <v>0</v>
      </c>
      <c r="F151" t="s">
        <v>907</v>
      </c>
      <c r="G151" s="101">
        <v>46229</v>
      </c>
      <c r="H151" t="s">
        <v>105</v>
      </c>
      <c r="I151" t="s">
        <v>413</v>
      </c>
      <c r="J151" t="s">
        <v>414</v>
      </c>
      <c r="K151" t="s">
        <v>383</v>
      </c>
      <c r="L151" s="39">
        <v>0</v>
      </c>
      <c r="M151" s="39">
        <v>0</v>
      </c>
      <c r="N151">
        <v>0</v>
      </c>
      <c r="O151" t="s">
        <v>384</v>
      </c>
      <c r="P151">
        <v>9</v>
      </c>
      <c r="Q151" t="s">
        <v>385</v>
      </c>
      <c r="R151">
        <v>0</v>
      </c>
      <c r="S151">
        <v>9</v>
      </c>
      <c r="T151" t="s">
        <v>430</v>
      </c>
      <c r="U151" t="s">
        <v>366</v>
      </c>
      <c r="V151" s="101">
        <v>46229</v>
      </c>
      <c r="W151">
        <v>0</v>
      </c>
      <c r="X151">
        <v>0</v>
      </c>
      <c r="Y151">
        <v>0</v>
      </c>
      <c r="Z151">
        <v>0</v>
      </c>
      <c r="AA151">
        <v>0</v>
      </c>
    </row>
    <row r="152" spans="1:27" x14ac:dyDescent="0.3">
      <c r="A152">
        <v>32</v>
      </c>
      <c r="B152">
        <v>26.5</v>
      </c>
      <c r="C152">
        <v>0.5</v>
      </c>
      <c r="D152">
        <v>0</v>
      </c>
      <c r="E152">
        <v>0</v>
      </c>
      <c r="F152" t="s">
        <v>907</v>
      </c>
      <c r="G152" s="101">
        <v>46230</v>
      </c>
      <c r="H152" t="s">
        <v>105</v>
      </c>
      <c r="I152" t="s">
        <v>413</v>
      </c>
      <c r="J152" t="s">
        <v>414</v>
      </c>
      <c r="K152" t="s">
        <v>382</v>
      </c>
      <c r="L152" s="39">
        <v>0.36666666666666664</v>
      </c>
      <c r="M152" s="39">
        <v>0.73417824074074078</v>
      </c>
      <c r="N152">
        <v>8.82</v>
      </c>
      <c r="O152" t="s">
        <v>981</v>
      </c>
      <c r="P152">
        <v>0</v>
      </c>
      <c r="Q152" t="s">
        <v>736</v>
      </c>
      <c r="R152">
        <v>0</v>
      </c>
      <c r="S152">
        <v>0</v>
      </c>
      <c r="T152" t="s">
        <v>430</v>
      </c>
      <c r="U152" t="s">
        <v>108</v>
      </c>
      <c r="V152" s="101">
        <v>46230</v>
      </c>
      <c r="W152">
        <v>1</v>
      </c>
      <c r="X152">
        <v>1</v>
      </c>
      <c r="Y152">
        <v>0</v>
      </c>
      <c r="Z152">
        <v>0</v>
      </c>
      <c r="AA152">
        <v>0</v>
      </c>
    </row>
    <row r="153" spans="1:27" x14ac:dyDescent="0.3">
      <c r="A153">
        <v>32</v>
      </c>
      <c r="B153">
        <v>26.5</v>
      </c>
      <c r="C153">
        <v>0.5</v>
      </c>
      <c r="D153">
        <v>0</v>
      </c>
      <c r="E153">
        <v>0</v>
      </c>
      <c r="F153" t="s">
        <v>907</v>
      </c>
      <c r="G153" s="101">
        <v>46231</v>
      </c>
      <c r="H153" t="s">
        <v>105</v>
      </c>
      <c r="I153" t="s">
        <v>413</v>
      </c>
      <c r="J153" t="s">
        <v>414</v>
      </c>
      <c r="K153" t="s">
        <v>382</v>
      </c>
      <c r="L153" s="39">
        <v>0.375</v>
      </c>
      <c r="M153" s="39">
        <v>0.73032407407407407</v>
      </c>
      <c r="N153">
        <v>8.5299999999999994</v>
      </c>
      <c r="O153" t="s">
        <v>418</v>
      </c>
      <c r="P153">
        <v>0</v>
      </c>
      <c r="Q153" t="s">
        <v>982</v>
      </c>
      <c r="R153">
        <v>0</v>
      </c>
      <c r="S153">
        <v>0</v>
      </c>
      <c r="T153" t="s">
        <v>430</v>
      </c>
      <c r="U153" t="s">
        <v>108</v>
      </c>
      <c r="V153" s="101">
        <v>46231</v>
      </c>
      <c r="W153">
        <v>1</v>
      </c>
      <c r="X153">
        <v>1</v>
      </c>
      <c r="Y153">
        <v>0</v>
      </c>
      <c r="Z153">
        <v>0</v>
      </c>
      <c r="AA153">
        <v>0</v>
      </c>
    </row>
    <row r="154" spans="1:27" x14ac:dyDescent="0.3">
      <c r="A154">
        <v>32</v>
      </c>
      <c r="B154">
        <v>26.5</v>
      </c>
      <c r="C154">
        <v>0.5</v>
      </c>
      <c r="D154">
        <v>0</v>
      </c>
      <c r="E154">
        <v>0</v>
      </c>
      <c r="F154" t="s">
        <v>907</v>
      </c>
      <c r="G154" s="101">
        <v>46232</v>
      </c>
      <c r="H154" t="s">
        <v>105</v>
      </c>
      <c r="I154" t="s">
        <v>413</v>
      </c>
      <c r="J154" t="s">
        <v>414</v>
      </c>
      <c r="K154" t="s">
        <v>382</v>
      </c>
      <c r="L154" s="39">
        <v>0.37597222222222221</v>
      </c>
      <c r="M154" s="39">
        <v>0.73652777777777778</v>
      </c>
      <c r="N154">
        <v>8.65</v>
      </c>
      <c r="O154" t="s">
        <v>673</v>
      </c>
      <c r="P154">
        <v>0</v>
      </c>
      <c r="Q154" t="s">
        <v>983</v>
      </c>
      <c r="R154">
        <v>0</v>
      </c>
      <c r="S154">
        <v>0</v>
      </c>
      <c r="T154" t="s">
        <v>430</v>
      </c>
      <c r="U154" t="s">
        <v>108</v>
      </c>
      <c r="V154" s="101">
        <v>46232</v>
      </c>
      <c r="W154">
        <v>1</v>
      </c>
      <c r="X154">
        <v>1</v>
      </c>
      <c r="Y154">
        <v>0</v>
      </c>
      <c r="Z154">
        <v>0</v>
      </c>
      <c r="AA154">
        <v>0</v>
      </c>
    </row>
    <row r="155" spans="1:27" x14ac:dyDescent="0.3">
      <c r="A155">
        <v>32</v>
      </c>
      <c r="B155">
        <v>26.5</v>
      </c>
      <c r="C155">
        <v>0.5</v>
      </c>
      <c r="D155">
        <v>0</v>
      </c>
      <c r="E155">
        <v>0</v>
      </c>
      <c r="F155" t="s">
        <v>907</v>
      </c>
      <c r="G155" s="101">
        <v>46233</v>
      </c>
      <c r="H155" t="s">
        <v>105</v>
      </c>
      <c r="I155" t="s">
        <v>413</v>
      </c>
      <c r="J155" t="s">
        <v>414</v>
      </c>
      <c r="K155" t="s">
        <v>382</v>
      </c>
      <c r="L155" s="39">
        <v>0.37799768518518517</v>
      </c>
      <c r="M155" s="39">
        <v>0.73289351851851847</v>
      </c>
      <c r="N155">
        <v>8.52</v>
      </c>
      <c r="O155" t="s">
        <v>511</v>
      </c>
      <c r="P155">
        <v>0</v>
      </c>
      <c r="Q155" t="s">
        <v>490</v>
      </c>
      <c r="R155">
        <v>0</v>
      </c>
      <c r="S155">
        <v>0</v>
      </c>
      <c r="T155" t="s">
        <v>430</v>
      </c>
      <c r="U155" t="s">
        <v>108</v>
      </c>
      <c r="V155" s="101">
        <v>46233</v>
      </c>
      <c r="W155">
        <v>1</v>
      </c>
      <c r="X155">
        <v>1</v>
      </c>
      <c r="Y155">
        <v>0</v>
      </c>
      <c r="Z155">
        <v>0</v>
      </c>
      <c r="AA155">
        <v>0</v>
      </c>
    </row>
    <row r="156" spans="1:27" x14ac:dyDescent="0.3">
      <c r="A156">
        <v>32</v>
      </c>
      <c r="B156">
        <v>26.5</v>
      </c>
      <c r="C156">
        <v>0.5</v>
      </c>
      <c r="D156">
        <v>0</v>
      </c>
      <c r="E156">
        <v>0</v>
      </c>
      <c r="F156" t="s">
        <v>907</v>
      </c>
      <c r="G156" s="101">
        <v>46234</v>
      </c>
      <c r="H156" t="s">
        <v>105</v>
      </c>
      <c r="I156" t="s">
        <v>413</v>
      </c>
      <c r="J156" t="s">
        <v>414</v>
      </c>
      <c r="K156" t="s">
        <v>382</v>
      </c>
      <c r="L156" s="39">
        <v>0.37456018518518519</v>
      </c>
      <c r="M156" s="39">
        <v>0.73427083333333332</v>
      </c>
      <c r="N156">
        <v>8.6300000000000008</v>
      </c>
      <c r="O156" t="s">
        <v>591</v>
      </c>
      <c r="P156">
        <v>0</v>
      </c>
      <c r="Q156" t="s">
        <v>500</v>
      </c>
      <c r="R156">
        <v>0</v>
      </c>
      <c r="S156">
        <v>0</v>
      </c>
      <c r="T156" t="s">
        <v>430</v>
      </c>
      <c r="U156" t="s">
        <v>108</v>
      </c>
      <c r="V156" s="101">
        <v>46234</v>
      </c>
      <c r="W156">
        <v>1</v>
      </c>
      <c r="X156">
        <v>1</v>
      </c>
      <c r="Y156">
        <v>0</v>
      </c>
      <c r="Z156">
        <v>0</v>
      </c>
      <c r="AA156">
        <v>0</v>
      </c>
    </row>
    <row r="157" spans="1:27" x14ac:dyDescent="0.3">
      <c r="A157">
        <v>34</v>
      </c>
      <c r="B157">
        <v>25.5</v>
      </c>
      <c r="C157">
        <v>1.5</v>
      </c>
      <c r="D157">
        <v>0</v>
      </c>
      <c r="E157">
        <v>0</v>
      </c>
      <c r="F157" t="s">
        <v>826</v>
      </c>
      <c r="G157" s="101">
        <v>46204</v>
      </c>
      <c r="H157" t="s">
        <v>91</v>
      </c>
      <c r="I157" t="s">
        <v>413</v>
      </c>
      <c r="J157" t="s">
        <v>414</v>
      </c>
      <c r="K157" t="s">
        <v>382</v>
      </c>
      <c r="L157" s="39">
        <v>0.36920138888888887</v>
      </c>
      <c r="M157" s="39">
        <v>0.73199074074074078</v>
      </c>
      <c r="N157">
        <v>8.7100000000000009</v>
      </c>
      <c r="O157" t="s">
        <v>827</v>
      </c>
      <c r="P157">
        <v>0</v>
      </c>
      <c r="Q157" t="s">
        <v>828</v>
      </c>
      <c r="R157">
        <v>0</v>
      </c>
      <c r="S157">
        <v>0</v>
      </c>
      <c r="T157" t="s">
        <v>436</v>
      </c>
      <c r="U157" t="s">
        <v>108</v>
      </c>
      <c r="V157" s="101">
        <v>46204</v>
      </c>
      <c r="W157">
        <v>1</v>
      </c>
      <c r="X157">
        <v>1</v>
      </c>
      <c r="Y157">
        <v>0</v>
      </c>
      <c r="Z157">
        <v>0</v>
      </c>
      <c r="AA157">
        <v>0</v>
      </c>
    </row>
    <row r="158" spans="1:27" x14ac:dyDescent="0.3">
      <c r="A158">
        <v>34</v>
      </c>
      <c r="B158">
        <v>25.5</v>
      </c>
      <c r="C158">
        <v>1.5</v>
      </c>
      <c r="D158">
        <v>0</v>
      </c>
      <c r="E158">
        <v>0</v>
      </c>
      <c r="F158" t="s">
        <v>826</v>
      </c>
      <c r="G158" s="101">
        <v>46205</v>
      </c>
      <c r="H158" t="s">
        <v>91</v>
      </c>
      <c r="I158" t="s">
        <v>413</v>
      </c>
      <c r="J158" t="s">
        <v>414</v>
      </c>
      <c r="K158" t="s">
        <v>382</v>
      </c>
      <c r="L158" s="39">
        <v>0.3772685185185185</v>
      </c>
      <c r="M158" s="39">
        <v>0.72916666666666663</v>
      </c>
      <c r="N158">
        <v>8.4499999999999993</v>
      </c>
      <c r="O158" t="s">
        <v>725</v>
      </c>
      <c r="P158">
        <v>0</v>
      </c>
      <c r="Q158" t="s">
        <v>418</v>
      </c>
      <c r="R158">
        <v>0</v>
      </c>
      <c r="S158">
        <v>0</v>
      </c>
      <c r="T158" t="s">
        <v>436</v>
      </c>
      <c r="U158" t="s">
        <v>108</v>
      </c>
      <c r="V158" s="101">
        <v>46205</v>
      </c>
      <c r="W158">
        <v>1</v>
      </c>
      <c r="X158">
        <v>1</v>
      </c>
      <c r="Y158">
        <v>0</v>
      </c>
      <c r="Z158">
        <v>0</v>
      </c>
      <c r="AA158">
        <v>0</v>
      </c>
    </row>
    <row r="159" spans="1:27" x14ac:dyDescent="0.3">
      <c r="A159">
        <v>34</v>
      </c>
      <c r="B159">
        <v>25.5</v>
      </c>
      <c r="C159">
        <v>1.5</v>
      </c>
      <c r="D159">
        <v>0</v>
      </c>
      <c r="E159">
        <v>0</v>
      </c>
      <c r="F159" t="s">
        <v>826</v>
      </c>
      <c r="G159" s="101">
        <v>46206</v>
      </c>
      <c r="H159" t="s">
        <v>91</v>
      </c>
      <c r="I159" t="s">
        <v>413</v>
      </c>
      <c r="J159" t="s">
        <v>414</v>
      </c>
      <c r="K159" t="s">
        <v>382</v>
      </c>
      <c r="L159" s="39">
        <v>0.36431712962962964</v>
      </c>
      <c r="M159" s="39">
        <v>0.56861111111111107</v>
      </c>
      <c r="N159">
        <v>4.9000000000000004</v>
      </c>
      <c r="O159" t="s">
        <v>829</v>
      </c>
      <c r="P159">
        <v>0</v>
      </c>
      <c r="Q159" t="s">
        <v>830</v>
      </c>
      <c r="R159">
        <v>0</v>
      </c>
      <c r="S159">
        <v>0</v>
      </c>
      <c r="T159" t="s">
        <v>436</v>
      </c>
      <c r="U159" t="s">
        <v>314</v>
      </c>
      <c r="V159" s="101">
        <v>46206</v>
      </c>
      <c r="W159">
        <v>0.5</v>
      </c>
      <c r="X159">
        <v>0.5</v>
      </c>
      <c r="Y159">
        <v>0</v>
      </c>
      <c r="Z159">
        <v>0</v>
      </c>
      <c r="AA159">
        <v>0</v>
      </c>
    </row>
    <row r="160" spans="1:27" x14ac:dyDescent="0.3">
      <c r="A160">
        <v>34</v>
      </c>
      <c r="B160">
        <v>25.5</v>
      </c>
      <c r="C160">
        <v>1.5</v>
      </c>
      <c r="D160">
        <v>0</v>
      </c>
      <c r="E160">
        <v>0</v>
      </c>
      <c r="F160" t="s">
        <v>826</v>
      </c>
      <c r="G160" s="101">
        <v>46207</v>
      </c>
      <c r="H160" t="s">
        <v>91</v>
      </c>
      <c r="I160" t="s">
        <v>413</v>
      </c>
      <c r="J160" t="s">
        <v>414</v>
      </c>
      <c r="K160" t="s">
        <v>382</v>
      </c>
      <c r="L160" s="39">
        <v>0.38422453703703702</v>
      </c>
      <c r="M160" s="39">
        <v>0.73832175925925925</v>
      </c>
      <c r="N160">
        <v>8.5</v>
      </c>
      <c r="O160" t="s">
        <v>831</v>
      </c>
      <c r="P160">
        <v>0</v>
      </c>
      <c r="Q160" t="s">
        <v>832</v>
      </c>
      <c r="R160">
        <v>0</v>
      </c>
      <c r="S160">
        <v>0</v>
      </c>
      <c r="T160" t="s">
        <v>436</v>
      </c>
      <c r="U160" t="s">
        <v>108</v>
      </c>
      <c r="V160" s="101">
        <v>46207</v>
      </c>
      <c r="W160">
        <v>1</v>
      </c>
      <c r="X160">
        <v>1</v>
      </c>
      <c r="Y160">
        <v>0</v>
      </c>
      <c r="Z160">
        <v>0</v>
      </c>
      <c r="AA160">
        <v>0</v>
      </c>
    </row>
    <row r="161" spans="1:27" x14ac:dyDescent="0.3">
      <c r="A161">
        <v>34</v>
      </c>
      <c r="B161">
        <v>25.5</v>
      </c>
      <c r="C161">
        <v>1.5</v>
      </c>
      <c r="D161">
        <v>0</v>
      </c>
      <c r="E161">
        <v>0</v>
      </c>
      <c r="F161" t="s">
        <v>826</v>
      </c>
      <c r="G161" s="101">
        <v>46208</v>
      </c>
      <c r="H161" t="s">
        <v>91</v>
      </c>
      <c r="I161" t="s">
        <v>413</v>
      </c>
      <c r="J161" t="s">
        <v>414</v>
      </c>
      <c r="K161" t="s">
        <v>383</v>
      </c>
      <c r="L161" s="39">
        <v>0</v>
      </c>
      <c r="M161" s="39">
        <v>0</v>
      </c>
      <c r="N161">
        <v>0</v>
      </c>
      <c r="O161" t="s">
        <v>384</v>
      </c>
      <c r="P161">
        <v>9</v>
      </c>
      <c r="Q161" t="s">
        <v>385</v>
      </c>
      <c r="R161">
        <v>0</v>
      </c>
      <c r="S161">
        <v>9</v>
      </c>
      <c r="T161" t="s">
        <v>436</v>
      </c>
      <c r="U161" t="s">
        <v>366</v>
      </c>
      <c r="V161" s="101">
        <v>46208</v>
      </c>
      <c r="W161">
        <v>0</v>
      </c>
      <c r="X161">
        <v>0</v>
      </c>
      <c r="Y161">
        <v>0</v>
      </c>
      <c r="Z161">
        <v>0</v>
      </c>
      <c r="AA161">
        <v>0</v>
      </c>
    </row>
    <row r="162" spans="1:27" x14ac:dyDescent="0.3">
      <c r="A162">
        <v>34</v>
      </c>
      <c r="B162">
        <v>25.5</v>
      </c>
      <c r="C162">
        <v>1.5</v>
      </c>
      <c r="D162">
        <v>0</v>
      </c>
      <c r="E162">
        <v>0</v>
      </c>
      <c r="F162" t="s">
        <v>826</v>
      </c>
      <c r="G162" s="101">
        <v>46209</v>
      </c>
      <c r="H162" t="s">
        <v>91</v>
      </c>
      <c r="I162" t="s">
        <v>413</v>
      </c>
      <c r="J162" t="s">
        <v>414</v>
      </c>
      <c r="K162" t="s">
        <v>382</v>
      </c>
      <c r="L162" s="39">
        <v>0.36457175925925928</v>
      </c>
      <c r="M162" s="39">
        <v>0.72916666666666663</v>
      </c>
      <c r="N162">
        <v>8.75</v>
      </c>
      <c r="O162" t="s">
        <v>833</v>
      </c>
      <c r="P162">
        <v>0</v>
      </c>
      <c r="Q162" t="s">
        <v>418</v>
      </c>
      <c r="R162">
        <v>0</v>
      </c>
      <c r="S162">
        <v>0</v>
      </c>
      <c r="T162" t="s">
        <v>436</v>
      </c>
      <c r="U162" t="s">
        <v>108</v>
      </c>
      <c r="V162" s="101">
        <v>46209</v>
      </c>
      <c r="W162">
        <v>1</v>
      </c>
      <c r="X162">
        <v>1</v>
      </c>
      <c r="Y162">
        <v>0</v>
      </c>
      <c r="Z162">
        <v>0</v>
      </c>
      <c r="AA162">
        <v>0</v>
      </c>
    </row>
    <row r="163" spans="1:27" x14ac:dyDescent="0.3">
      <c r="A163">
        <v>34</v>
      </c>
      <c r="B163">
        <v>25.5</v>
      </c>
      <c r="C163">
        <v>1.5</v>
      </c>
      <c r="D163">
        <v>0</v>
      </c>
      <c r="E163">
        <v>0</v>
      </c>
      <c r="F163" t="s">
        <v>826</v>
      </c>
      <c r="G163" s="101">
        <v>46210</v>
      </c>
      <c r="H163" t="s">
        <v>91</v>
      </c>
      <c r="I163" t="s">
        <v>413</v>
      </c>
      <c r="J163" t="s">
        <v>414</v>
      </c>
      <c r="K163" t="s">
        <v>382</v>
      </c>
      <c r="L163" s="39">
        <v>0.37296296296296294</v>
      </c>
      <c r="M163" s="39">
        <v>0.72916666666666663</v>
      </c>
      <c r="N163">
        <v>8.5500000000000007</v>
      </c>
      <c r="O163" t="s">
        <v>551</v>
      </c>
      <c r="P163">
        <v>0</v>
      </c>
      <c r="Q163" t="s">
        <v>418</v>
      </c>
      <c r="R163">
        <v>0</v>
      </c>
      <c r="S163">
        <v>0</v>
      </c>
      <c r="T163" t="s">
        <v>436</v>
      </c>
      <c r="U163" t="s">
        <v>108</v>
      </c>
      <c r="V163" s="101">
        <v>46210</v>
      </c>
      <c r="W163">
        <v>1</v>
      </c>
      <c r="X163">
        <v>1</v>
      </c>
      <c r="Y163">
        <v>0</v>
      </c>
      <c r="Z163">
        <v>0</v>
      </c>
      <c r="AA163">
        <v>0</v>
      </c>
    </row>
    <row r="164" spans="1:27" x14ac:dyDescent="0.3">
      <c r="A164">
        <v>34</v>
      </c>
      <c r="B164">
        <v>25.5</v>
      </c>
      <c r="C164">
        <v>1.5</v>
      </c>
      <c r="D164">
        <v>0</v>
      </c>
      <c r="E164">
        <v>0</v>
      </c>
      <c r="F164" t="s">
        <v>826</v>
      </c>
      <c r="G164" s="101">
        <v>46211</v>
      </c>
      <c r="H164" t="s">
        <v>91</v>
      </c>
      <c r="I164" t="s">
        <v>413</v>
      </c>
      <c r="J164" t="s">
        <v>414</v>
      </c>
      <c r="K164" t="s">
        <v>382</v>
      </c>
      <c r="L164" s="39">
        <v>0.36854166666666666</v>
      </c>
      <c r="M164" s="39">
        <v>0.7714699074074074</v>
      </c>
      <c r="N164">
        <v>9.67</v>
      </c>
      <c r="O164" t="s">
        <v>834</v>
      </c>
      <c r="P164">
        <v>0</v>
      </c>
      <c r="Q164" t="s">
        <v>835</v>
      </c>
      <c r="R164">
        <v>1.02</v>
      </c>
      <c r="S164">
        <v>1.02</v>
      </c>
      <c r="T164" t="s">
        <v>436</v>
      </c>
      <c r="U164" t="s">
        <v>108</v>
      </c>
      <c r="V164" s="101">
        <v>46211</v>
      </c>
      <c r="W164">
        <v>1</v>
      </c>
      <c r="X164">
        <v>1</v>
      </c>
      <c r="Y164">
        <v>0</v>
      </c>
      <c r="Z164">
        <v>0</v>
      </c>
      <c r="AA164">
        <v>0</v>
      </c>
    </row>
    <row r="165" spans="1:27" x14ac:dyDescent="0.3">
      <c r="A165">
        <v>34</v>
      </c>
      <c r="B165">
        <v>25.5</v>
      </c>
      <c r="C165">
        <v>1.5</v>
      </c>
      <c r="D165">
        <v>0</v>
      </c>
      <c r="E165">
        <v>0</v>
      </c>
      <c r="F165" t="s">
        <v>826</v>
      </c>
      <c r="G165" s="101">
        <v>46212</v>
      </c>
      <c r="H165" t="s">
        <v>91</v>
      </c>
      <c r="I165" t="s">
        <v>413</v>
      </c>
      <c r="J165" t="s">
        <v>414</v>
      </c>
      <c r="K165" t="s">
        <v>382</v>
      </c>
      <c r="L165" s="39">
        <v>0.37268518518518517</v>
      </c>
      <c r="M165" s="39">
        <v>0.77322916666666663</v>
      </c>
      <c r="N165">
        <v>9.61</v>
      </c>
      <c r="O165" t="s">
        <v>440</v>
      </c>
      <c r="P165">
        <v>0</v>
      </c>
      <c r="Q165" t="s">
        <v>836</v>
      </c>
      <c r="R165">
        <v>1.06</v>
      </c>
      <c r="S165">
        <v>1.06</v>
      </c>
      <c r="T165" t="s">
        <v>436</v>
      </c>
      <c r="U165" t="s">
        <v>108</v>
      </c>
      <c r="V165" s="101">
        <v>46212</v>
      </c>
      <c r="W165">
        <v>1</v>
      </c>
      <c r="X165">
        <v>1</v>
      </c>
      <c r="Y165">
        <v>0</v>
      </c>
      <c r="Z165">
        <v>0</v>
      </c>
      <c r="AA165">
        <v>0</v>
      </c>
    </row>
    <row r="166" spans="1:27" x14ac:dyDescent="0.3">
      <c r="A166">
        <v>34</v>
      </c>
      <c r="B166">
        <v>25.5</v>
      </c>
      <c r="C166">
        <v>1.5</v>
      </c>
      <c r="D166">
        <v>0</v>
      </c>
      <c r="E166">
        <v>0</v>
      </c>
      <c r="F166" t="s">
        <v>826</v>
      </c>
      <c r="G166" s="101">
        <v>46213</v>
      </c>
      <c r="H166" t="s">
        <v>91</v>
      </c>
      <c r="I166" t="s">
        <v>413</v>
      </c>
      <c r="J166" t="s">
        <v>414</v>
      </c>
      <c r="K166" t="s">
        <v>382</v>
      </c>
      <c r="L166" s="39">
        <v>0.37289351851851854</v>
      </c>
      <c r="M166" s="39">
        <v>0.76982638888888888</v>
      </c>
      <c r="N166">
        <v>9.5299999999999994</v>
      </c>
      <c r="O166" t="s">
        <v>837</v>
      </c>
      <c r="P166">
        <v>0</v>
      </c>
      <c r="Q166" t="s">
        <v>838</v>
      </c>
      <c r="R166">
        <v>0.98</v>
      </c>
      <c r="S166">
        <v>0.98</v>
      </c>
      <c r="T166" t="s">
        <v>436</v>
      </c>
      <c r="U166" t="s">
        <v>108</v>
      </c>
      <c r="V166" s="101">
        <v>46213</v>
      </c>
      <c r="W166">
        <v>1</v>
      </c>
      <c r="X166">
        <v>1</v>
      </c>
      <c r="Y166">
        <v>0</v>
      </c>
      <c r="Z166">
        <v>0</v>
      </c>
      <c r="AA166">
        <v>0</v>
      </c>
    </row>
    <row r="167" spans="1:27" x14ac:dyDescent="0.3">
      <c r="A167">
        <v>34</v>
      </c>
      <c r="B167">
        <v>25.5</v>
      </c>
      <c r="C167">
        <v>1.5</v>
      </c>
      <c r="D167">
        <v>0</v>
      </c>
      <c r="E167">
        <v>0</v>
      </c>
      <c r="F167" t="s">
        <v>826</v>
      </c>
      <c r="G167" s="101">
        <v>46214</v>
      </c>
      <c r="H167" t="s">
        <v>91</v>
      </c>
      <c r="I167" t="s">
        <v>413</v>
      </c>
      <c r="J167" t="s">
        <v>414</v>
      </c>
      <c r="K167" t="s">
        <v>382</v>
      </c>
      <c r="L167" s="39">
        <v>0.43064814814814817</v>
      </c>
      <c r="M167" s="39">
        <v>0.7716319444444445</v>
      </c>
      <c r="N167">
        <v>8.18</v>
      </c>
      <c r="O167" t="s">
        <v>839</v>
      </c>
      <c r="P167">
        <v>0</v>
      </c>
      <c r="Q167" t="s">
        <v>840</v>
      </c>
      <c r="R167">
        <v>1.02</v>
      </c>
      <c r="S167">
        <v>1.02</v>
      </c>
      <c r="T167" t="s">
        <v>436</v>
      </c>
      <c r="U167" t="s">
        <v>108</v>
      </c>
      <c r="V167" s="101">
        <v>46214</v>
      </c>
      <c r="W167">
        <v>1</v>
      </c>
      <c r="X167">
        <v>1</v>
      </c>
      <c r="Y167">
        <v>0</v>
      </c>
      <c r="Z167">
        <v>0</v>
      </c>
      <c r="AA167">
        <v>0</v>
      </c>
    </row>
    <row r="168" spans="1:27" x14ac:dyDescent="0.3">
      <c r="A168">
        <v>34</v>
      </c>
      <c r="B168">
        <v>25.5</v>
      </c>
      <c r="C168">
        <v>1.5</v>
      </c>
      <c r="D168">
        <v>0</v>
      </c>
      <c r="E168">
        <v>0</v>
      </c>
      <c r="F168" t="s">
        <v>826</v>
      </c>
      <c r="G168" s="101">
        <v>46215</v>
      </c>
      <c r="H168" t="s">
        <v>91</v>
      </c>
      <c r="I168" t="s">
        <v>413</v>
      </c>
      <c r="J168" t="s">
        <v>414</v>
      </c>
      <c r="K168" t="s">
        <v>383</v>
      </c>
      <c r="L168" s="39">
        <v>0</v>
      </c>
      <c r="M168" s="39">
        <v>0</v>
      </c>
      <c r="N168">
        <v>0</v>
      </c>
      <c r="O168" t="s">
        <v>384</v>
      </c>
      <c r="P168">
        <v>9</v>
      </c>
      <c r="Q168" t="s">
        <v>385</v>
      </c>
      <c r="R168">
        <v>0</v>
      </c>
      <c r="S168">
        <v>9</v>
      </c>
      <c r="T168" t="s">
        <v>436</v>
      </c>
      <c r="U168" t="s">
        <v>366</v>
      </c>
      <c r="V168" s="101">
        <v>46215</v>
      </c>
      <c r="W168">
        <v>0</v>
      </c>
      <c r="X168">
        <v>0</v>
      </c>
      <c r="Y168">
        <v>0</v>
      </c>
      <c r="Z168">
        <v>0</v>
      </c>
      <c r="AA168">
        <v>0</v>
      </c>
    </row>
    <row r="169" spans="1:27" x14ac:dyDescent="0.3">
      <c r="A169">
        <v>34</v>
      </c>
      <c r="B169">
        <v>25.5</v>
      </c>
      <c r="C169">
        <v>1.5</v>
      </c>
      <c r="D169">
        <v>0</v>
      </c>
      <c r="E169">
        <v>0</v>
      </c>
      <c r="F169" t="s">
        <v>826</v>
      </c>
      <c r="G169" s="101">
        <v>46216</v>
      </c>
      <c r="H169" t="s">
        <v>91</v>
      </c>
      <c r="I169" t="s">
        <v>413</v>
      </c>
      <c r="J169" t="s">
        <v>414</v>
      </c>
      <c r="K169" t="s">
        <v>382</v>
      </c>
      <c r="L169" s="39">
        <v>0.37070601851851853</v>
      </c>
      <c r="M169" s="39">
        <v>0.75043981481481481</v>
      </c>
      <c r="N169">
        <v>9.11</v>
      </c>
      <c r="O169" t="s">
        <v>595</v>
      </c>
      <c r="P169">
        <v>0</v>
      </c>
      <c r="Q169" t="s">
        <v>841</v>
      </c>
      <c r="R169">
        <v>0.5</v>
      </c>
      <c r="S169">
        <v>0.5</v>
      </c>
      <c r="T169" t="s">
        <v>436</v>
      </c>
      <c r="U169" t="s">
        <v>108</v>
      </c>
      <c r="V169" s="101">
        <v>46216</v>
      </c>
      <c r="W169">
        <v>1</v>
      </c>
      <c r="X169">
        <v>1</v>
      </c>
      <c r="Y169">
        <v>0</v>
      </c>
      <c r="Z169">
        <v>0</v>
      </c>
      <c r="AA169">
        <v>0</v>
      </c>
    </row>
    <row r="170" spans="1:27" x14ac:dyDescent="0.3">
      <c r="A170">
        <v>34</v>
      </c>
      <c r="B170">
        <v>25.5</v>
      </c>
      <c r="C170">
        <v>1.5</v>
      </c>
      <c r="D170">
        <v>0</v>
      </c>
      <c r="E170">
        <v>0</v>
      </c>
      <c r="F170" t="s">
        <v>826</v>
      </c>
      <c r="G170" s="101">
        <v>46217</v>
      </c>
      <c r="H170" t="s">
        <v>91</v>
      </c>
      <c r="I170" t="s">
        <v>413</v>
      </c>
      <c r="J170" t="s">
        <v>414</v>
      </c>
      <c r="K170" t="s">
        <v>382</v>
      </c>
      <c r="L170" s="39">
        <v>0.37092592592592594</v>
      </c>
      <c r="M170" s="39">
        <v>0.76814814814814814</v>
      </c>
      <c r="N170">
        <v>9.5299999999999994</v>
      </c>
      <c r="O170" t="s">
        <v>842</v>
      </c>
      <c r="P170">
        <v>0</v>
      </c>
      <c r="Q170" t="s">
        <v>463</v>
      </c>
      <c r="R170">
        <v>0.94</v>
      </c>
      <c r="S170">
        <v>0.94</v>
      </c>
      <c r="T170" t="s">
        <v>436</v>
      </c>
      <c r="U170" t="s">
        <v>108</v>
      </c>
      <c r="V170" s="101">
        <v>46217</v>
      </c>
      <c r="W170">
        <v>1</v>
      </c>
      <c r="X170">
        <v>1</v>
      </c>
      <c r="Y170">
        <v>0</v>
      </c>
      <c r="Z170">
        <v>0</v>
      </c>
      <c r="AA170">
        <v>0</v>
      </c>
    </row>
    <row r="171" spans="1:27" x14ac:dyDescent="0.3">
      <c r="A171">
        <v>34</v>
      </c>
      <c r="B171">
        <v>25.5</v>
      </c>
      <c r="C171">
        <v>1.5</v>
      </c>
      <c r="D171">
        <v>0</v>
      </c>
      <c r="E171">
        <v>0</v>
      </c>
      <c r="F171" t="s">
        <v>826</v>
      </c>
      <c r="G171" s="101">
        <v>46218</v>
      </c>
      <c r="H171" t="s">
        <v>91</v>
      </c>
      <c r="I171" t="s">
        <v>413</v>
      </c>
      <c r="J171" t="s">
        <v>414</v>
      </c>
      <c r="K171" t="s">
        <v>382</v>
      </c>
      <c r="L171" s="39">
        <v>0.36989583333333331</v>
      </c>
      <c r="M171" s="39">
        <v>0.7625925925925926</v>
      </c>
      <c r="N171">
        <v>9.42</v>
      </c>
      <c r="O171" t="s">
        <v>500</v>
      </c>
      <c r="P171">
        <v>0</v>
      </c>
      <c r="Q171" t="s">
        <v>843</v>
      </c>
      <c r="R171">
        <v>0.8</v>
      </c>
      <c r="S171">
        <v>0.8</v>
      </c>
      <c r="T171" t="s">
        <v>436</v>
      </c>
      <c r="U171" t="s">
        <v>108</v>
      </c>
      <c r="V171" s="101">
        <v>46218</v>
      </c>
      <c r="W171">
        <v>1</v>
      </c>
      <c r="X171">
        <v>1</v>
      </c>
      <c r="Y171">
        <v>0</v>
      </c>
      <c r="Z171">
        <v>0</v>
      </c>
      <c r="AA171">
        <v>0</v>
      </c>
    </row>
    <row r="172" spans="1:27" x14ac:dyDescent="0.3">
      <c r="A172">
        <v>34</v>
      </c>
      <c r="B172">
        <v>25.5</v>
      </c>
      <c r="C172">
        <v>1.5</v>
      </c>
      <c r="D172">
        <v>0</v>
      </c>
      <c r="E172">
        <v>0</v>
      </c>
      <c r="F172" t="s">
        <v>826</v>
      </c>
      <c r="G172" s="101">
        <v>46219</v>
      </c>
      <c r="H172" t="s">
        <v>91</v>
      </c>
      <c r="I172" t="s">
        <v>413</v>
      </c>
      <c r="J172" t="s">
        <v>414</v>
      </c>
      <c r="K172" t="s">
        <v>382</v>
      </c>
      <c r="L172" s="39">
        <v>0.37246527777777777</v>
      </c>
      <c r="M172" s="39">
        <v>0.62574074074074071</v>
      </c>
      <c r="N172">
        <v>6.08</v>
      </c>
      <c r="O172" t="s">
        <v>562</v>
      </c>
      <c r="P172">
        <v>0</v>
      </c>
      <c r="Q172" t="s">
        <v>844</v>
      </c>
      <c r="R172">
        <v>0</v>
      </c>
      <c r="S172">
        <v>0</v>
      </c>
      <c r="T172" t="s">
        <v>436</v>
      </c>
      <c r="U172" t="s">
        <v>108</v>
      </c>
      <c r="V172" s="101">
        <v>46219</v>
      </c>
      <c r="W172">
        <v>1</v>
      </c>
      <c r="X172">
        <v>1</v>
      </c>
      <c r="Y172">
        <v>0</v>
      </c>
      <c r="Z172">
        <v>0</v>
      </c>
      <c r="AA172">
        <v>0</v>
      </c>
    </row>
    <row r="173" spans="1:27" x14ac:dyDescent="0.3">
      <c r="A173">
        <v>34</v>
      </c>
      <c r="B173">
        <v>25.5</v>
      </c>
      <c r="C173">
        <v>1.5</v>
      </c>
      <c r="D173">
        <v>0</v>
      </c>
      <c r="E173">
        <v>0</v>
      </c>
      <c r="F173" t="s">
        <v>826</v>
      </c>
      <c r="G173" s="101">
        <v>46220</v>
      </c>
      <c r="H173" t="s">
        <v>91</v>
      </c>
      <c r="I173" t="s">
        <v>413</v>
      </c>
      <c r="J173" t="s">
        <v>414</v>
      </c>
      <c r="K173" t="s">
        <v>382</v>
      </c>
      <c r="L173" s="39">
        <v>0.37556712962962963</v>
      </c>
      <c r="M173" s="39">
        <v>0.72916666666666663</v>
      </c>
      <c r="N173">
        <v>8.49</v>
      </c>
      <c r="O173" t="s">
        <v>454</v>
      </c>
      <c r="P173">
        <v>0</v>
      </c>
      <c r="Q173" t="s">
        <v>418</v>
      </c>
      <c r="R173">
        <v>0</v>
      </c>
      <c r="S173">
        <v>0</v>
      </c>
      <c r="T173" t="s">
        <v>436</v>
      </c>
      <c r="U173" t="s">
        <v>108</v>
      </c>
      <c r="V173" s="101">
        <v>46220</v>
      </c>
      <c r="W173">
        <v>1</v>
      </c>
      <c r="X173">
        <v>1</v>
      </c>
      <c r="Y173">
        <v>0</v>
      </c>
      <c r="Z173">
        <v>0</v>
      </c>
      <c r="AA173">
        <v>0</v>
      </c>
    </row>
    <row r="174" spans="1:27" x14ac:dyDescent="0.3">
      <c r="A174">
        <v>34</v>
      </c>
      <c r="B174">
        <v>25.5</v>
      </c>
      <c r="C174">
        <v>1.5</v>
      </c>
      <c r="D174">
        <v>0</v>
      </c>
      <c r="E174">
        <v>0</v>
      </c>
      <c r="F174" t="s">
        <v>826</v>
      </c>
      <c r="G174" s="101">
        <v>46221</v>
      </c>
      <c r="H174" t="s">
        <v>91</v>
      </c>
      <c r="I174" t="s">
        <v>413</v>
      </c>
      <c r="J174" t="s">
        <v>414</v>
      </c>
      <c r="K174" t="s">
        <v>382</v>
      </c>
      <c r="L174" s="39">
        <v>0.37885416666666666</v>
      </c>
      <c r="M174" s="39">
        <v>0.73304398148148153</v>
      </c>
      <c r="N174">
        <v>8.5</v>
      </c>
      <c r="O174" t="s">
        <v>845</v>
      </c>
      <c r="P174">
        <v>0</v>
      </c>
      <c r="Q174" t="s">
        <v>621</v>
      </c>
      <c r="R174">
        <v>0</v>
      </c>
      <c r="S174">
        <v>0</v>
      </c>
      <c r="T174" t="s">
        <v>436</v>
      </c>
      <c r="U174" t="s">
        <v>108</v>
      </c>
      <c r="V174" s="101">
        <v>46221</v>
      </c>
      <c r="W174">
        <v>1</v>
      </c>
      <c r="X174">
        <v>1</v>
      </c>
      <c r="Y174">
        <v>0</v>
      </c>
      <c r="Z174">
        <v>0</v>
      </c>
      <c r="AA174">
        <v>0</v>
      </c>
    </row>
    <row r="175" spans="1:27" x14ac:dyDescent="0.3">
      <c r="A175">
        <v>34</v>
      </c>
      <c r="B175">
        <v>25.5</v>
      </c>
      <c r="C175">
        <v>1.5</v>
      </c>
      <c r="D175">
        <v>0</v>
      </c>
      <c r="E175">
        <v>0</v>
      </c>
      <c r="F175" t="s">
        <v>826</v>
      </c>
      <c r="G175" s="101">
        <v>46222</v>
      </c>
      <c r="H175" t="s">
        <v>91</v>
      </c>
      <c r="I175" t="s">
        <v>413</v>
      </c>
      <c r="J175" t="s">
        <v>414</v>
      </c>
      <c r="K175" t="s">
        <v>382</v>
      </c>
      <c r="L175" s="39">
        <v>0.36406250000000001</v>
      </c>
      <c r="M175" s="39">
        <v>0.68863425925925925</v>
      </c>
      <c r="N175">
        <v>7.79</v>
      </c>
      <c r="O175" t="s">
        <v>769</v>
      </c>
      <c r="P175">
        <v>0</v>
      </c>
      <c r="Q175" t="s">
        <v>846</v>
      </c>
      <c r="R175">
        <v>0</v>
      </c>
      <c r="S175">
        <v>0</v>
      </c>
      <c r="T175" t="s">
        <v>436</v>
      </c>
      <c r="U175" t="s">
        <v>108</v>
      </c>
      <c r="V175" s="101">
        <v>46222</v>
      </c>
      <c r="W175">
        <v>1</v>
      </c>
      <c r="X175">
        <v>0</v>
      </c>
      <c r="Y175">
        <v>1</v>
      </c>
      <c r="Z175">
        <v>0</v>
      </c>
      <c r="AA175">
        <v>0</v>
      </c>
    </row>
    <row r="176" spans="1:27" x14ac:dyDescent="0.3">
      <c r="A176">
        <v>34</v>
      </c>
      <c r="B176">
        <v>25.5</v>
      </c>
      <c r="C176">
        <v>1.5</v>
      </c>
      <c r="D176">
        <v>0</v>
      </c>
      <c r="E176">
        <v>0</v>
      </c>
      <c r="F176" t="s">
        <v>826</v>
      </c>
      <c r="G176" s="101">
        <v>46223</v>
      </c>
      <c r="H176" t="s">
        <v>91</v>
      </c>
      <c r="I176" t="s">
        <v>413</v>
      </c>
      <c r="J176" t="s">
        <v>414</v>
      </c>
      <c r="K176" t="s">
        <v>382</v>
      </c>
      <c r="L176" s="39">
        <v>0.37444444444444447</v>
      </c>
      <c r="M176" s="39">
        <v>0.77167824074074076</v>
      </c>
      <c r="N176">
        <v>9.5299999999999994</v>
      </c>
      <c r="O176" t="s">
        <v>847</v>
      </c>
      <c r="P176">
        <v>0</v>
      </c>
      <c r="Q176" t="s">
        <v>761</v>
      </c>
      <c r="R176">
        <v>1.02</v>
      </c>
      <c r="S176">
        <v>1.02</v>
      </c>
      <c r="T176" t="s">
        <v>436</v>
      </c>
      <c r="U176" t="s">
        <v>108</v>
      </c>
      <c r="V176" s="101">
        <v>46223</v>
      </c>
      <c r="W176">
        <v>1</v>
      </c>
      <c r="X176">
        <v>1</v>
      </c>
      <c r="Y176">
        <v>0</v>
      </c>
      <c r="Z176">
        <v>0</v>
      </c>
      <c r="AA176">
        <v>0</v>
      </c>
    </row>
    <row r="177" spans="1:27" x14ac:dyDescent="0.3">
      <c r="A177">
        <v>34</v>
      </c>
      <c r="B177">
        <v>25.5</v>
      </c>
      <c r="C177">
        <v>1.5</v>
      </c>
      <c r="D177">
        <v>0</v>
      </c>
      <c r="E177">
        <v>0</v>
      </c>
      <c r="F177" t="s">
        <v>826</v>
      </c>
      <c r="G177" s="101">
        <v>46224</v>
      </c>
      <c r="H177" t="s">
        <v>91</v>
      </c>
      <c r="I177" t="s">
        <v>413</v>
      </c>
      <c r="J177" t="s">
        <v>414</v>
      </c>
      <c r="K177" t="s">
        <v>382</v>
      </c>
      <c r="L177" s="39">
        <v>0.37755787037037036</v>
      </c>
      <c r="M177" s="39">
        <v>0.73221064814814818</v>
      </c>
      <c r="N177">
        <v>8.51</v>
      </c>
      <c r="O177" t="s">
        <v>848</v>
      </c>
      <c r="P177">
        <v>0</v>
      </c>
      <c r="Q177" t="s">
        <v>549</v>
      </c>
      <c r="R177">
        <v>0</v>
      </c>
      <c r="S177">
        <v>0</v>
      </c>
      <c r="T177" t="s">
        <v>436</v>
      </c>
      <c r="U177" t="s">
        <v>108</v>
      </c>
      <c r="V177" s="101">
        <v>46224</v>
      </c>
      <c r="W177">
        <v>1</v>
      </c>
      <c r="X177">
        <v>1</v>
      </c>
      <c r="Y177">
        <v>0</v>
      </c>
      <c r="Z177">
        <v>0</v>
      </c>
      <c r="AA177">
        <v>0</v>
      </c>
    </row>
    <row r="178" spans="1:27" x14ac:dyDescent="0.3">
      <c r="A178">
        <v>34</v>
      </c>
      <c r="B178">
        <v>25.5</v>
      </c>
      <c r="C178">
        <v>1.5</v>
      </c>
      <c r="D178">
        <v>0</v>
      </c>
      <c r="E178">
        <v>0</v>
      </c>
      <c r="F178" t="s">
        <v>826</v>
      </c>
      <c r="G178" s="101">
        <v>46225</v>
      </c>
      <c r="H178" t="s">
        <v>91</v>
      </c>
      <c r="I178" t="s">
        <v>413</v>
      </c>
      <c r="J178" t="s">
        <v>414</v>
      </c>
      <c r="K178" t="s">
        <v>382</v>
      </c>
      <c r="L178" s="39">
        <v>0.3722685185185185</v>
      </c>
      <c r="M178" s="39">
        <v>0.77035879629629633</v>
      </c>
      <c r="N178">
        <v>9.5500000000000007</v>
      </c>
      <c r="O178" t="s">
        <v>849</v>
      </c>
      <c r="P178">
        <v>0</v>
      </c>
      <c r="Q178" t="s">
        <v>850</v>
      </c>
      <c r="R178">
        <v>0.99</v>
      </c>
      <c r="S178">
        <v>0.99</v>
      </c>
      <c r="T178" t="s">
        <v>436</v>
      </c>
      <c r="U178" t="s">
        <v>108</v>
      </c>
      <c r="V178" s="101">
        <v>46225</v>
      </c>
      <c r="W178">
        <v>1</v>
      </c>
      <c r="X178">
        <v>1</v>
      </c>
      <c r="Y178">
        <v>0</v>
      </c>
      <c r="Z178">
        <v>0</v>
      </c>
      <c r="AA178">
        <v>0</v>
      </c>
    </row>
    <row r="179" spans="1:27" x14ac:dyDescent="0.3">
      <c r="A179">
        <v>34</v>
      </c>
      <c r="B179">
        <v>25.5</v>
      </c>
      <c r="C179">
        <v>1.5</v>
      </c>
      <c r="D179">
        <v>0</v>
      </c>
      <c r="E179">
        <v>0</v>
      </c>
      <c r="F179" t="s">
        <v>826</v>
      </c>
      <c r="G179" s="101">
        <v>46226</v>
      </c>
      <c r="H179" t="s">
        <v>91</v>
      </c>
      <c r="I179" t="s">
        <v>413</v>
      </c>
      <c r="J179" t="s">
        <v>414</v>
      </c>
      <c r="K179" t="s">
        <v>382</v>
      </c>
      <c r="L179" s="39">
        <v>0.36857638888888888</v>
      </c>
      <c r="M179" s="39">
        <v>0.77093750000000005</v>
      </c>
      <c r="N179">
        <v>9.66</v>
      </c>
      <c r="O179" t="s">
        <v>674</v>
      </c>
      <c r="P179">
        <v>0</v>
      </c>
      <c r="Q179" t="s">
        <v>851</v>
      </c>
      <c r="R179">
        <v>1</v>
      </c>
      <c r="S179">
        <v>1</v>
      </c>
      <c r="T179" t="s">
        <v>436</v>
      </c>
      <c r="U179" t="s">
        <v>108</v>
      </c>
      <c r="V179" s="101">
        <v>46226</v>
      </c>
      <c r="W179">
        <v>1</v>
      </c>
      <c r="X179">
        <v>1</v>
      </c>
      <c r="Y179">
        <v>0</v>
      </c>
      <c r="Z179">
        <v>0</v>
      </c>
      <c r="AA179">
        <v>0</v>
      </c>
    </row>
    <row r="180" spans="1:27" x14ac:dyDescent="0.3">
      <c r="A180">
        <v>34</v>
      </c>
      <c r="B180">
        <v>25.5</v>
      </c>
      <c r="C180">
        <v>1.5</v>
      </c>
      <c r="D180">
        <v>0</v>
      </c>
      <c r="E180">
        <v>0</v>
      </c>
      <c r="F180" t="s">
        <v>826</v>
      </c>
      <c r="G180" s="101">
        <v>46227</v>
      </c>
      <c r="H180" t="s">
        <v>91</v>
      </c>
      <c r="I180" t="s">
        <v>413</v>
      </c>
      <c r="J180" t="s">
        <v>414</v>
      </c>
      <c r="K180" t="s">
        <v>383</v>
      </c>
      <c r="L180" s="39">
        <v>0</v>
      </c>
      <c r="M180" s="39">
        <v>0</v>
      </c>
      <c r="N180">
        <v>0</v>
      </c>
      <c r="O180" t="s">
        <v>384</v>
      </c>
      <c r="P180">
        <v>9</v>
      </c>
      <c r="Q180" t="s">
        <v>385</v>
      </c>
      <c r="R180">
        <v>0</v>
      </c>
      <c r="S180">
        <v>9</v>
      </c>
      <c r="T180" t="s">
        <v>436</v>
      </c>
      <c r="U180" t="s">
        <v>366</v>
      </c>
      <c r="V180" s="101">
        <v>46227</v>
      </c>
      <c r="W180">
        <v>0</v>
      </c>
      <c r="X180">
        <v>0</v>
      </c>
      <c r="Y180">
        <v>0</v>
      </c>
      <c r="Z180">
        <v>0</v>
      </c>
      <c r="AA180">
        <v>0</v>
      </c>
    </row>
    <row r="181" spans="1:27" x14ac:dyDescent="0.3">
      <c r="A181">
        <v>34</v>
      </c>
      <c r="B181">
        <v>25.5</v>
      </c>
      <c r="C181">
        <v>1.5</v>
      </c>
      <c r="D181">
        <v>0</v>
      </c>
      <c r="E181">
        <v>0</v>
      </c>
      <c r="F181" t="s">
        <v>826</v>
      </c>
      <c r="G181" s="101">
        <v>46228</v>
      </c>
      <c r="H181" t="s">
        <v>91</v>
      </c>
      <c r="I181" t="s">
        <v>413</v>
      </c>
      <c r="J181" t="s">
        <v>414</v>
      </c>
      <c r="K181" t="s">
        <v>382</v>
      </c>
      <c r="L181" s="39">
        <v>0.37502314814814813</v>
      </c>
      <c r="M181" s="39">
        <v>0.77200231481481485</v>
      </c>
      <c r="N181">
        <v>9.5299999999999994</v>
      </c>
      <c r="O181" t="s">
        <v>656</v>
      </c>
      <c r="P181">
        <v>0</v>
      </c>
      <c r="Q181" t="s">
        <v>852</v>
      </c>
      <c r="R181">
        <v>1.03</v>
      </c>
      <c r="S181">
        <v>1.03</v>
      </c>
      <c r="T181" t="s">
        <v>436</v>
      </c>
      <c r="U181" t="s">
        <v>108</v>
      </c>
      <c r="V181" s="101">
        <v>46228</v>
      </c>
      <c r="W181">
        <v>1</v>
      </c>
      <c r="X181">
        <v>1</v>
      </c>
      <c r="Y181">
        <v>0</v>
      </c>
      <c r="Z181">
        <v>0</v>
      </c>
      <c r="AA181">
        <v>0</v>
      </c>
    </row>
    <row r="182" spans="1:27" x14ac:dyDescent="0.3">
      <c r="A182">
        <v>34</v>
      </c>
      <c r="B182">
        <v>25.5</v>
      </c>
      <c r="C182">
        <v>1.5</v>
      </c>
      <c r="D182">
        <v>0</v>
      </c>
      <c r="E182">
        <v>0</v>
      </c>
      <c r="F182" t="s">
        <v>826</v>
      </c>
      <c r="G182" s="101">
        <v>46229</v>
      </c>
      <c r="H182" t="s">
        <v>91</v>
      </c>
      <c r="I182" t="s">
        <v>413</v>
      </c>
      <c r="J182" t="s">
        <v>414</v>
      </c>
      <c r="K182" t="s">
        <v>383</v>
      </c>
      <c r="L182" s="39">
        <v>0</v>
      </c>
      <c r="M182" s="39">
        <v>0</v>
      </c>
      <c r="N182">
        <v>0</v>
      </c>
      <c r="O182" t="s">
        <v>384</v>
      </c>
      <c r="P182">
        <v>9</v>
      </c>
      <c r="Q182" t="s">
        <v>385</v>
      </c>
      <c r="R182">
        <v>0</v>
      </c>
      <c r="S182">
        <v>9</v>
      </c>
      <c r="T182" t="s">
        <v>436</v>
      </c>
      <c r="U182" t="s">
        <v>366</v>
      </c>
      <c r="V182" s="101">
        <v>46229</v>
      </c>
      <c r="W182">
        <v>0</v>
      </c>
      <c r="X182">
        <v>0</v>
      </c>
      <c r="Y182">
        <v>0</v>
      </c>
      <c r="Z182">
        <v>0</v>
      </c>
      <c r="AA182">
        <v>0</v>
      </c>
    </row>
    <row r="183" spans="1:27" x14ac:dyDescent="0.3">
      <c r="A183">
        <v>34</v>
      </c>
      <c r="B183">
        <v>25.5</v>
      </c>
      <c r="C183">
        <v>1.5</v>
      </c>
      <c r="D183">
        <v>0</v>
      </c>
      <c r="E183">
        <v>0</v>
      </c>
      <c r="F183" t="s">
        <v>826</v>
      </c>
      <c r="G183" s="101">
        <v>46230</v>
      </c>
      <c r="H183" t="s">
        <v>91</v>
      </c>
      <c r="I183" t="s">
        <v>413</v>
      </c>
      <c r="J183" t="s">
        <v>414</v>
      </c>
      <c r="K183" t="s">
        <v>382</v>
      </c>
      <c r="L183" s="39">
        <v>0.36755787037037035</v>
      </c>
      <c r="M183" s="39">
        <v>0.77096064814814813</v>
      </c>
      <c r="N183">
        <v>9.68</v>
      </c>
      <c r="O183" t="s">
        <v>853</v>
      </c>
      <c r="P183">
        <v>0</v>
      </c>
      <c r="Q183" t="s">
        <v>760</v>
      </c>
      <c r="R183">
        <v>1</v>
      </c>
      <c r="S183">
        <v>1</v>
      </c>
      <c r="T183" t="s">
        <v>436</v>
      </c>
      <c r="U183" t="s">
        <v>108</v>
      </c>
      <c r="V183" s="101">
        <v>46230</v>
      </c>
      <c r="W183">
        <v>1</v>
      </c>
      <c r="X183">
        <v>1</v>
      </c>
      <c r="Y183">
        <v>0</v>
      </c>
      <c r="Z183">
        <v>0</v>
      </c>
      <c r="AA183">
        <v>0</v>
      </c>
    </row>
    <row r="184" spans="1:27" x14ac:dyDescent="0.3">
      <c r="A184">
        <v>34</v>
      </c>
      <c r="B184">
        <v>25.5</v>
      </c>
      <c r="C184">
        <v>1.5</v>
      </c>
      <c r="D184">
        <v>0</v>
      </c>
      <c r="E184">
        <v>0</v>
      </c>
      <c r="F184" t="s">
        <v>826</v>
      </c>
      <c r="G184" s="101">
        <v>46231</v>
      </c>
      <c r="H184" t="s">
        <v>91</v>
      </c>
      <c r="I184" t="s">
        <v>413</v>
      </c>
      <c r="J184" t="s">
        <v>414</v>
      </c>
      <c r="K184" t="s">
        <v>382</v>
      </c>
      <c r="L184" s="39">
        <v>0.39846064814814813</v>
      </c>
      <c r="M184" s="39">
        <v>0.77059027777777778</v>
      </c>
      <c r="N184">
        <v>8.93</v>
      </c>
      <c r="O184" t="s">
        <v>854</v>
      </c>
      <c r="P184">
        <v>0</v>
      </c>
      <c r="Q184" t="s">
        <v>785</v>
      </c>
      <c r="R184">
        <v>0.99</v>
      </c>
      <c r="S184">
        <v>0.99</v>
      </c>
      <c r="T184" t="s">
        <v>436</v>
      </c>
      <c r="U184" t="s">
        <v>108</v>
      </c>
      <c r="V184" s="101">
        <v>46231</v>
      </c>
      <c r="W184">
        <v>1</v>
      </c>
      <c r="X184">
        <v>1</v>
      </c>
      <c r="Y184">
        <v>0</v>
      </c>
      <c r="Z184">
        <v>0</v>
      </c>
      <c r="AA184">
        <v>0</v>
      </c>
    </row>
    <row r="185" spans="1:27" x14ac:dyDescent="0.3">
      <c r="A185">
        <v>34</v>
      </c>
      <c r="B185">
        <v>25.5</v>
      </c>
      <c r="C185">
        <v>1.5</v>
      </c>
      <c r="D185">
        <v>0</v>
      </c>
      <c r="E185">
        <v>0</v>
      </c>
      <c r="F185" t="s">
        <v>826</v>
      </c>
      <c r="G185" s="101">
        <v>46232</v>
      </c>
      <c r="H185" t="s">
        <v>91</v>
      </c>
      <c r="I185" t="s">
        <v>413</v>
      </c>
      <c r="J185" t="s">
        <v>414</v>
      </c>
      <c r="K185" t="s">
        <v>382</v>
      </c>
      <c r="L185" s="39">
        <v>0.37605324074074076</v>
      </c>
      <c r="M185" s="39">
        <v>0.76983796296296292</v>
      </c>
      <c r="N185">
        <v>9.4499999999999993</v>
      </c>
      <c r="O185" t="s">
        <v>616</v>
      </c>
      <c r="P185">
        <v>0</v>
      </c>
      <c r="Q185" t="s">
        <v>855</v>
      </c>
      <c r="R185">
        <v>0.98</v>
      </c>
      <c r="S185">
        <v>0.98</v>
      </c>
      <c r="T185" t="s">
        <v>436</v>
      </c>
      <c r="U185" t="s">
        <v>108</v>
      </c>
      <c r="V185" s="101">
        <v>46232</v>
      </c>
      <c r="W185">
        <v>1</v>
      </c>
      <c r="X185">
        <v>1</v>
      </c>
      <c r="Y185">
        <v>0</v>
      </c>
      <c r="Z185">
        <v>0</v>
      </c>
      <c r="AA185">
        <v>0</v>
      </c>
    </row>
    <row r="186" spans="1:27" x14ac:dyDescent="0.3">
      <c r="A186">
        <v>34</v>
      </c>
      <c r="B186">
        <v>25.5</v>
      </c>
      <c r="C186">
        <v>1.5</v>
      </c>
      <c r="D186">
        <v>0</v>
      </c>
      <c r="E186">
        <v>0</v>
      </c>
      <c r="F186" t="s">
        <v>826</v>
      </c>
      <c r="G186" s="101">
        <v>46233</v>
      </c>
      <c r="H186" t="s">
        <v>91</v>
      </c>
      <c r="I186" t="s">
        <v>413</v>
      </c>
      <c r="J186" t="s">
        <v>414</v>
      </c>
      <c r="K186" t="s">
        <v>382</v>
      </c>
      <c r="L186" s="39">
        <v>0.40689814814814818</v>
      </c>
      <c r="M186" s="39">
        <v>0.77060185185185182</v>
      </c>
      <c r="N186">
        <v>8.73</v>
      </c>
      <c r="O186" t="s">
        <v>856</v>
      </c>
      <c r="P186">
        <v>0</v>
      </c>
      <c r="Q186" t="s">
        <v>857</v>
      </c>
      <c r="R186">
        <v>0.99</v>
      </c>
      <c r="S186">
        <v>0.99</v>
      </c>
      <c r="T186" t="s">
        <v>436</v>
      </c>
      <c r="U186" t="s">
        <v>108</v>
      </c>
      <c r="V186" s="101">
        <v>46233</v>
      </c>
      <c r="W186">
        <v>1</v>
      </c>
      <c r="X186">
        <v>1</v>
      </c>
      <c r="Y186">
        <v>0</v>
      </c>
      <c r="Z186">
        <v>0</v>
      </c>
      <c r="AA186">
        <v>0</v>
      </c>
    </row>
    <row r="187" spans="1:27" x14ac:dyDescent="0.3">
      <c r="A187">
        <v>34</v>
      </c>
      <c r="B187">
        <v>25.5</v>
      </c>
      <c r="C187">
        <v>1.5</v>
      </c>
      <c r="D187">
        <v>0</v>
      </c>
      <c r="E187">
        <v>0</v>
      </c>
      <c r="F187" t="s">
        <v>826</v>
      </c>
      <c r="G187" s="101">
        <v>46234</v>
      </c>
      <c r="H187" t="s">
        <v>91</v>
      </c>
      <c r="I187" t="s">
        <v>413</v>
      </c>
      <c r="J187" t="s">
        <v>414</v>
      </c>
      <c r="K187" t="s">
        <v>382</v>
      </c>
      <c r="L187" s="39">
        <v>0.37802083333333331</v>
      </c>
      <c r="M187" s="39">
        <v>0.73777777777777775</v>
      </c>
      <c r="N187">
        <v>8.6300000000000008</v>
      </c>
      <c r="O187" t="s">
        <v>858</v>
      </c>
      <c r="P187">
        <v>0</v>
      </c>
      <c r="Q187" t="s">
        <v>859</v>
      </c>
      <c r="R187">
        <v>0</v>
      </c>
      <c r="S187">
        <v>0</v>
      </c>
      <c r="T187" t="s">
        <v>436</v>
      </c>
      <c r="U187" t="s">
        <v>108</v>
      </c>
      <c r="V187" s="101">
        <v>46234</v>
      </c>
      <c r="W187">
        <v>1</v>
      </c>
      <c r="X187">
        <v>1</v>
      </c>
      <c r="Y187">
        <v>0</v>
      </c>
      <c r="Z187">
        <v>0</v>
      </c>
      <c r="AA187">
        <v>0</v>
      </c>
    </row>
    <row r="188" spans="1:27" x14ac:dyDescent="0.3">
      <c r="A188">
        <v>35</v>
      </c>
      <c r="B188">
        <v>27</v>
      </c>
      <c r="C188">
        <v>0</v>
      </c>
      <c r="D188">
        <v>0</v>
      </c>
      <c r="E188">
        <v>0</v>
      </c>
      <c r="F188" t="s">
        <v>907</v>
      </c>
      <c r="G188" s="101">
        <v>46204</v>
      </c>
      <c r="H188" t="s">
        <v>102</v>
      </c>
      <c r="I188" t="s">
        <v>413</v>
      </c>
      <c r="J188" t="s">
        <v>414</v>
      </c>
      <c r="K188" t="s">
        <v>382</v>
      </c>
      <c r="L188" s="39">
        <v>0.37431712962962965</v>
      </c>
      <c r="M188" s="39">
        <v>0.73233796296296294</v>
      </c>
      <c r="N188">
        <v>8.59</v>
      </c>
      <c r="O188" t="s">
        <v>984</v>
      </c>
      <c r="P188">
        <v>0</v>
      </c>
      <c r="Q188" t="s">
        <v>985</v>
      </c>
      <c r="R188">
        <v>0</v>
      </c>
      <c r="S188">
        <v>0</v>
      </c>
      <c r="T188" t="s">
        <v>439</v>
      </c>
      <c r="U188" t="s">
        <v>108</v>
      </c>
      <c r="V188" s="101">
        <v>46204</v>
      </c>
      <c r="W188">
        <v>1</v>
      </c>
      <c r="X188">
        <v>1</v>
      </c>
      <c r="Y188">
        <v>0</v>
      </c>
      <c r="Z188">
        <v>0</v>
      </c>
      <c r="AA188">
        <v>0</v>
      </c>
    </row>
    <row r="189" spans="1:27" x14ac:dyDescent="0.3">
      <c r="A189">
        <v>35</v>
      </c>
      <c r="B189">
        <v>27</v>
      </c>
      <c r="C189">
        <v>0</v>
      </c>
      <c r="D189">
        <v>0</v>
      </c>
      <c r="E189">
        <v>0</v>
      </c>
      <c r="F189" t="s">
        <v>907</v>
      </c>
      <c r="G189" s="101">
        <v>46205</v>
      </c>
      <c r="H189" t="s">
        <v>102</v>
      </c>
      <c r="I189" t="s">
        <v>413</v>
      </c>
      <c r="J189" t="s">
        <v>414</v>
      </c>
      <c r="K189" t="s">
        <v>382</v>
      </c>
      <c r="L189" s="39">
        <v>0.38141203703703702</v>
      </c>
      <c r="M189" s="39">
        <v>0.73306712962962961</v>
      </c>
      <c r="N189">
        <v>8.44</v>
      </c>
      <c r="O189" t="s">
        <v>986</v>
      </c>
      <c r="P189">
        <v>0</v>
      </c>
      <c r="Q189" t="s">
        <v>665</v>
      </c>
      <c r="R189">
        <v>0</v>
      </c>
      <c r="S189">
        <v>0</v>
      </c>
      <c r="T189" t="s">
        <v>439</v>
      </c>
      <c r="U189" t="s">
        <v>108</v>
      </c>
      <c r="V189" s="101">
        <v>46205</v>
      </c>
      <c r="W189">
        <v>1</v>
      </c>
      <c r="X189">
        <v>1</v>
      </c>
      <c r="Y189">
        <v>0</v>
      </c>
      <c r="Z189">
        <v>0</v>
      </c>
      <c r="AA189">
        <v>0</v>
      </c>
    </row>
    <row r="190" spans="1:27" x14ac:dyDescent="0.3">
      <c r="A190">
        <v>35</v>
      </c>
      <c r="B190">
        <v>27</v>
      </c>
      <c r="C190">
        <v>0</v>
      </c>
      <c r="D190">
        <v>0</v>
      </c>
      <c r="E190">
        <v>0</v>
      </c>
      <c r="F190" t="s">
        <v>907</v>
      </c>
      <c r="G190" s="101">
        <v>46206</v>
      </c>
      <c r="H190" t="s">
        <v>102</v>
      </c>
      <c r="I190" t="s">
        <v>413</v>
      </c>
      <c r="J190" t="s">
        <v>414</v>
      </c>
      <c r="K190" t="s">
        <v>382</v>
      </c>
      <c r="L190" s="39">
        <v>0.37386574074074075</v>
      </c>
      <c r="M190" s="39">
        <v>0.73484953703703704</v>
      </c>
      <c r="N190">
        <v>8.66</v>
      </c>
      <c r="O190" t="s">
        <v>987</v>
      </c>
      <c r="P190">
        <v>0</v>
      </c>
      <c r="Q190" t="s">
        <v>988</v>
      </c>
      <c r="R190">
        <v>0</v>
      </c>
      <c r="S190">
        <v>0</v>
      </c>
      <c r="T190" t="s">
        <v>439</v>
      </c>
      <c r="U190" t="s">
        <v>108</v>
      </c>
      <c r="V190" s="101">
        <v>46206</v>
      </c>
      <c r="W190">
        <v>1</v>
      </c>
      <c r="X190">
        <v>1</v>
      </c>
      <c r="Y190">
        <v>0</v>
      </c>
      <c r="Z190">
        <v>0</v>
      </c>
      <c r="AA190">
        <v>0</v>
      </c>
    </row>
    <row r="191" spans="1:27" x14ac:dyDescent="0.3">
      <c r="A191">
        <v>35</v>
      </c>
      <c r="B191">
        <v>27</v>
      </c>
      <c r="C191">
        <v>0</v>
      </c>
      <c r="D191">
        <v>0</v>
      </c>
      <c r="E191">
        <v>0</v>
      </c>
      <c r="F191" t="s">
        <v>907</v>
      </c>
      <c r="G191" s="101">
        <v>46207</v>
      </c>
      <c r="H191" t="s">
        <v>102</v>
      </c>
      <c r="I191" t="s">
        <v>413</v>
      </c>
      <c r="J191" t="s">
        <v>414</v>
      </c>
      <c r="K191" t="s">
        <v>382</v>
      </c>
      <c r="L191" s="39">
        <v>0.37228009259259259</v>
      </c>
      <c r="M191" s="39">
        <v>0.73114583333333338</v>
      </c>
      <c r="N191">
        <v>8.61</v>
      </c>
      <c r="O191" t="s">
        <v>989</v>
      </c>
      <c r="P191">
        <v>0</v>
      </c>
      <c r="Q191" t="s">
        <v>444</v>
      </c>
      <c r="R191">
        <v>0</v>
      </c>
      <c r="S191">
        <v>0</v>
      </c>
      <c r="T191" t="s">
        <v>439</v>
      </c>
      <c r="U191" t="s">
        <v>108</v>
      </c>
      <c r="V191" s="101">
        <v>46207</v>
      </c>
      <c r="W191">
        <v>1</v>
      </c>
      <c r="X191">
        <v>1</v>
      </c>
      <c r="Y191">
        <v>0</v>
      </c>
      <c r="Z191">
        <v>0</v>
      </c>
      <c r="AA191">
        <v>0</v>
      </c>
    </row>
    <row r="192" spans="1:27" x14ac:dyDescent="0.3">
      <c r="A192">
        <v>35</v>
      </c>
      <c r="B192">
        <v>27</v>
      </c>
      <c r="C192">
        <v>0</v>
      </c>
      <c r="D192">
        <v>0</v>
      </c>
      <c r="E192">
        <v>0</v>
      </c>
      <c r="F192" t="s">
        <v>907</v>
      </c>
      <c r="G192" s="101">
        <v>46208</v>
      </c>
      <c r="H192" t="s">
        <v>102</v>
      </c>
      <c r="I192" t="s">
        <v>413</v>
      </c>
      <c r="J192" t="s">
        <v>414</v>
      </c>
      <c r="K192" t="s">
        <v>383</v>
      </c>
      <c r="L192" s="39">
        <v>0</v>
      </c>
      <c r="M192" s="39">
        <v>0</v>
      </c>
      <c r="N192">
        <v>0</v>
      </c>
      <c r="O192" t="s">
        <v>384</v>
      </c>
      <c r="P192">
        <v>9</v>
      </c>
      <c r="Q192" t="s">
        <v>385</v>
      </c>
      <c r="R192">
        <v>0</v>
      </c>
      <c r="S192">
        <v>9</v>
      </c>
      <c r="T192" t="s">
        <v>439</v>
      </c>
      <c r="U192" t="s">
        <v>366</v>
      </c>
      <c r="V192" s="101">
        <v>46208</v>
      </c>
      <c r="W192">
        <v>0</v>
      </c>
      <c r="X192">
        <v>0</v>
      </c>
      <c r="Y192">
        <v>0</v>
      </c>
      <c r="Z192">
        <v>0</v>
      </c>
      <c r="AA192">
        <v>0</v>
      </c>
    </row>
    <row r="193" spans="1:27" x14ac:dyDescent="0.3">
      <c r="A193">
        <v>35</v>
      </c>
      <c r="B193">
        <v>27</v>
      </c>
      <c r="C193">
        <v>0</v>
      </c>
      <c r="D193">
        <v>0</v>
      </c>
      <c r="E193">
        <v>0</v>
      </c>
      <c r="F193" t="s">
        <v>907</v>
      </c>
      <c r="G193" s="101">
        <v>46209</v>
      </c>
      <c r="H193" t="s">
        <v>102</v>
      </c>
      <c r="I193" t="s">
        <v>413</v>
      </c>
      <c r="J193" t="s">
        <v>414</v>
      </c>
      <c r="K193" t="s">
        <v>382</v>
      </c>
      <c r="L193" s="39">
        <v>0.37918981481481484</v>
      </c>
      <c r="M193" s="39">
        <v>0.73371527777777779</v>
      </c>
      <c r="N193">
        <v>8.51</v>
      </c>
      <c r="O193" t="s">
        <v>990</v>
      </c>
      <c r="P193">
        <v>0</v>
      </c>
      <c r="Q193" t="s">
        <v>756</v>
      </c>
      <c r="R193">
        <v>0</v>
      </c>
      <c r="S193">
        <v>0</v>
      </c>
      <c r="T193" t="s">
        <v>439</v>
      </c>
      <c r="U193" t="s">
        <v>108</v>
      </c>
      <c r="V193" s="101">
        <v>46209</v>
      </c>
      <c r="W193">
        <v>1</v>
      </c>
      <c r="X193">
        <v>1</v>
      </c>
      <c r="Y193">
        <v>0</v>
      </c>
      <c r="Z193">
        <v>0</v>
      </c>
      <c r="AA193">
        <v>0</v>
      </c>
    </row>
    <row r="194" spans="1:27" x14ac:dyDescent="0.3">
      <c r="A194">
        <v>35</v>
      </c>
      <c r="B194">
        <v>27</v>
      </c>
      <c r="C194">
        <v>0</v>
      </c>
      <c r="D194">
        <v>0</v>
      </c>
      <c r="E194">
        <v>0</v>
      </c>
      <c r="F194" t="s">
        <v>907</v>
      </c>
      <c r="G194" s="101">
        <v>46210</v>
      </c>
      <c r="H194" t="s">
        <v>102</v>
      </c>
      <c r="I194" t="s">
        <v>413</v>
      </c>
      <c r="J194" t="s">
        <v>414</v>
      </c>
      <c r="K194" t="s">
        <v>382</v>
      </c>
      <c r="L194" s="39">
        <v>0.37579861111111112</v>
      </c>
      <c r="M194" s="39">
        <v>0.76920138888888889</v>
      </c>
      <c r="N194">
        <v>9.44</v>
      </c>
      <c r="O194" t="s">
        <v>991</v>
      </c>
      <c r="P194">
        <v>0</v>
      </c>
      <c r="Q194" t="s">
        <v>992</v>
      </c>
      <c r="R194">
        <v>0.96</v>
      </c>
      <c r="S194">
        <v>0.96</v>
      </c>
      <c r="T194" t="s">
        <v>439</v>
      </c>
      <c r="U194" t="s">
        <v>108</v>
      </c>
      <c r="V194" s="101">
        <v>46210</v>
      </c>
      <c r="W194">
        <v>1</v>
      </c>
      <c r="X194">
        <v>1</v>
      </c>
      <c r="Y194">
        <v>0</v>
      </c>
      <c r="Z194">
        <v>0</v>
      </c>
      <c r="AA194">
        <v>0</v>
      </c>
    </row>
    <row r="195" spans="1:27" x14ac:dyDescent="0.3">
      <c r="A195">
        <v>35</v>
      </c>
      <c r="B195">
        <v>27</v>
      </c>
      <c r="C195">
        <v>0</v>
      </c>
      <c r="D195">
        <v>0</v>
      </c>
      <c r="E195">
        <v>0</v>
      </c>
      <c r="F195" t="s">
        <v>907</v>
      </c>
      <c r="G195" s="101">
        <v>46211</v>
      </c>
      <c r="H195" t="s">
        <v>102</v>
      </c>
      <c r="I195" t="s">
        <v>413</v>
      </c>
      <c r="J195" t="s">
        <v>414</v>
      </c>
      <c r="K195" t="s">
        <v>382</v>
      </c>
      <c r="L195" s="39">
        <v>0.37549768518518517</v>
      </c>
      <c r="M195" s="39">
        <v>0.77119212962962957</v>
      </c>
      <c r="N195">
        <v>9.5</v>
      </c>
      <c r="O195" t="s">
        <v>547</v>
      </c>
      <c r="P195">
        <v>0</v>
      </c>
      <c r="Q195" t="s">
        <v>993</v>
      </c>
      <c r="R195">
        <v>1.01</v>
      </c>
      <c r="S195">
        <v>1.01</v>
      </c>
      <c r="T195" t="s">
        <v>439</v>
      </c>
      <c r="U195" t="s">
        <v>108</v>
      </c>
      <c r="V195" s="101">
        <v>46211</v>
      </c>
      <c r="W195">
        <v>1</v>
      </c>
      <c r="X195">
        <v>1</v>
      </c>
      <c r="Y195">
        <v>0</v>
      </c>
      <c r="Z195">
        <v>0</v>
      </c>
      <c r="AA195">
        <v>0</v>
      </c>
    </row>
    <row r="196" spans="1:27" x14ac:dyDescent="0.3">
      <c r="A196">
        <v>35</v>
      </c>
      <c r="B196">
        <v>27</v>
      </c>
      <c r="C196">
        <v>0</v>
      </c>
      <c r="D196">
        <v>0</v>
      </c>
      <c r="E196">
        <v>0</v>
      </c>
      <c r="F196" t="s">
        <v>907</v>
      </c>
      <c r="G196" s="101">
        <v>46212</v>
      </c>
      <c r="H196" t="s">
        <v>102</v>
      </c>
      <c r="I196" t="s">
        <v>413</v>
      </c>
      <c r="J196" t="s">
        <v>414</v>
      </c>
      <c r="K196" t="s">
        <v>382</v>
      </c>
      <c r="L196" s="39">
        <v>0.3753009259259259</v>
      </c>
      <c r="M196" s="39">
        <v>0.77209490740740738</v>
      </c>
      <c r="N196">
        <v>9.52</v>
      </c>
      <c r="O196" t="s">
        <v>546</v>
      </c>
      <c r="P196">
        <v>0</v>
      </c>
      <c r="Q196" t="s">
        <v>994</v>
      </c>
      <c r="R196">
        <v>1.03</v>
      </c>
      <c r="S196">
        <v>1.03</v>
      </c>
      <c r="T196" t="s">
        <v>439</v>
      </c>
      <c r="U196" t="s">
        <v>108</v>
      </c>
      <c r="V196" s="101">
        <v>46212</v>
      </c>
      <c r="W196">
        <v>1</v>
      </c>
      <c r="X196">
        <v>1</v>
      </c>
      <c r="Y196">
        <v>0</v>
      </c>
      <c r="Z196">
        <v>0</v>
      </c>
      <c r="AA196">
        <v>0</v>
      </c>
    </row>
    <row r="197" spans="1:27" x14ac:dyDescent="0.3">
      <c r="A197">
        <v>35</v>
      </c>
      <c r="B197">
        <v>27</v>
      </c>
      <c r="C197">
        <v>0</v>
      </c>
      <c r="D197">
        <v>0</v>
      </c>
      <c r="E197">
        <v>0</v>
      </c>
      <c r="F197" t="s">
        <v>907</v>
      </c>
      <c r="G197" s="101">
        <v>46213</v>
      </c>
      <c r="H197" t="s">
        <v>102</v>
      </c>
      <c r="I197" t="s">
        <v>413</v>
      </c>
      <c r="J197" t="s">
        <v>414</v>
      </c>
      <c r="K197" t="s">
        <v>382</v>
      </c>
      <c r="L197" s="39">
        <v>0.37638888888888888</v>
      </c>
      <c r="M197" s="39">
        <v>0.77284722222222224</v>
      </c>
      <c r="N197">
        <v>9.52</v>
      </c>
      <c r="O197" t="s">
        <v>467</v>
      </c>
      <c r="P197">
        <v>0</v>
      </c>
      <c r="Q197" t="s">
        <v>995</v>
      </c>
      <c r="R197">
        <v>1.05</v>
      </c>
      <c r="S197">
        <v>1.05</v>
      </c>
      <c r="T197" t="s">
        <v>439</v>
      </c>
      <c r="U197" t="s">
        <v>108</v>
      </c>
      <c r="V197" s="101">
        <v>46213</v>
      </c>
      <c r="W197">
        <v>1</v>
      </c>
      <c r="X197">
        <v>1</v>
      </c>
      <c r="Y197">
        <v>0</v>
      </c>
      <c r="Z197">
        <v>0</v>
      </c>
      <c r="AA197">
        <v>0</v>
      </c>
    </row>
    <row r="198" spans="1:27" x14ac:dyDescent="0.3">
      <c r="A198">
        <v>35</v>
      </c>
      <c r="B198">
        <v>27</v>
      </c>
      <c r="C198">
        <v>0</v>
      </c>
      <c r="D198">
        <v>0</v>
      </c>
      <c r="E198">
        <v>0</v>
      </c>
      <c r="F198" t="s">
        <v>907</v>
      </c>
      <c r="G198" s="101">
        <v>46214</v>
      </c>
      <c r="H198" t="s">
        <v>102</v>
      </c>
      <c r="I198" t="s">
        <v>413</v>
      </c>
      <c r="J198" t="s">
        <v>414</v>
      </c>
      <c r="K198" t="s">
        <v>382</v>
      </c>
      <c r="L198" s="39">
        <v>0.37258101851851849</v>
      </c>
      <c r="M198" s="39">
        <v>0.77144675925925921</v>
      </c>
      <c r="N198">
        <v>9.57</v>
      </c>
      <c r="O198" t="s">
        <v>996</v>
      </c>
      <c r="P198">
        <v>0</v>
      </c>
      <c r="Q198" t="s">
        <v>997</v>
      </c>
      <c r="R198">
        <v>1.01</v>
      </c>
      <c r="S198">
        <v>1.01</v>
      </c>
      <c r="T198" t="s">
        <v>439</v>
      </c>
      <c r="U198" t="s">
        <v>108</v>
      </c>
      <c r="V198" s="101">
        <v>46214</v>
      </c>
      <c r="W198">
        <v>1</v>
      </c>
      <c r="X198">
        <v>1</v>
      </c>
      <c r="Y198">
        <v>0</v>
      </c>
      <c r="Z198">
        <v>0</v>
      </c>
      <c r="AA198">
        <v>0</v>
      </c>
    </row>
    <row r="199" spans="1:27" x14ac:dyDescent="0.3">
      <c r="A199">
        <v>35</v>
      </c>
      <c r="B199">
        <v>27</v>
      </c>
      <c r="C199">
        <v>0</v>
      </c>
      <c r="D199">
        <v>0</v>
      </c>
      <c r="E199">
        <v>0</v>
      </c>
      <c r="F199" t="s">
        <v>907</v>
      </c>
      <c r="G199" s="101">
        <v>46215</v>
      </c>
      <c r="H199" t="s">
        <v>102</v>
      </c>
      <c r="I199" t="s">
        <v>413</v>
      </c>
      <c r="J199" t="s">
        <v>414</v>
      </c>
      <c r="K199" t="s">
        <v>383</v>
      </c>
      <c r="L199" s="39">
        <v>0</v>
      </c>
      <c r="M199" s="39">
        <v>0</v>
      </c>
      <c r="N199">
        <v>0</v>
      </c>
      <c r="O199" t="s">
        <v>384</v>
      </c>
      <c r="P199">
        <v>9</v>
      </c>
      <c r="Q199" t="s">
        <v>385</v>
      </c>
      <c r="R199">
        <v>0</v>
      </c>
      <c r="S199">
        <v>9</v>
      </c>
      <c r="T199" t="s">
        <v>439</v>
      </c>
      <c r="U199" t="s">
        <v>366</v>
      </c>
      <c r="V199" s="101">
        <v>46215</v>
      </c>
      <c r="W199">
        <v>0</v>
      </c>
      <c r="X199">
        <v>0</v>
      </c>
      <c r="Y199">
        <v>0</v>
      </c>
      <c r="Z199">
        <v>0</v>
      </c>
      <c r="AA199">
        <v>0</v>
      </c>
    </row>
    <row r="200" spans="1:27" x14ac:dyDescent="0.3">
      <c r="A200">
        <v>35</v>
      </c>
      <c r="B200">
        <v>27</v>
      </c>
      <c r="C200">
        <v>0</v>
      </c>
      <c r="D200">
        <v>0</v>
      </c>
      <c r="E200">
        <v>0</v>
      </c>
      <c r="F200" t="s">
        <v>907</v>
      </c>
      <c r="G200" s="101">
        <v>46216</v>
      </c>
      <c r="H200" t="s">
        <v>102</v>
      </c>
      <c r="I200" t="s">
        <v>413</v>
      </c>
      <c r="J200" t="s">
        <v>414</v>
      </c>
      <c r="K200" t="s">
        <v>382</v>
      </c>
      <c r="L200" s="39">
        <v>0.36956018518518519</v>
      </c>
      <c r="M200" s="39">
        <v>0.73901620370370369</v>
      </c>
      <c r="N200">
        <v>8.8699999999999992</v>
      </c>
      <c r="O200" t="s">
        <v>719</v>
      </c>
      <c r="P200">
        <v>0</v>
      </c>
      <c r="Q200" t="s">
        <v>998</v>
      </c>
      <c r="R200">
        <v>0</v>
      </c>
      <c r="S200">
        <v>0</v>
      </c>
      <c r="T200" t="s">
        <v>439</v>
      </c>
      <c r="U200" t="s">
        <v>108</v>
      </c>
      <c r="V200" s="101">
        <v>46216</v>
      </c>
      <c r="W200">
        <v>1</v>
      </c>
      <c r="X200">
        <v>1</v>
      </c>
      <c r="Y200">
        <v>0</v>
      </c>
      <c r="Z200">
        <v>0</v>
      </c>
      <c r="AA200">
        <v>0</v>
      </c>
    </row>
    <row r="201" spans="1:27" x14ac:dyDescent="0.3">
      <c r="A201">
        <v>35</v>
      </c>
      <c r="B201">
        <v>27</v>
      </c>
      <c r="C201">
        <v>0</v>
      </c>
      <c r="D201">
        <v>0</v>
      </c>
      <c r="E201">
        <v>0</v>
      </c>
      <c r="F201" t="s">
        <v>907</v>
      </c>
      <c r="G201" s="101">
        <v>46217</v>
      </c>
      <c r="H201" t="s">
        <v>102</v>
      </c>
      <c r="I201" t="s">
        <v>413</v>
      </c>
      <c r="J201" t="s">
        <v>414</v>
      </c>
      <c r="K201" t="s">
        <v>382</v>
      </c>
      <c r="L201" s="39">
        <v>0.3715162037037037</v>
      </c>
      <c r="M201" s="39">
        <v>0.77175925925925926</v>
      </c>
      <c r="N201">
        <v>9.61</v>
      </c>
      <c r="O201" t="s">
        <v>684</v>
      </c>
      <c r="P201">
        <v>0</v>
      </c>
      <c r="Q201" t="s">
        <v>999</v>
      </c>
      <c r="R201">
        <v>1.02</v>
      </c>
      <c r="S201">
        <v>1.02</v>
      </c>
      <c r="T201" t="s">
        <v>439</v>
      </c>
      <c r="U201" t="s">
        <v>108</v>
      </c>
      <c r="V201" s="101">
        <v>46217</v>
      </c>
      <c r="W201">
        <v>1</v>
      </c>
      <c r="X201">
        <v>1</v>
      </c>
      <c r="Y201">
        <v>0</v>
      </c>
      <c r="Z201">
        <v>0</v>
      </c>
      <c r="AA201">
        <v>0</v>
      </c>
    </row>
    <row r="202" spans="1:27" x14ac:dyDescent="0.3">
      <c r="A202">
        <v>35</v>
      </c>
      <c r="B202">
        <v>27</v>
      </c>
      <c r="C202">
        <v>0</v>
      </c>
      <c r="D202">
        <v>0</v>
      </c>
      <c r="E202">
        <v>0</v>
      </c>
      <c r="F202" t="s">
        <v>907</v>
      </c>
      <c r="G202" s="101">
        <v>46218</v>
      </c>
      <c r="H202" t="s">
        <v>102</v>
      </c>
      <c r="I202" t="s">
        <v>413</v>
      </c>
      <c r="J202" t="s">
        <v>414</v>
      </c>
      <c r="K202" t="s">
        <v>382</v>
      </c>
      <c r="L202" s="39">
        <v>0.37359953703703702</v>
      </c>
      <c r="M202" s="39">
        <v>0.7643981481481481</v>
      </c>
      <c r="N202">
        <v>9.3800000000000008</v>
      </c>
      <c r="O202" t="s">
        <v>779</v>
      </c>
      <c r="P202">
        <v>0</v>
      </c>
      <c r="Q202" t="s">
        <v>1000</v>
      </c>
      <c r="R202">
        <v>0.85</v>
      </c>
      <c r="S202">
        <v>0.85</v>
      </c>
      <c r="T202" t="s">
        <v>439</v>
      </c>
      <c r="U202" t="s">
        <v>108</v>
      </c>
      <c r="V202" s="101">
        <v>46218</v>
      </c>
      <c r="W202">
        <v>1</v>
      </c>
      <c r="X202">
        <v>1</v>
      </c>
      <c r="Y202">
        <v>0</v>
      </c>
      <c r="Z202">
        <v>0</v>
      </c>
      <c r="AA202">
        <v>0</v>
      </c>
    </row>
    <row r="203" spans="1:27" x14ac:dyDescent="0.3">
      <c r="A203">
        <v>35</v>
      </c>
      <c r="B203">
        <v>27</v>
      </c>
      <c r="C203">
        <v>0</v>
      </c>
      <c r="D203">
        <v>0</v>
      </c>
      <c r="E203">
        <v>0</v>
      </c>
      <c r="F203" t="s">
        <v>907</v>
      </c>
      <c r="G203" s="101">
        <v>46219</v>
      </c>
      <c r="H203" t="s">
        <v>102</v>
      </c>
      <c r="I203" t="s">
        <v>413</v>
      </c>
      <c r="J203" t="s">
        <v>414</v>
      </c>
      <c r="K203" t="s">
        <v>382</v>
      </c>
      <c r="L203" s="39">
        <v>0.37157407407407406</v>
      </c>
      <c r="M203" s="39">
        <v>0.76981481481481484</v>
      </c>
      <c r="N203">
        <v>9.56</v>
      </c>
      <c r="O203" t="s">
        <v>654</v>
      </c>
      <c r="P203">
        <v>0</v>
      </c>
      <c r="Q203" t="s">
        <v>1001</v>
      </c>
      <c r="R203">
        <v>0.98</v>
      </c>
      <c r="S203">
        <v>0.98</v>
      </c>
      <c r="T203" t="s">
        <v>439</v>
      </c>
      <c r="U203" t="s">
        <v>108</v>
      </c>
      <c r="V203" s="101">
        <v>46219</v>
      </c>
      <c r="W203">
        <v>1</v>
      </c>
      <c r="X203">
        <v>1</v>
      </c>
      <c r="Y203">
        <v>0</v>
      </c>
      <c r="Z203">
        <v>0</v>
      </c>
      <c r="AA203">
        <v>0</v>
      </c>
    </row>
    <row r="204" spans="1:27" x14ac:dyDescent="0.3">
      <c r="A204">
        <v>35</v>
      </c>
      <c r="B204">
        <v>27</v>
      </c>
      <c r="C204">
        <v>0</v>
      </c>
      <c r="D204">
        <v>0</v>
      </c>
      <c r="E204">
        <v>0</v>
      </c>
      <c r="F204" t="s">
        <v>907</v>
      </c>
      <c r="G204" s="101">
        <v>46220</v>
      </c>
      <c r="H204" t="s">
        <v>102</v>
      </c>
      <c r="I204" t="s">
        <v>413</v>
      </c>
      <c r="J204" t="s">
        <v>414</v>
      </c>
      <c r="K204" t="s">
        <v>382</v>
      </c>
      <c r="L204" s="39">
        <v>0.37170138888888887</v>
      </c>
      <c r="M204" s="39">
        <v>0.76887731481481481</v>
      </c>
      <c r="N204">
        <v>9.5299999999999994</v>
      </c>
      <c r="O204" t="s">
        <v>1002</v>
      </c>
      <c r="P204">
        <v>0</v>
      </c>
      <c r="Q204" t="s">
        <v>1003</v>
      </c>
      <c r="R204">
        <v>0.95</v>
      </c>
      <c r="S204">
        <v>0.95</v>
      </c>
      <c r="T204" t="s">
        <v>439</v>
      </c>
      <c r="U204" t="s">
        <v>108</v>
      </c>
      <c r="V204" s="101">
        <v>46220</v>
      </c>
      <c r="W204">
        <v>1</v>
      </c>
      <c r="X204">
        <v>1</v>
      </c>
      <c r="Y204">
        <v>0</v>
      </c>
      <c r="Z204">
        <v>0</v>
      </c>
      <c r="AA204">
        <v>0</v>
      </c>
    </row>
    <row r="205" spans="1:27" x14ac:dyDescent="0.3">
      <c r="A205">
        <v>35</v>
      </c>
      <c r="B205">
        <v>27</v>
      </c>
      <c r="C205">
        <v>0</v>
      </c>
      <c r="D205">
        <v>0</v>
      </c>
      <c r="E205">
        <v>0</v>
      </c>
      <c r="F205" t="s">
        <v>907</v>
      </c>
      <c r="G205" s="101">
        <v>46221</v>
      </c>
      <c r="H205" t="s">
        <v>102</v>
      </c>
      <c r="I205" t="s">
        <v>413</v>
      </c>
      <c r="J205" t="s">
        <v>414</v>
      </c>
      <c r="K205" t="s">
        <v>382</v>
      </c>
      <c r="L205" s="39">
        <v>0.38634259259259257</v>
      </c>
      <c r="M205" s="39">
        <v>0.73228009259259264</v>
      </c>
      <c r="N205">
        <v>8.3000000000000007</v>
      </c>
      <c r="O205" t="s">
        <v>1004</v>
      </c>
      <c r="P205">
        <v>0</v>
      </c>
      <c r="Q205" t="s">
        <v>589</v>
      </c>
      <c r="R205">
        <v>0</v>
      </c>
      <c r="S205">
        <v>0</v>
      </c>
      <c r="T205" t="s">
        <v>439</v>
      </c>
      <c r="U205" t="s">
        <v>108</v>
      </c>
      <c r="V205" s="101">
        <v>46221</v>
      </c>
      <c r="W205">
        <v>1</v>
      </c>
      <c r="X205">
        <v>1</v>
      </c>
      <c r="Y205">
        <v>0</v>
      </c>
      <c r="Z205">
        <v>0</v>
      </c>
      <c r="AA205">
        <v>0</v>
      </c>
    </row>
    <row r="206" spans="1:27" x14ac:dyDescent="0.3">
      <c r="A206">
        <v>35</v>
      </c>
      <c r="B206">
        <v>27</v>
      </c>
      <c r="C206">
        <v>0</v>
      </c>
      <c r="D206">
        <v>0</v>
      </c>
      <c r="E206">
        <v>0</v>
      </c>
      <c r="F206" t="s">
        <v>907</v>
      </c>
      <c r="G206" s="101">
        <v>46222</v>
      </c>
      <c r="H206" t="s">
        <v>102</v>
      </c>
      <c r="I206" t="s">
        <v>413</v>
      </c>
      <c r="J206" t="s">
        <v>414</v>
      </c>
      <c r="K206" t="s">
        <v>382</v>
      </c>
      <c r="L206" s="39">
        <v>0.39285879629629628</v>
      </c>
      <c r="M206" s="39">
        <v>0.69212962962962965</v>
      </c>
      <c r="N206">
        <v>7.18</v>
      </c>
      <c r="O206" t="s">
        <v>1005</v>
      </c>
      <c r="P206">
        <v>0</v>
      </c>
      <c r="Q206" t="s">
        <v>1006</v>
      </c>
      <c r="R206">
        <v>0</v>
      </c>
      <c r="S206">
        <v>0</v>
      </c>
      <c r="T206" t="s">
        <v>439</v>
      </c>
      <c r="U206" t="s">
        <v>108</v>
      </c>
      <c r="V206" s="101">
        <v>46222</v>
      </c>
      <c r="W206">
        <v>1</v>
      </c>
      <c r="X206">
        <v>0</v>
      </c>
      <c r="Y206">
        <v>1</v>
      </c>
      <c r="Z206">
        <v>0</v>
      </c>
      <c r="AA206">
        <v>0</v>
      </c>
    </row>
    <row r="207" spans="1:27" x14ac:dyDescent="0.3">
      <c r="A207">
        <v>35</v>
      </c>
      <c r="B207">
        <v>27</v>
      </c>
      <c r="C207">
        <v>0</v>
      </c>
      <c r="D207">
        <v>0</v>
      </c>
      <c r="E207">
        <v>0</v>
      </c>
      <c r="F207" t="s">
        <v>907</v>
      </c>
      <c r="G207" s="101">
        <v>46223</v>
      </c>
      <c r="H207" t="s">
        <v>102</v>
      </c>
      <c r="I207" t="s">
        <v>413</v>
      </c>
      <c r="J207" t="s">
        <v>414</v>
      </c>
      <c r="K207" t="s">
        <v>382</v>
      </c>
      <c r="L207" s="39">
        <v>0.37375000000000003</v>
      </c>
      <c r="M207" s="39">
        <v>0.73577546296296292</v>
      </c>
      <c r="N207">
        <v>8.69</v>
      </c>
      <c r="O207" t="s">
        <v>694</v>
      </c>
      <c r="P207">
        <v>0</v>
      </c>
      <c r="Q207" t="s">
        <v>497</v>
      </c>
      <c r="R207">
        <v>0</v>
      </c>
      <c r="S207">
        <v>0</v>
      </c>
      <c r="T207" t="s">
        <v>439</v>
      </c>
      <c r="U207" t="s">
        <v>108</v>
      </c>
      <c r="V207" s="101">
        <v>46223</v>
      </c>
      <c r="W207">
        <v>1</v>
      </c>
      <c r="X207">
        <v>1</v>
      </c>
      <c r="Y207">
        <v>0</v>
      </c>
      <c r="Z207">
        <v>0</v>
      </c>
      <c r="AA207">
        <v>0</v>
      </c>
    </row>
    <row r="208" spans="1:27" x14ac:dyDescent="0.3">
      <c r="A208">
        <v>35</v>
      </c>
      <c r="B208">
        <v>27</v>
      </c>
      <c r="C208">
        <v>0</v>
      </c>
      <c r="D208">
        <v>0</v>
      </c>
      <c r="E208">
        <v>0</v>
      </c>
      <c r="F208" t="s">
        <v>907</v>
      </c>
      <c r="G208" s="101">
        <v>46224</v>
      </c>
      <c r="H208" t="s">
        <v>102</v>
      </c>
      <c r="I208" t="s">
        <v>413</v>
      </c>
      <c r="J208" t="s">
        <v>414</v>
      </c>
      <c r="K208" t="s">
        <v>382</v>
      </c>
      <c r="L208" s="39">
        <v>0.37410879629629629</v>
      </c>
      <c r="M208" s="39">
        <v>0.72916666666666663</v>
      </c>
      <c r="N208">
        <v>8.52</v>
      </c>
      <c r="O208" t="s">
        <v>632</v>
      </c>
      <c r="P208">
        <v>0</v>
      </c>
      <c r="Q208" t="s">
        <v>418</v>
      </c>
      <c r="R208">
        <v>0</v>
      </c>
      <c r="S208">
        <v>0</v>
      </c>
      <c r="T208" t="s">
        <v>439</v>
      </c>
      <c r="U208" t="s">
        <v>108</v>
      </c>
      <c r="V208" s="101">
        <v>46224</v>
      </c>
      <c r="W208">
        <v>1</v>
      </c>
      <c r="X208">
        <v>1</v>
      </c>
      <c r="Y208">
        <v>0</v>
      </c>
      <c r="Z208">
        <v>0</v>
      </c>
      <c r="AA208">
        <v>0</v>
      </c>
    </row>
    <row r="209" spans="1:27" x14ac:dyDescent="0.3">
      <c r="A209">
        <v>35</v>
      </c>
      <c r="B209">
        <v>27</v>
      </c>
      <c r="C209">
        <v>0</v>
      </c>
      <c r="D209">
        <v>0</v>
      </c>
      <c r="E209">
        <v>0</v>
      </c>
      <c r="F209" t="s">
        <v>907</v>
      </c>
      <c r="G209" s="101">
        <v>46225</v>
      </c>
      <c r="H209" t="s">
        <v>102</v>
      </c>
      <c r="I209" t="s">
        <v>413</v>
      </c>
      <c r="J209" t="s">
        <v>414</v>
      </c>
      <c r="K209" t="s">
        <v>382</v>
      </c>
      <c r="L209" s="39">
        <v>0.38217592592592592</v>
      </c>
      <c r="M209" s="39">
        <v>0.72916666666666663</v>
      </c>
      <c r="N209">
        <v>8.33</v>
      </c>
      <c r="O209" t="s">
        <v>1007</v>
      </c>
      <c r="P209">
        <v>0</v>
      </c>
      <c r="Q209" t="s">
        <v>418</v>
      </c>
      <c r="R209">
        <v>0</v>
      </c>
      <c r="S209">
        <v>0</v>
      </c>
      <c r="T209" t="s">
        <v>439</v>
      </c>
      <c r="U209" t="s">
        <v>108</v>
      </c>
      <c r="V209" s="101">
        <v>46225</v>
      </c>
      <c r="W209">
        <v>1</v>
      </c>
      <c r="X209">
        <v>1</v>
      </c>
      <c r="Y209">
        <v>0</v>
      </c>
      <c r="Z209">
        <v>0</v>
      </c>
      <c r="AA209">
        <v>0</v>
      </c>
    </row>
    <row r="210" spans="1:27" x14ac:dyDescent="0.3">
      <c r="A210">
        <v>35</v>
      </c>
      <c r="B210">
        <v>27</v>
      </c>
      <c r="C210">
        <v>0</v>
      </c>
      <c r="D210">
        <v>0</v>
      </c>
      <c r="E210">
        <v>0</v>
      </c>
      <c r="F210" t="s">
        <v>907</v>
      </c>
      <c r="G210" s="101">
        <v>46226</v>
      </c>
      <c r="H210" t="s">
        <v>102</v>
      </c>
      <c r="I210" t="s">
        <v>413</v>
      </c>
      <c r="J210" t="s">
        <v>414</v>
      </c>
      <c r="K210" t="s">
        <v>382</v>
      </c>
      <c r="L210" s="39">
        <v>0.3717361111111111</v>
      </c>
      <c r="M210" s="39">
        <v>0.77233796296296298</v>
      </c>
      <c r="N210">
        <v>9.61</v>
      </c>
      <c r="O210" t="s">
        <v>501</v>
      </c>
      <c r="P210">
        <v>0</v>
      </c>
      <c r="Q210" t="s">
        <v>1008</v>
      </c>
      <c r="R210">
        <v>1.04</v>
      </c>
      <c r="S210">
        <v>1.04</v>
      </c>
      <c r="T210" t="s">
        <v>439</v>
      </c>
      <c r="U210" t="s">
        <v>108</v>
      </c>
      <c r="V210" s="101">
        <v>46226</v>
      </c>
      <c r="W210">
        <v>1</v>
      </c>
      <c r="X210">
        <v>1</v>
      </c>
      <c r="Y210">
        <v>0</v>
      </c>
      <c r="Z210">
        <v>0</v>
      </c>
      <c r="AA210">
        <v>0</v>
      </c>
    </row>
    <row r="211" spans="1:27" x14ac:dyDescent="0.3">
      <c r="A211">
        <v>35</v>
      </c>
      <c r="B211">
        <v>27</v>
      </c>
      <c r="C211">
        <v>0</v>
      </c>
      <c r="D211">
        <v>0</v>
      </c>
      <c r="E211">
        <v>0</v>
      </c>
      <c r="F211" t="s">
        <v>907</v>
      </c>
      <c r="G211" s="101">
        <v>46227</v>
      </c>
      <c r="H211" t="s">
        <v>102</v>
      </c>
      <c r="I211" t="s">
        <v>413</v>
      </c>
      <c r="J211" t="s">
        <v>414</v>
      </c>
      <c r="K211" t="s">
        <v>382</v>
      </c>
      <c r="L211" s="39">
        <v>0.37291666666666667</v>
      </c>
      <c r="M211" s="39">
        <v>0.77497685185185183</v>
      </c>
      <c r="N211">
        <v>9.65</v>
      </c>
      <c r="O211" t="s">
        <v>1009</v>
      </c>
      <c r="P211">
        <v>0</v>
      </c>
      <c r="Q211" t="s">
        <v>1010</v>
      </c>
      <c r="R211">
        <v>1.1000000000000001</v>
      </c>
      <c r="S211">
        <v>1.1000000000000001</v>
      </c>
      <c r="T211" t="s">
        <v>439</v>
      </c>
      <c r="U211" t="s">
        <v>108</v>
      </c>
      <c r="V211" s="101">
        <v>46227</v>
      </c>
      <c r="W211">
        <v>1</v>
      </c>
      <c r="X211">
        <v>1</v>
      </c>
      <c r="Y211">
        <v>0</v>
      </c>
      <c r="Z211">
        <v>0</v>
      </c>
      <c r="AA211">
        <v>0</v>
      </c>
    </row>
    <row r="212" spans="1:27" x14ac:dyDescent="0.3">
      <c r="A212">
        <v>35</v>
      </c>
      <c r="B212">
        <v>27</v>
      </c>
      <c r="C212">
        <v>0</v>
      </c>
      <c r="D212">
        <v>0</v>
      </c>
      <c r="E212">
        <v>0</v>
      </c>
      <c r="F212" t="s">
        <v>907</v>
      </c>
      <c r="G212" s="101">
        <v>46228</v>
      </c>
      <c r="H212" t="s">
        <v>102</v>
      </c>
      <c r="I212" t="s">
        <v>413</v>
      </c>
      <c r="J212" t="s">
        <v>414</v>
      </c>
      <c r="K212" t="s">
        <v>382</v>
      </c>
      <c r="L212" s="39">
        <v>0.3727199074074074</v>
      </c>
      <c r="M212" s="39">
        <v>0.77281250000000001</v>
      </c>
      <c r="N212">
        <v>9.6</v>
      </c>
      <c r="O212" t="s">
        <v>522</v>
      </c>
      <c r="P212">
        <v>0</v>
      </c>
      <c r="Q212" t="s">
        <v>1011</v>
      </c>
      <c r="R212">
        <v>1.05</v>
      </c>
      <c r="S212">
        <v>1.05</v>
      </c>
      <c r="T212" t="s">
        <v>439</v>
      </c>
      <c r="U212" t="s">
        <v>108</v>
      </c>
      <c r="V212" s="101">
        <v>46228</v>
      </c>
      <c r="W212">
        <v>1</v>
      </c>
      <c r="X212">
        <v>1</v>
      </c>
      <c r="Y212">
        <v>0</v>
      </c>
      <c r="Z212">
        <v>0</v>
      </c>
      <c r="AA212">
        <v>0</v>
      </c>
    </row>
    <row r="213" spans="1:27" x14ac:dyDescent="0.3">
      <c r="A213">
        <v>35</v>
      </c>
      <c r="B213">
        <v>27</v>
      </c>
      <c r="C213">
        <v>0</v>
      </c>
      <c r="D213">
        <v>0</v>
      </c>
      <c r="E213">
        <v>0</v>
      </c>
      <c r="F213" t="s">
        <v>907</v>
      </c>
      <c r="G213" s="101">
        <v>46229</v>
      </c>
      <c r="H213" t="s">
        <v>102</v>
      </c>
      <c r="I213" t="s">
        <v>413</v>
      </c>
      <c r="J213" t="s">
        <v>414</v>
      </c>
      <c r="K213" t="s">
        <v>383</v>
      </c>
      <c r="L213" s="39">
        <v>0</v>
      </c>
      <c r="M213" s="39">
        <v>0</v>
      </c>
      <c r="N213">
        <v>0</v>
      </c>
      <c r="O213" t="s">
        <v>384</v>
      </c>
      <c r="P213">
        <v>9</v>
      </c>
      <c r="Q213" t="s">
        <v>385</v>
      </c>
      <c r="R213">
        <v>0</v>
      </c>
      <c r="S213">
        <v>9</v>
      </c>
      <c r="T213" t="s">
        <v>439</v>
      </c>
      <c r="U213" t="s">
        <v>366</v>
      </c>
      <c r="V213" s="101">
        <v>46229</v>
      </c>
      <c r="W213">
        <v>0</v>
      </c>
      <c r="X213">
        <v>0</v>
      </c>
      <c r="Y213">
        <v>0</v>
      </c>
      <c r="Z213">
        <v>0</v>
      </c>
      <c r="AA213">
        <v>0</v>
      </c>
    </row>
    <row r="214" spans="1:27" x14ac:dyDescent="0.3">
      <c r="A214">
        <v>35</v>
      </c>
      <c r="B214">
        <v>27</v>
      </c>
      <c r="C214">
        <v>0</v>
      </c>
      <c r="D214">
        <v>0</v>
      </c>
      <c r="E214">
        <v>0</v>
      </c>
      <c r="F214" t="s">
        <v>907</v>
      </c>
      <c r="G214" s="101">
        <v>46230</v>
      </c>
      <c r="H214" t="s">
        <v>102</v>
      </c>
      <c r="I214" t="s">
        <v>413</v>
      </c>
      <c r="J214" t="s">
        <v>414</v>
      </c>
      <c r="K214" t="s">
        <v>382</v>
      </c>
      <c r="L214" s="39">
        <v>0.37134259259259261</v>
      </c>
      <c r="M214" s="39">
        <v>0.77386574074074077</v>
      </c>
      <c r="N214">
        <v>9.66</v>
      </c>
      <c r="O214" t="s">
        <v>1012</v>
      </c>
      <c r="P214">
        <v>0</v>
      </c>
      <c r="Q214" t="s">
        <v>1013</v>
      </c>
      <c r="R214">
        <v>1.07</v>
      </c>
      <c r="S214">
        <v>1.07</v>
      </c>
      <c r="T214" t="s">
        <v>439</v>
      </c>
      <c r="U214" t="s">
        <v>108</v>
      </c>
      <c r="V214" s="101">
        <v>46230</v>
      </c>
      <c r="W214">
        <v>1</v>
      </c>
      <c r="X214">
        <v>1</v>
      </c>
      <c r="Y214">
        <v>0</v>
      </c>
      <c r="Z214">
        <v>0</v>
      </c>
      <c r="AA214">
        <v>0</v>
      </c>
    </row>
    <row r="215" spans="1:27" x14ac:dyDescent="0.3">
      <c r="A215">
        <v>35</v>
      </c>
      <c r="B215">
        <v>27</v>
      </c>
      <c r="C215">
        <v>0</v>
      </c>
      <c r="D215">
        <v>0</v>
      </c>
      <c r="E215">
        <v>0</v>
      </c>
      <c r="F215" t="s">
        <v>907</v>
      </c>
      <c r="G215" s="101">
        <v>46231</v>
      </c>
      <c r="H215" t="s">
        <v>102</v>
      </c>
      <c r="I215" t="s">
        <v>413</v>
      </c>
      <c r="J215" t="s">
        <v>414</v>
      </c>
      <c r="K215" t="s">
        <v>382</v>
      </c>
      <c r="L215" s="39">
        <v>0.37103009259259262</v>
      </c>
      <c r="M215" s="39">
        <v>0.76905092592592594</v>
      </c>
      <c r="N215">
        <v>9.5500000000000007</v>
      </c>
      <c r="O215" t="s">
        <v>1014</v>
      </c>
      <c r="P215">
        <v>0</v>
      </c>
      <c r="Q215" t="s">
        <v>1015</v>
      </c>
      <c r="R215">
        <v>0.96</v>
      </c>
      <c r="S215">
        <v>0.96</v>
      </c>
      <c r="T215" t="s">
        <v>439</v>
      </c>
      <c r="U215" t="s">
        <v>108</v>
      </c>
      <c r="V215" s="101">
        <v>46231</v>
      </c>
      <c r="W215">
        <v>1</v>
      </c>
      <c r="X215">
        <v>1</v>
      </c>
      <c r="Y215">
        <v>0</v>
      </c>
      <c r="Z215">
        <v>0</v>
      </c>
      <c r="AA215">
        <v>0</v>
      </c>
    </row>
    <row r="216" spans="1:27" x14ac:dyDescent="0.3">
      <c r="A216">
        <v>35</v>
      </c>
      <c r="B216">
        <v>27</v>
      </c>
      <c r="C216">
        <v>0</v>
      </c>
      <c r="D216">
        <v>0</v>
      </c>
      <c r="E216">
        <v>0</v>
      </c>
      <c r="F216" t="s">
        <v>907</v>
      </c>
      <c r="G216" s="101">
        <v>46232</v>
      </c>
      <c r="H216" t="s">
        <v>102</v>
      </c>
      <c r="I216" t="s">
        <v>413</v>
      </c>
      <c r="J216" t="s">
        <v>414</v>
      </c>
      <c r="K216" t="s">
        <v>382</v>
      </c>
      <c r="L216" s="39">
        <v>0.3730324074074074</v>
      </c>
      <c r="M216" s="39">
        <v>0.77001157407407406</v>
      </c>
      <c r="N216">
        <v>9.5299999999999994</v>
      </c>
      <c r="O216" t="s">
        <v>1016</v>
      </c>
      <c r="P216">
        <v>0</v>
      </c>
      <c r="Q216" t="s">
        <v>1017</v>
      </c>
      <c r="R216">
        <v>0.98</v>
      </c>
      <c r="S216">
        <v>0.98</v>
      </c>
      <c r="T216" t="s">
        <v>439</v>
      </c>
      <c r="U216" t="s">
        <v>108</v>
      </c>
      <c r="V216" s="101">
        <v>46232</v>
      </c>
      <c r="W216">
        <v>1</v>
      </c>
      <c r="X216">
        <v>1</v>
      </c>
      <c r="Y216">
        <v>0</v>
      </c>
      <c r="Z216">
        <v>0</v>
      </c>
      <c r="AA216">
        <v>0</v>
      </c>
    </row>
    <row r="217" spans="1:27" x14ac:dyDescent="0.3">
      <c r="A217">
        <v>35</v>
      </c>
      <c r="B217">
        <v>27</v>
      </c>
      <c r="C217">
        <v>0</v>
      </c>
      <c r="D217">
        <v>0</v>
      </c>
      <c r="E217">
        <v>0</v>
      </c>
      <c r="F217" t="s">
        <v>907</v>
      </c>
      <c r="G217" s="101">
        <v>46233</v>
      </c>
      <c r="H217" t="s">
        <v>102</v>
      </c>
      <c r="I217" t="s">
        <v>413</v>
      </c>
      <c r="J217" t="s">
        <v>414</v>
      </c>
      <c r="K217" t="s">
        <v>382</v>
      </c>
      <c r="L217" s="39">
        <v>0.37431712962962965</v>
      </c>
      <c r="M217" s="39">
        <v>0.72916666666666663</v>
      </c>
      <c r="N217">
        <v>8.52</v>
      </c>
      <c r="O217" t="s">
        <v>984</v>
      </c>
      <c r="P217">
        <v>0</v>
      </c>
      <c r="Q217" t="s">
        <v>418</v>
      </c>
      <c r="R217">
        <v>0</v>
      </c>
      <c r="S217">
        <v>0</v>
      </c>
      <c r="T217" t="s">
        <v>439</v>
      </c>
      <c r="U217" t="s">
        <v>108</v>
      </c>
      <c r="V217" s="101">
        <v>46233</v>
      </c>
      <c r="W217">
        <v>1</v>
      </c>
      <c r="X217">
        <v>1</v>
      </c>
      <c r="Y217">
        <v>0</v>
      </c>
      <c r="Z217">
        <v>0</v>
      </c>
      <c r="AA217">
        <v>0</v>
      </c>
    </row>
    <row r="218" spans="1:27" x14ac:dyDescent="0.3">
      <c r="A218">
        <v>35</v>
      </c>
      <c r="B218">
        <v>27</v>
      </c>
      <c r="C218">
        <v>0</v>
      </c>
      <c r="D218">
        <v>0</v>
      </c>
      <c r="E218">
        <v>0</v>
      </c>
      <c r="F218" t="s">
        <v>907</v>
      </c>
      <c r="G218" s="101">
        <v>46234</v>
      </c>
      <c r="H218" t="s">
        <v>102</v>
      </c>
      <c r="I218" t="s">
        <v>413</v>
      </c>
      <c r="J218" t="s">
        <v>414</v>
      </c>
      <c r="K218" t="s">
        <v>382</v>
      </c>
      <c r="L218" s="39">
        <v>0.37407407407407406</v>
      </c>
      <c r="M218" s="39">
        <v>0.77031249999999996</v>
      </c>
      <c r="N218">
        <v>9.51</v>
      </c>
      <c r="O218" t="s">
        <v>1018</v>
      </c>
      <c r="P218">
        <v>0</v>
      </c>
      <c r="Q218" t="s">
        <v>1019</v>
      </c>
      <c r="R218">
        <v>0.99</v>
      </c>
      <c r="S218">
        <v>0.99</v>
      </c>
      <c r="T218" t="s">
        <v>439</v>
      </c>
      <c r="U218" t="s">
        <v>108</v>
      </c>
      <c r="V218" s="101">
        <v>46234</v>
      </c>
      <c r="W218">
        <v>1</v>
      </c>
      <c r="X218">
        <v>1</v>
      </c>
      <c r="Y218">
        <v>0</v>
      </c>
      <c r="Z218">
        <v>0</v>
      </c>
      <c r="AA218">
        <v>0</v>
      </c>
    </row>
    <row r="219" spans="1:27" x14ac:dyDescent="0.3">
      <c r="A219">
        <v>1001</v>
      </c>
      <c r="B219">
        <v>26.5</v>
      </c>
      <c r="C219">
        <v>0.5</v>
      </c>
      <c r="D219">
        <v>0</v>
      </c>
      <c r="E219">
        <v>0</v>
      </c>
      <c r="F219" t="s">
        <v>1020</v>
      </c>
      <c r="G219" s="101">
        <v>46204</v>
      </c>
      <c r="H219" t="s">
        <v>151</v>
      </c>
      <c r="I219" t="s">
        <v>441</v>
      </c>
      <c r="J219" t="s">
        <v>442</v>
      </c>
      <c r="K219" t="s">
        <v>382</v>
      </c>
      <c r="L219" s="39">
        <v>0.37040509259259258</v>
      </c>
      <c r="M219" s="39">
        <v>0.72697916666666662</v>
      </c>
      <c r="N219">
        <v>8.56</v>
      </c>
      <c r="O219" t="s">
        <v>1021</v>
      </c>
      <c r="P219">
        <v>0</v>
      </c>
      <c r="Q219" t="s">
        <v>738</v>
      </c>
      <c r="R219">
        <v>0</v>
      </c>
      <c r="S219">
        <v>0</v>
      </c>
      <c r="T219" t="s">
        <v>443</v>
      </c>
      <c r="U219" t="s">
        <v>108</v>
      </c>
      <c r="V219" s="101">
        <v>46204</v>
      </c>
      <c r="W219">
        <v>1</v>
      </c>
      <c r="X219">
        <v>1</v>
      </c>
      <c r="Y219">
        <v>0</v>
      </c>
      <c r="Z219">
        <v>0</v>
      </c>
      <c r="AA219">
        <v>0</v>
      </c>
    </row>
    <row r="220" spans="1:27" x14ac:dyDescent="0.3">
      <c r="A220">
        <v>1001</v>
      </c>
      <c r="B220">
        <v>26.5</v>
      </c>
      <c r="C220">
        <v>0.5</v>
      </c>
      <c r="D220">
        <v>0</v>
      </c>
      <c r="E220">
        <v>0</v>
      </c>
      <c r="F220" t="s">
        <v>1020</v>
      </c>
      <c r="G220" s="101">
        <v>46205</v>
      </c>
      <c r="H220" t="s">
        <v>151</v>
      </c>
      <c r="I220" t="s">
        <v>441</v>
      </c>
      <c r="J220" t="s">
        <v>442</v>
      </c>
      <c r="K220" t="s">
        <v>382</v>
      </c>
      <c r="L220" s="39">
        <v>0.37472222222222223</v>
      </c>
      <c r="M220" s="39">
        <v>0.72636574074074078</v>
      </c>
      <c r="N220">
        <v>8.44</v>
      </c>
      <c r="O220" t="s">
        <v>634</v>
      </c>
      <c r="P220">
        <v>0</v>
      </c>
      <c r="Q220" t="s">
        <v>650</v>
      </c>
      <c r="R220">
        <v>0</v>
      </c>
      <c r="S220">
        <v>0</v>
      </c>
      <c r="T220" t="s">
        <v>443</v>
      </c>
      <c r="U220" t="s">
        <v>108</v>
      </c>
      <c r="V220" s="101">
        <v>46205</v>
      </c>
      <c r="W220">
        <v>1</v>
      </c>
      <c r="X220">
        <v>1</v>
      </c>
      <c r="Y220">
        <v>0</v>
      </c>
      <c r="Z220">
        <v>0</v>
      </c>
      <c r="AA220">
        <v>0</v>
      </c>
    </row>
    <row r="221" spans="1:27" x14ac:dyDescent="0.3">
      <c r="A221">
        <v>1001</v>
      </c>
      <c r="B221">
        <v>26.5</v>
      </c>
      <c r="C221">
        <v>0.5</v>
      </c>
      <c r="D221">
        <v>0</v>
      </c>
      <c r="E221">
        <v>0</v>
      </c>
      <c r="F221" t="s">
        <v>1020</v>
      </c>
      <c r="G221" s="101">
        <v>46206</v>
      </c>
      <c r="H221" t="s">
        <v>151</v>
      </c>
      <c r="I221" t="s">
        <v>441</v>
      </c>
      <c r="J221" t="s">
        <v>442</v>
      </c>
      <c r="K221" t="s">
        <v>382</v>
      </c>
      <c r="L221" s="39">
        <v>0.3712847222222222</v>
      </c>
      <c r="M221" s="39">
        <v>0.72807870370370376</v>
      </c>
      <c r="N221">
        <v>8.56</v>
      </c>
      <c r="O221" t="s">
        <v>1022</v>
      </c>
      <c r="P221">
        <v>0</v>
      </c>
      <c r="Q221" t="s">
        <v>752</v>
      </c>
      <c r="R221">
        <v>0</v>
      </c>
      <c r="S221">
        <v>0</v>
      </c>
      <c r="T221" t="s">
        <v>443</v>
      </c>
      <c r="U221" t="s">
        <v>108</v>
      </c>
      <c r="V221" s="101">
        <v>46206</v>
      </c>
      <c r="W221">
        <v>1</v>
      </c>
      <c r="X221">
        <v>1</v>
      </c>
      <c r="Y221">
        <v>0</v>
      </c>
      <c r="Z221">
        <v>0</v>
      </c>
      <c r="AA221">
        <v>0</v>
      </c>
    </row>
    <row r="222" spans="1:27" x14ac:dyDescent="0.3">
      <c r="A222">
        <v>1001</v>
      </c>
      <c r="B222">
        <v>26.5</v>
      </c>
      <c r="C222">
        <v>0.5</v>
      </c>
      <c r="D222">
        <v>0</v>
      </c>
      <c r="E222">
        <v>0</v>
      </c>
      <c r="F222" t="s">
        <v>1020</v>
      </c>
      <c r="G222" s="101">
        <v>46207</v>
      </c>
      <c r="H222" t="s">
        <v>151</v>
      </c>
      <c r="I222" t="s">
        <v>441</v>
      </c>
      <c r="J222" t="s">
        <v>442</v>
      </c>
      <c r="K222" t="s">
        <v>382</v>
      </c>
      <c r="L222" s="39">
        <v>0.36861111111111111</v>
      </c>
      <c r="M222" s="39">
        <v>0.72644675925925928</v>
      </c>
      <c r="N222">
        <v>8.59</v>
      </c>
      <c r="O222" t="s">
        <v>1023</v>
      </c>
      <c r="P222">
        <v>0</v>
      </c>
      <c r="Q222" t="s">
        <v>675</v>
      </c>
      <c r="R222">
        <v>0</v>
      </c>
      <c r="S222">
        <v>0</v>
      </c>
      <c r="T222" t="s">
        <v>443</v>
      </c>
      <c r="U222" t="s">
        <v>108</v>
      </c>
      <c r="V222" s="101">
        <v>46207</v>
      </c>
      <c r="W222">
        <v>1</v>
      </c>
      <c r="X222">
        <v>1</v>
      </c>
      <c r="Y222">
        <v>0</v>
      </c>
      <c r="Z222">
        <v>0</v>
      </c>
      <c r="AA222">
        <v>0</v>
      </c>
    </row>
    <row r="223" spans="1:27" x14ac:dyDescent="0.3">
      <c r="A223">
        <v>1001</v>
      </c>
      <c r="B223">
        <v>26.5</v>
      </c>
      <c r="C223">
        <v>0.5</v>
      </c>
      <c r="D223">
        <v>0</v>
      </c>
      <c r="E223">
        <v>0</v>
      </c>
      <c r="F223" t="s">
        <v>1020</v>
      </c>
      <c r="G223" s="101">
        <v>46208</v>
      </c>
      <c r="H223" t="s">
        <v>151</v>
      </c>
      <c r="I223" t="s">
        <v>441</v>
      </c>
      <c r="J223" t="s">
        <v>442</v>
      </c>
      <c r="K223" t="s">
        <v>383</v>
      </c>
      <c r="L223" s="39">
        <v>0</v>
      </c>
      <c r="M223" s="39">
        <v>0</v>
      </c>
      <c r="N223">
        <v>0</v>
      </c>
      <c r="O223" t="s">
        <v>384</v>
      </c>
      <c r="P223">
        <v>9</v>
      </c>
      <c r="Q223" t="s">
        <v>385</v>
      </c>
      <c r="R223">
        <v>0</v>
      </c>
      <c r="S223">
        <v>9</v>
      </c>
      <c r="T223" t="s">
        <v>443</v>
      </c>
      <c r="U223" t="s">
        <v>366</v>
      </c>
      <c r="V223" s="101">
        <v>46208</v>
      </c>
      <c r="W223">
        <v>0</v>
      </c>
      <c r="X223">
        <v>0</v>
      </c>
      <c r="Y223">
        <v>0</v>
      </c>
      <c r="Z223">
        <v>0</v>
      </c>
      <c r="AA223">
        <v>0</v>
      </c>
    </row>
    <row r="224" spans="1:27" x14ac:dyDescent="0.3">
      <c r="A224">
        <v>1001</v>
      </c>
      <c r="B224">
        <v>26.5</v>
      </c>
      <c r="C224">
        <v>0.5</v>
      </c>
      <c r="D224">
        <v>0</v>
      </c>
      <c r="E224">
        <v>0</v>
      </c>
      <c r="F224" t="s">
        <v>1020</v>
      </c>
      <c r="G224" s="101">
        <v>46209</v>
      </c>
      <c r="H224" t="s">
        <v>151</v>
      </c>
      <c r="I224" t="s">
        <v>441</v>
      </c>
      <c r="J224" t="s">
        <v>442</v>
      </c>
      <c r="K224" t="s">
        <v>382</v>
      </c>
      <c r="L224" s="39">
        <v>0.37622685185185184</v>
      </c>
      <c r="M224" s="39">
        <v>0.72718749999999999</v>
      </c>
      <c r="N224">
        <v>8.42</v>
      </c>
      <c r="O224" t="s">
        <v>720</v>
      </c>
      <c r="P224">
        <v>0</v>
      </c>
      <c r="Q224" t="s">
        <v>496</v>
      </c>
      <c r="R224">
        <v>0</v>
      </c>
      <c r="S224">
        <v>0</v>
      </c>
      <c r="T224" t="s">
        <v>443</v>
      </c>
      <c r="U224" t="s">
        <v>108</v>
      </c>
      <c r="V224" s="101">
        <v>46209</v>
      </c>
      <c r="W224">
        <v>1</v>
      </c>
      <c r="X224">
        <v>1</v>
      </c>
      <c r="Y224">
        <v>0</v>
      </c>
      <c r="Z224">
        <v>0</v>
      </c>
      <c r="AA224">
        <v>0</v>
      </c>
    </row>
    <row r="225" spans="1:27" x14ac:dyDescent="0.3">
      <c r="A225">
        <v>1001</v>
      </c>
      <c r="B225">
        <v>26.5</v>
      </c>
      <c r="C225">
        <v>0.5</v>
      </c>
      <c r="D225">
        <v>0</v>
      </c>
      <c r="E225">
        <v>0</v>
      </c>
      <c r="F225" t="s">
        <v>1020</v>
      </c>
      <c r="G225" s="101">
        <v>46210</v>
      </c>
      <c r="H225" t="s">
        <v>151</v>
      </c>
      <c r="I225" t="s">
        <v>441</v>
      </c>
      <c r="J225" t="s">
        <v>442</v>
      </c>
      <c r="K225" t="s">
        <v>382</v>
      </c>
      <c r="L225" s="39">
        <v>0.37228009259259259</v>
      </c>
      <c r="M225" s="39">
        <v>0.76793981481481477</v>
      </c>
      <c r="N225">
        <v>9.5</v>
      </c>
      <c r="O225" t="s">
        <v>989</v>
      </c>
      <c r="P225">
        <v>0</v>
      </c>
      <c r="Q225" t="s">
        <v>1024</v>
      </c>
      <c r="R225">
        <v>0.93</v>
      </c>
      <c r="S225">
        <v>0.93</v>
      </c>
      <c r="T225" t="s">
        <v>443</v>
      </c>
      <c r="U225" t="s">
        <v>108</v>
      </c>
      <c r="V225" s="101">
        <v>46210</v>
      </c>
      <c r="W225">
        <v>1</v>
      </c>
      <c r="X225">
        <v>1</v>
      </c>
      <c r="Y225">
        <v>0</v>
      </c>
      <c r="Z225">
        <v>0</v>
      </c>
      <c r="AA225">
        <v>0</v>
      </c>
    </row>
    <row r="226" spans="1:27" x14ac:dyDescent="0.3">
      <c r="A226">
        <v>1001</v>
      </c>
      <c r="B226">
        <v>26.5</v>
      </c>
      <c r="C226">
        <v>0.5</v>
      </c>
      <c r="D226">
        <v>0</v>
      </c>
      <c r="E226">
        <v>0</v>
      </c>
      <c r="F226" t="s">
        <v>1020</v>
      </c>
      <c r="G226" s="101">
        <v>46211</v>
      </c>
      <c r="H226" t="s">
        <v>151</v>
      </c>
      <c r="I226" t="s">
        <v>441</v>
      </c>
      <c r="J226" t="s">
        <v>442</v>
      </c>
      <c r="K226" t="s">
        <v>382</v>
      </c>
      <c r="L226" s="39">
        <v>0.37192129629629628</v>
      </c>
      <c r="M226" s="39">
        <v>0.76802083333333337</v>
      </c>
      <c r="N226">
        <v>9.51</v>
      </c>
      <c r="O226" t="s">
        <v>663</v>
      </c>
      <c r="P226">
        <v>0</v>
      </c>
      <c r="Q226" t="s">
        <v>593</v>
      </c>
      <c r="R226">
        <v>0.93</v>
      </c>
      <c r="S226">
        <v>0.93</v>
      </c>
      <c r="T226" t="s">
        <v>443</v>
      </c>
      <c r="U226" t="s">
        <v>108</v>
      </c>
      <c r="V226" s="101">
        <v>46211</v>
      </c>
      <c r="W226">
        <v>1</v>
      </c>
      <c r="X226">
        <v>1</v>
      </c>
      <c r="Y226">
        <v>0</v>
      </c>
      <c r="Z226">
        <v>0</v>
      </c>
      <c r="AA226">
        <v>0</v>
      </c>
    </row>
    <row r="227" spans="1:27" x14ac:dyDescent="0.3">
      <c r="A227">
        <v>1001</v>
      </c>
      <c r="B227">
        <v>26.5</v>
      </c>
      <c r="C227">
        <v>0.5</v>
      </c>
      <c r="D227">
        <v>0</v>
      </c>
      <c r="E227">
        <v>0</v>
      </c>
      <c r="F227" t="s">
        <v>1020</v>
      </c>
      <c r="G227" s="101">
        <v>46212</v>
      </c>
      <c r="H227" t="s">
        <v>151</v>
      </c>
      <c r="I227" t="s">
        <v>441</v>
      </c>
      <c r="J227" t="s">
        <v>442</v>
      </c>
      <c r="K227" t="s">
        <v>382</v>
      </c>
      <c r="L227" s="39">
        <v>0.37180555555555556</v>
      </c>
      <c r="M227" s="39">
        <v>0.76831018518518523</v>
      </c>
      <c r="N227">
        <v>9.52</v>
      </c>
      <c r="O227" t="s">
        <v>718</v>
      </c>
      <c r="P227">
        <v>0</v>
      </c>
      <c r="Q227" t="s">
        <v>771</v>
      </c>
      <c r="R227">
        <v>0.94</v>
      </c>
      <c r="S227">
        <v>0.94</v>
      </c>
      <c r="T227" t="s">
        <v>443</v>
      </c>
      <c r="U227" t="s">
        <v>108</v>
      </c>
      <c r="V227" s="101">
        <v>46212</v>
      </c>
      <c r="W227">
        <v>1</v>
      </c>
      <c r="X227">
        <v>1</v>
      </c>
      <c r="Y227">
        <v>0</v>
      </c>
      <c r="Z227">
        <v>0</v>
      </c>
      <c r="AA227">
        <v>0</v>
      </c>
    </row>
    <row r="228" spans="1:27" x14ac:dyDescent="0.3">
      <c r="A228">
        <v>1001</v>
      </c>
      <c r="B228">
        <v>26.5</v>
      </c>
      <c r="C228">
        <v>0.5</v>
      </c>
      <c r="D228">
        <v>0</v>
      </c>
      <c r="E228">
        <v>0</v>
      </c>
      <c r="F228" t="s">
        <v>1020</v>
      </c>
      <c r="G228" s="101">
        <v>46213</v>
      </c>
      <c r="H228" t="s">
        <v>151</v>
      </c>
      <c r="I228" t="s">
        <v>441</v>
      </c>
      <c r="J228" t="s">
        <v>442</v>
      </c>
      <c r="K228" t="s">
        <v>382</v>
      </c>
      <c r="L228" s="39">
        <v>0.37337962962962962</v>
      </c>
      <c r="M228" s="39">
        <v>0.76802083333333337</v>
      </c>
      <c r="N228">
        <v>9.4700000000000006</v>
      </c>
      <c r="O228" t="s">
        <v>1025</v>
      </c>
      <c r="P228">
        <v>0</v>
      </c>
      <c r="Q228" t="s">
        <v>593</v>
      </c>
      <c r="R228">
        <v>0.93</v>
      </c>
      <c r="S228">
        <v>0.93</v>
      </c>
      <c r="T228" t="s">
        <v>443</v>
      </c>
      <c r="U228" t="s">
        <v>108</v>
      </c>
      <c r="V228" s="101">
        <v>46213</v>
      </c>
      <c r="W228">
        <v>1</v>
      </c>
      <c r="X228">
        <v>1</v>
      </c>
      <c r="Y228">
        <v>0</v>
      </c>
      <c r="Z228">
        <v>0</v>
      </c>
      <c r="AA228">
        <v>0</v>
      </c>
    </row>
    <row r="229" spans="1:27" x14ac:dyDescent="0.3">
      <c r="A229">
        <v>1001</v>
      </c>
      <c r="B229">
        <v>26.5</v>
      </c>
      <c r="C229">
        <v>0.5</v>
      </c>
      <c r="D229">
        <v>0</v>
      </c>
      <c r="E229">
        <v>0</v>
      </c>
      <c r="F229" t="s">
        <v>1020</v>
      </c>
      <c r="G229" s="101">
        <v>46214</v>
      </c>
      <c r="H229" t="s">
        <v>151</v>
      </c>
      <c r="I229" t="s">
        <v>441</v>
      </c>
      <c r="J229" t="s">
        <v>442</v>
      </c>
      <c r="K229" t="s">
        <v>382</v>
      </c>
      <c r="L229" s="39">
        <v>0.36884259259259261</v>
      </c>
      <c r="M229" s="39">
        <v>0.76812499999999995</v>
      </c>
      <c r="N229">
        <v>9.58</v>
      </c>
      <c r="O229" t="s">
        <v>635</v>
      </c>
      <c r="P229">
        <v>0</v>
      </c>
      <c r="Q229" t="s">
        <v>1026</v>
      </c>
      <c r="R229">
        <v>0.94</v>
      </c>
      <c r="S229">
        <v>0.94</v>
      </c>
      <c r="T229" t="s">
        <v>443</v>
      </c>
      <c r="U229" t="s">
        <v>108</v>
      </c>
      <c r="V229" s="101">
        <v>46214</v>
      </c>
      <c r="W229">
        <v>1</v>
      </c>
      <c r="X229">
        <v>1</v>
      </c>
      <c r="Y229">
        <v>0</v>
      </c>
      <c r="Z229">
        <v>0</v>
      </c>
      <c r="AA229">
        <v>0</v>
      </c>
    </row>
    <row r="230" spans="1:27" x14ac:dyDescent="0.3">
      <c r="A230">
        <v>1001</v>
      </c>
      <c r="B230">
        <v>26.5</v>
      </c>
      <c r="C230">
        <v>0.5</v>
      </c>
      <c r="D230">
        <v>0</v>
      </c>
      <c r="E230">
        <v>0</v>
      </c>
      <c r="F230" t="s">
        <v>1020</v>
      </c>
      <c r="G230" s="101">
        <v>46215</v>
      </c>
      <c r="H230" t="s">
        <v>151</v>
      </c>
      <c r="I230" t="s">
        <v>441</v>
      </c>
      <c r="J230" t="s">
        <v>442</v>
      </c>
      <c r="K230" t="s">
        <v>383</v>
      </c>
      <c r="L230" s="39">
        <v>0</v>
      </c>
      <c r="M230" s="39">
        <v>0</v>
      </c>
      <c r="N230">
        <v>0</v>
      </c>
      <c r="O230" t="s">
        <v>384</v>
      </c>
      <c r="P230">
        <v>9</v>
      </c>
      <c r="Q230" t="s">
        <v>385</v>
      </c>
      <c r="R230">
        <v>0</v>
      </c>
      <c r="S230">
        <v>9</v>
      </c>
      <c r="T230" t="s">
        <v>443</v>
      </c>
      <c r="U230" t="s">
        <v>366</v>
      </c>
      <c r="V230" s="101">
        <v>46215</v>
      </c>
      <c r="W230">
        <v>0</v>
      </c>
      <c r="X230">
        <v>0</v>
      </c>
      <c r="Y230">
        <v>0</v>
      </c>
      <c r="Z230">
        <v>0</v>
      </c>
      <c r="AA230">
        <v>0</v>
      </c>
    </row>
    <row r="231" spans="1:27" x14ac:dyDescent="0.3">
      <c r="A231">
        <v>1001</v>
      </c>
      <c r="B231">
        <v>26.5</v>
      </c>
      <c r="C231">
        <v>0.5</v>
      </c>
      <c r="D231">
        <v>0</v>
      </c>
      <c r="E231">
        <v>0</v>
      </c>
      <c r="F231" t="s">
        <v>1020</v>
      </c>
      <c r="G231" s="101">
        <v>46216</v>
      </c>
      <c r="H231" t="s">
        <v>151</v>
      </c>
      <c r="I231" t="s">
        <v>441</v>
      </c>
      <c r="J231" t="s">
        <v>442</v>
      </c>
      <c r="K231" t="s">
        <v>382</v>
      </c>
      <c r="L231" s="39">
        <v>0.3659027777777778</v>
      </c>
      <c r="M231" s="39">
        <v>0.76827546296296301</v>
      </c>
      <c r="N231">
        <v>9.66</v>
      </c>
      <c r="O231" t="s">
        <v>1027</v>
      </c>
      <c r="P231">
        <v>0</v>
      </c>
      <c r="Q231" t="s">
        <v>1028</v>
      </c>
      <c r="R231">
        <v>0.94</v>
      </c>
      <c r="S231">
        <v>0.94</v>
      </c>
      <c r="T231" t="s">
        <v>443</v>
      </c>
      <c r="U231" t="s">
        <v>108</v>
      </c>
      <c r="V231" s="101">
        <v>46216</v>
      </c>
      <c r="W231">
        <v>1</v>
      </c>
      <c r="X231">
        <v>1</v>
      </c>
      <c r="Y231">
        <v>0</v>
      </c>
      <c r="Z231">
        <v>0</v>
      </c>
      <c r="AA231">
        <v>0</v>
      </c>
    </row>
    <row r="232" spans="1:27" x14ac:dyDescent="0.3">
      <c r="A232">
        <v>1001</v>
      </c>
      <c r="B232">
        <v>26.5</v>
      </c>
      <c r="C232">
        <v>0.5</v>
      </c>
      <c r="D232">
        <v>0</v>
      </c>
      <c r="E232">
        <v>0</v>
      </c>
      <c r="F232" t="s">
        <v>1020</v>
      </c>
      <c r="G232" s="101">
        <v>46217</v>
      </c>
      <c r="H232" t="s">
        <v>151</v>
      </c>
      <c r="I232" t="s">
        <v>441</v>
      </c>
      <c r="J232" t="s">
        <v>442</v>
      </c>
      <c r="K232" t="s">
        <v>382</v>
      </c>
      <c r="L232" s="39">
        <v>0.36799768518518516</v>
      </c>
      <c r="M232" s="39">
        <v>0.76836805555555554</v>
      </c>
      <c r="N232">
        <v>9.61</v>
      </c>
      <c r="O232" t="s">
        <v>1029</v>
      </c>
      <c r="P232">
        <v>0</v>
      </c>
      <c r="Q232" t="s">
        <v>1030</v>
      </c>
      <c r="R232">
        <v>0.94</v>
      </c>
      <c r="S232">
        <v>0.94</v>
      </c>
      <c r="T232" t="s">
        <v>443</v>
      </c>
      <c r="U232" t="s">
        <v>108</v>
      </c>
      <c r="V232" s="101">
        <v>46217</v>
      </c>
      <c r="W232">
        <v>1</v>
      </c>
      <c r="X232">
        <v>1</v>
      </c>
      <c r="Y232">
        <v>0</v>
      </c>
      <c r="Z232">
        <v>0</v>
      </c>
      <c r="AA232">
        <v>0</v>
      </c>
    </row>
    <row r="233" spans="1:27" x14ac:dyDescent="0.3">
      <c r="A233">
        <v>1001</v>
      </c>
      <c r="B233">
        <v>26.5</v>
      </c>
      <c r="C233">
        <v>0.5</v>
      </c>
      <c r="D233">
        <v>0</v>
      </c>
      <c r="E233">
        <v>0</v>
      </c>
      <c r="F233" t="s">
        <v>1020</v>
      </c>
      <c r="G233" s="101">
        <v>46218</v>
      </c>
      <c r="H233" t="s">
        <v>151</v>
      </c>
      <c r="I233" t="s">
        <v>441</v>
      </c>
      <c r="J233" t="s">
        <v>442</v>
      </c>
      <c r="K233" t="s">
        <v>382</v>
      </c>
      <c r="L233" s="39">
        <v>0.37</v>
      </c>
      <c r="M233" s="39">
        <v>0.54166666666666663</v>
      </c>
      <c r="N233">
        <v>4.12</v>
      </c>
      <c r="O233" t="s">
        <v>574</v>
      </c>
      <c r="P233">
        <v>0</v>
      </c>
      <c r="Q233" t="s">
        <v>787</v>
      </c>
      <c r="R233">
        <v>0</v>
      </c>
      <c r="S233">
        <v>0</v>
      </c>
      <c r="T233" t="s">
        <v>443</v>
      </c>
      <c r="U233" t="s">
        <v>314</v>
      </c>
      <c r="V233" s="101">
        <v>46218</v>
      </c>
      <c r="W233">
        <v>0.5</v>
      </c>
      <c r="X233">
        <v>0.5</v>
      </c>
      <c r="Y233">
        <v>0</v>
      </c>
      <c r="Z233">
        <v>0</v>
      </c>
      <c r="AA233">
        <v>0</v>
      </c>
    </row>
    <row r="234" spans="1:27" x14ac:dyDescent="0.3">
      <c r="A234">
        <v>1001</v>
      </c>
      <c r="B234">
        <v>26.5</v>
      </c>
      <c r="C234">
        <v>0.5</v>
      </c>
      <c r="D234">
        <v>0</v>
      </c>
      <c r="E234">
        <v>0</v>
      </c>
      <c r="F234" t="s">
        <v>1020</v>
      </c>
      <c r="G234" s="101">
        <v>46219</v>
      </c>
      <c r="H234" t="s">
        <v>151</v>
      </c>
      <c r="I234" t="s">
        <v>441</v>
      </c>
      <c r="J234" t="s">
        <v>442</v>
      </c>
      <c r="K234" t="s">
        <v>382</v>
      </c>
      <c r="L234" s="39">
        <v>0.36760416666666668</v>
      </c>
      <c r="M234" s="39">
        <v>0.76839120370370373</v>
      </c>
      <c r="N234">
        <v>9.6199999999999992</v>
      </c>
      <c r="O234" t="s">
        <v>584</v>
      </c>
      <c r="P234">
        <v>0</v>
      </c>
      <c r="Q234" t="s">
        <v>1031</v>
      </c>
      <c r="R234">
        <v>0.94</v>
      </c>
      <c r="S234">
        <v>0.94</v>
      </c>
      <c r="T234" t="s">
        <v>443</v>
      </c>
      <c r="U234" t="s">
        <v>108</v>
      </c>
      <c r="V234" s="101">
        <v>46219</v>
      </c>
      <c r="W234">
        <v>1</v>
      </c>
      <c r="X234">
        <v>1</v>
      </c>
      <c r="Y234">
        <v>0</v>
      </c>
      <c r="Z234">
        <v>0</v>
      </c>
      <c r="AA234">
        <v>0</v>
      </c>
    </row>
    <row r="235" spans="1:27" x14ac:dyDescent="0.3">
      <c r="A235">
        <v>1001</v>
      </c>
      <c r="B235">
        <v>26.5</v>
      </c>
      <c r="C235">
        <v>0.5</v>
      </c>
      <c r="D235">
        <v>0</v>
      </c>
      <c r="E235">
        <v>0</v>
      </c>
      <c r="F235" t="s">
        <v>1020</v>
      </c>
      <c r="G235" s="101">
        <v>46220</v>
      </c>
      <c r="H235" t="s">
        <v>151</v>
      </c>
      <c r="I235" t="s">
        <v>441</v>
      </c>
      <c r="J235" t="s">
        <v>442</v>
      </c>
      <c r="K235" t="s">
        <v>382</v>
      </c>
      <c r="L235" s="39">
        <v>0.36811342592592594</v>
      </c>
      <c r="M235" s="39">
        <v>0.76810185185185187</v>
      </c>
      <c r="N235">
        <v>9.6</v>
      </c>
      <c r="O235" t="s">
        <v>1032</v>
      </c>
      <c r="P235">
        <v>0</v>
      </c>
      <c r="Q235" t="s">
        <v>1033</v>
      </c>
      <c r="R235">
        <v>0.93</v>
      </c>
      <c r="S235">
        <v>0.93</v>
      </c>
      <c r="T235" t="s">
        <v>443</v>
      </c>
      <c r="U235" t="s">
        <v>108</v>
      </c>
      <c r="V235" s="101">
        <v>46220</v>
      </c>
      <c r="W235">
        <v>1</v>
      </c>
      <c r="X235">
        <v>1</v>
      </c>
      <c r="Y235">
        <v>0</v>
      </c>
      <c r="Z235">
        <v>0</v>
      </c>
      <c r="AA235">
        <v>0</v>
      </c>
    </row>
    <row r="236" spans="1:27" x14ac:dyDescent="0.3">
      <c r="A236">
        <v>1001</v>
      </c>
      <c r="B236">
        <v>26.5</v>
      </c>
      <c r="C236">
        <v>0.5</v>
      </c>
      <c r="D236">
        <v>0</v>
      </c>
      <c r="E236">
        <v>0</v>
      </c>
      <c r="F236" t="s">
        <v>1020</v>
      </c>
      <c r="G236" s="101">
        <v>46221</v>
      </c>
      <c r="H236" t="s">
        <v>151</v>
      </c>
      <c r="I236" t="s">
        <v>441</v>
      </c>
      <c r="J236" t="s">
        <v>442</v>
      </c>
      <c r="K236" t="s">
        <v>382</v>
      </c>
      <c r="L236" s="39">
        <v>0.37172453703703706</v>
      </c>
      <c r="M236" s="39">
        <v>0.72798611111111111</v>
      </c>
      <c r="N236">
        <v>8.5500000000000007</v>
      </c>
      <c r="O236" t="s">
        <v>644</v>
      </c>
      <c r="P236">
        <v>0</v>
      </c>
      <c r="Q236" t="s">
        <v>435</v>
      </c>
      <c r="R236">
        <v>0</v>
      </c>
      <c r="S236">
        <v>0</v>
      </c>
      <c r="T236" t="s">
        <v>443</v>
      </c>
      <c r="U236" t="s">
        <v>108</v>
      </c>
      <c r="V236" s="101">
        <v>46221</v>
      </c>
      <c r="W236">
        <v>1</v>
      </c>
      <c r="X236">
        <v>1</v>
      </c>
      <c r="Y236">
        <v>0</v>
      </c>
      <c r="Z236">
        <v>0</v>
      </c>
      <c r="AA236">
        <v>0</v>
      </c>
    </row>
    <row r="237" spans="1:27" x14ac:dyDescent="0.3">
      <c r="A237">
        <v>1001</v>
      </c>
      <c r="B237">
        <v>26.5</v>
      </c>
      <c r="C237">
        <v>0.5</v>
      </c>
      <c r="D237">
        <v>0</v>
      </c>
      <c r="E237">
        <v>0</v>
      </c>
      <c r="F237" t="s">
        <v>1020</v>
      </c>
      <c r="G237" s="101">
        <v>46222</v>
      </c>
      <c r="H237" t="s">
        <v>151</v>
      </c>
      <c r="I237" t="s">
        <v>441</v>
      </c>
      <c r="J237" t="s">
        <v>442</v>
      </c>
      <c r="K237" t="s">
        <v>383</v>
      </c>
      <c r="L237" s="39">
        <v>0</v>
      </c>
      <c r="M237" s="39">
        <v>0</v>
      </c>
      <c r="N237">
        <v>0</v>
      </c>
      <c r="O237" t="s">
        <v>384</v>
      </c>
      <c r="P237">
        <v>9</v>
      </c>
      <c r="Q237" t="s">
        <v>385</v>
      </c>
      <c r="R237">
        <v>0</v>
      </c>
      <c r="S237">
        <v>9</v>
      </c>
      <c r="T237" t="s">
        <v>443</v>
      </c>
      <c r="U237" t="s">
        <v>366</v>
      </c>
      <c r="V237" s="101">
        <v>46222</v>
      </c>
      <c r="W237">
        <v>0</v>
      </c>
      <c r="X237">
        <v>0</v>
      </c>
      <c r="Y237">
        <v>0</v>
      </c>
      <c r="Z237">
        <v>0</v>
      </c>
      <c r="AA237">
        <v>0</v>
      </c>
    </row>
    <row r="238" spans="1:27" x14ac:dyDescent="0.3">
      <c r="A238">
        <v>1001</v>
      </c>
      <c r="B238">
        <v>26.5</v>
      </c>
      <c r="C238">
        <v>0.5</v>
      </c>
      <c r="D238">
        <v>0</v>
      </c>
      <c r="E238">
        <v>0</v>
      </c>
      <c r="F238" t="s">
        <v>1020</v>
      </c>
      <c r="G238" s="101">
        <v>46223</v>
      </c>
      <c r="H238" t="s">
        <v>151</v>
      </c>
      <c r="I238" t="s">
        <v>441</v>
      </c>
      <c r="J238" t="s">
        <v>442</v>
      </c>
      <c r="K238" t="s">
        <v>382</v>
      </c>
      <c r="L238" s="39">
        <v>0.37028935185185186</v>
      </c>
      <c r="M238" s="39">
        <v>0.76790509259259254</v>
      </c>
      <c r="N238">
        <v>9.5399999999999991</v>
      </c>
      <c r="O238" t="s">
        <v>1034</v>
      </c>
      <c r="P238">
        <v>0</v>
      </c>
      <c r="Q238" t="s">
        <v>778</v>
      </c>
      <c r="R238">
        <v>0.93</v>
      </c>
      <c r="S238">
        <v>0.93</v>
      </c>
      <c r="T238" t="s">
        <v>443</v>
      </c>
      <c r="U238" t="s">
        <v>108</v>
      </c>
      <c r="V238" s="101">
        <v>46223</v>
      </c>
      <c r="W238">
        <v>1</v>
      </c>
      <c r="X238">
        <v>1</v>
      </c>
      <c r="Y238">
        <v>0</v>
      </c>
      <c r="Z238">
        <v>0</v>
      </c>
      <c r="AA238">
        <v>0</v>
      </c>
    </row>
    <row r="239" spans="1:27" x14ac:dyDescent="0.3">
      <c r="A239">
        <v>1001</v>
      </c>
      <c r="B239">
        <v>26.5</v>
      </c>
      <c r="C239">
        <v>0.5</v>
      </c>
      <c r="D239">
        <v>0</v>
      </c>
      <c r="E239">
        <v>0</v>
      </c>
      <c r="F239" t="s">
        <v>1020</v>
      </c>
      <c r="G239" s="101">
        <v>46224</v>
      </c>
      <c r="H239" t="s">
        <v>151</v>
      </c>
      <c r="I239" t="s">
        <v>441</v>
      </c>
      <c r="J239" t="s">
        <v>442</v>
      </c>
      <c r="K239" t="s">
        <v>382</v>
      </c>
      <c r="L239" s="39">
        <v>0.37059027777777775</v>
      </c>
      <c r="M239" s="39">
        <v>0.7271643518518518</v>
      </c>
      <c r="N239">
        <v>8.56</v>
      </c>
      <c r="O239" t="s">
        <v>905</v>
      </c>
      <c r="P239">
        <v>0</v>
      </c>
      <c r="Q239" t="s">
        <v>676</v>
      </c>
      <c r="R239">
        <v>0</v>
      </c>
      <c r="S239">
        <v>0</v>
      </c>
      <c r="T239" t="s">
        <v>443</v>
      </c>
      <c r="U239" t="s">
        <v>108</v>
      </c>
      <c r="V239" s="101">
        <v>46224</v>
      </c>
      <c r="W239">
        <v>1</v>
      </c>
      <c r="X239">
        <v>1</v>
      </c>
      <c r="Y239">
        <v>0</v>
      </c>
      <c r="Z239">
        <v>0</v>
      </c>
      <c r="AA239">
        <v>0</v>
      </c>
    </row>
    <row r="240" spans="1:27" x14ac:dyDescent="0.3">
      <c r="A240">
        <v>1001</v>
      </c>
      <c r="B240">
        <v>26.5</v>
      </c>
      <c r="C240">
        <v>0.5</v>
      </c>
      <c r="D240">
        <v>0</v>
      </c>
      <c r="E240">
        <v>0</v>
      </c>
      <c r="F240" t="s">
        <v>1020</v>
      </c>
      <c r="G240" s="101">
        <v>46225</v>
      </c>
      <c r="H240" t="s">
        <v>151</v>
      </c>
      <c r="I240" t="s">
        <v>441</v>
      </c>
      <c r="J240" t="s">
        <v>442</v>
      </c>
      <c r="K240" t="s">
        <v>382</v>
      </c>
      <c r="L240" s="39">
        <v>0.36884259259259261</v>
      </c>
      <c r="M240" s="39">
        <v>0.76888888888888884</v>
      </c>
      <c r="N240">
        <v>9.6</v>
      </c>
      <c r="O240" t="s">
        <v>635</v>
      </c>
      <c r="P240">
        <v>0</v>
      </c>
      <c r="Q240" t="s">
        <v>1035</v>
      </c>
      <c r="R240">
        <v>0.95</v>
      </c>
      <c r="S240">
        <v>0.95</v>
      </c>
      <c r="T240" t="s">
        <v>443</v>
      </c>
      <c r="U240" t="s">
        <v>108</v>
      </c>
      <c r="V240" s="101">
        <v>46225</v>
      </c>
      <c r="W240">
        <v>1</v>
      </c>
      <c r="X240">
        <v>1</v>
      </c>
      <c r="Y240">
        <v>0</v>
      </c>
      <c r="Z240">
        <v>0</v>
      </c>
      <c r="AA240">
        <v>0</v>
      </c>
    </row>
    <row r="241" spans="1:27" x14ac:dyDescent="0.3">
      <c r="A241">
        <v>1001</v>
      </c>
      <c r="B241">
        <v>26.5</v>
      </c>
      <c r="C241">
        <v>0.5</v>
      </c>
      <c r="D241">
        <v>0</v>
      </c>
      <c r="E241">
        <v>0</v>
      </c>
      <c r="F241" t="s">
        <v>1020</v>
      </c>
      <c r="G241" s="101">
        <v>46226</v>
      </c>
      <c r="H241" t="s">
        <v>151</v>
      </c>
      <c r="I241" t="s">
        <v>441</v>
      </c>
      <c r="J241" t="s">
        <v>442</v>
      </c>
      <c r="K241" t="s">
        <v>382</v>
      </c>
      <c r="L241" s="39">
        <v>0.36831018518518521</v>
      </c>
      <c r="M241" s="39">
        <v>0.76846064814814818</v>
      </c>
      <c r="N241">
        <v>9.6</v>
      </c>
      <c r="O241" t="s">
        <v>1036</v>
      </c>
      <c r="P241">
        <v>0</v>
      </c>
      <c r="Q241" t="s">
        <v>599</v>
      </c>
      <c r="R241">
        <v>0.94</v>
      </c>
      <c r="S241">
        <v>0.94</v>
      </c>
      <c r="T241" t="s">
        <v>443</v>
      </c>
      <c r="U241" t="s">
        <v>108</v>
      </c>
      <c r="V241" s="101">
        <v>46226</v>
      </c>
      <c r="W241">
        <v>1</v>
      </c>
      <c r="X241">
        <v>1</v>
      </c>
      <c r="Y241">
        <v>0</v>
      </c>
      <c r="Z241">
        <v>0</v>
      </c>
      <c r="AA241">
        <v>0</v>
      </c>
    </row>
    <row r="242" spans="1:27" x14ac:dyDescent="0.3">
      <c r="A242">
        <v>1001</v>
      </c>
      <c r="B242">
        <v>26.5</v>
      </c>
      <c r="C242">
        <v>0.5</v>
      </c>
      <c r="D242">
        <v>0</v>
      </c>
      <c r="E242">
        <v>0</v>
      </c>
      <c r="F242" t="s">
        <v>1020</v>
      </c>
      <c r="G242" s="101">
        <v>46227</v>
      </c>
      <c r="H242" t="s">
        <v>151</v>
      </c>
      <c r="I242" t="s">
        <v>441</v>
      </c>
      <c r="J242" t="s">
        <v>442</v>
      </c>
      <c r="K242" t="s">
        <v>382</v>
      </c>
      <c r="L242" s="39">
        <v>0.36917824074074074</v>
      </c>
      <c r="M242" s="39">
        <v>0.76827546296296301</v>
      </c>
      <c r="N242">
        <v>9.58</v>
      </c>
      <c r="O242" t="s">
        <v>774</v>
      </c>
      <c r="P242">
        <v>0</v>
      </c>
      <c r="Q242" t="s">
        <v>1028</v>
      </c>
      <c r="R242">
        <v>0.94</v>
      </c>
      <c r="S242">
        <v>0.94</v>
      </c>
      <c r="T242" t="s">
        <v>443</v>
      </c>
      <c r="U242" t="s">
        <v>108</v>
      </c>
      <c r="V242" s="101">
        <v>46227</v>
      </c>
      <c r="W242">
        <v>1</v>
      </c>
      <c r="X242">
        <v>1</v>
      </c>
      <c r="Y242">
        <v>0</v>
      </c>
      <c r="Z242">
        <v>0</v>
      </c>
      <c r="AA242">
        <v>0</v>
      </c>
    </row>
    <row r="243" spans="1:27" x14ac:dyDescent="0.3">
      <c r="A243">
        <v>1001</v>
      </c>
      <c r="B243">
        <v>26.5</v>
      </c>
      <c r="C243">
        <v>0.5</v>
      </c>
      <c r="D243">
        <v>0</v>
      </c>
      <c r="E243">
        <v>0</v>
      </c>
      <c r="F243" t="s">
        <v>1020</v>
      </c>
      <c r="G243" s="101">
        <v>46228</v>
      </c>
      <c r="H243" t="s">
        <v>151</v>
      </c>
      <c r="I243" t="s">
        <v>441</v>
      </c>
      <c r="J243" t="s">
        <v>442</v>
      </c>
      <c r="K243" t="s">
        <v>382</v>
      </c>
      <c r="L243" s="39">
        <v>0.36993055555555554</v>
      </c>
      <c r="M243" s="39">
        <v>0.76765046296296291</v>
      </c>
      <c r="N243">
        <v>9.5500000000000007</v>
      </c>
      <c r="O243" t="s">
        <v>949</v>
      </c>
      <c r="P243">
        <v>0</v>
      </c>
      <c r="Q243" t="s">
        <v>1037</v>
      </c>
      <c r="R243">
        <v>0.92</v>
      </c>
      <c r="S243">
        <v>0.92</v>
      </c>
      <c r="T243" t="s">
        <v>443</v>
      </c>
      <c r="U243" t="s">
        <v>108</v>
      </c>
      <c r="V243" s="101">
        <v>46228</v>
      </c>
      <c r="W243">
        <v>1</v>
      </c>
      <c r="X243">
        <v>1</v>
      </c>
      <c r="Y243">
        <v>0</v>
      </c>
      <c r="Z243">
        <v>0</v>
      </c>
      <c r="AA243">
        <v>0</v>
      </c>
    </row>
    <row r="244" spans="1:27" x14ac:dyDescent="0.3">
      <c r="A244">
        <v>1001</v>
      </c>
      <c r="B244">
        <v>26.5</v>
      </c>
      <c r="C244">
        <v>0.5</v>
      </c>
      <c r="D244">
        <v>0</v>
      </c>
      <c r="E244">
        <v>0</v>
      </c>
      <c r="F244" t="s">
        <v>1020</v>
      </c>
      <c r="G244" s="101">
        <v>46229</v>
      </c>
      <c r="H244" t="s">
        <v>151</v>
      </c>
      <c r="I244" t="s">
        <v>441</v>
      </c>
      <c r="J244" t="s">
        <v>442</v>
      </c>
      <c r="K244" t="s">
        <v>383</v>
      </c>
      <c r="L244" s="39">
        <v>0</v>
      </c>
      <c r="M244" s="39">
        <v>0</v>
      </c>
      <c r="N244">
        <v>0</v>
      </c>
      <c r="O244" t="s">
        <v>384</v>
      </c>
      <c r="P244">
        <v>9</v>
      </c>
      <c r="Q244" t="s">
        <v>385</v>
      </c>
      <c r="R244">
        <v>0</v>
      </c>
      <c r="S244">
        <v>9</v>
      </c>
      <c r="T244" t="s">
        <v>443</v>
      </c>
      <c r="U244" t="s">
        <v>366</v>
      </c>
      <c r="V244" s="101">
        <v>46229</v>
      </c>
      <c r="W244">
        <v>0</v>
      </c>
      <c r="X244">
        <v>0</v>
      </c>
      <c r="Y244">
        <v>0</v>
      </c>
      <c r="Z244">
        <v>0</v>
      </c>
      <c r="AA244">
        <v>0</v>
      </c>
    </row>
    <row r="245" spans="1:27" x14ac:dyDescent="0.3">
      <c r="A245">
        <v>1001</v>
      </c>
      <c r="B245">
        <v>26.5</v>
      </c>
      <c r="C245">
        <v>0.5</v>
      </c>
      <c r="D245">
        <v>0</v>
      </c>
      <c r="E245">
        <v>0</v>
      </c>
      <c r="F245" t="s">
        <v>1020</v>
      </c>
      <c r="G245" s="101">
        <v>46230</v>
      </c>
      <c r="H245" t="s">
        <v>151</v>
      </c>
      <c r="I245" t="s">
        <v>441</v>
      </c>
      <c r="J245" t="s">
        <v>442</v>
      </c>
      <c r="K245" t="s">
        <v>382</v>
      </c>
      <c r="L245" s="39">
        <v>0.36751157407407409</v>
      </c>
      <c r="M245" s="39">
        <v>0.76817129629629632</v>
      </c>
      <c r="N245">
        <v>9.6199999999999992</v>
      </c>
      <c r="O245" t="s">
        <v>767</v>
      </c>
      <c r="P245">
        <v>0</v>
      </c>
      <c r="Q245" t="s">
        <v>1038</v>
      </c>
      <c r="R245">
        <v>0.94</v>
      </c>
      <c r="S245">
        <v>0.94</v>
      </c>
      <c r="T245" t="s">
        <v>443</v>
      </c>
      <c r="U245" t="s">
        <v>108</v>
      </c>
      <c r="V245" s="101">
        <v>46230</v>
      </c>
      <c r="W245">
        <v>1</v>
      </c>
      <c r="X245">
        <v>1</v>
      </c>
      <c r="Y245">
        <v>0</v>
      </c>
      <c r="Z245">
        <v>0</v>
      </c>
      <c r="AA245">
        <v>0</v>
      </c>
    </row>
    <row r="246" spans="1:27" x14ac:dyDescent="0.3">
      <c r="A246">
        <v>1001</v>
      </c>
      <c r="B246">
        <v>26.5</v>
      </c>
      <c r="C246">
        <v>0.5</v>
      </c>
      <c r="D246">
        <v>0</v>
      </c>
      <c r="E246">
        <v>0</v>
      </c>
      <c r="F246" t="s">
        <v>1020</v>
      </c>
      <c r="G246" s="101">
        <v>46231</v>
      </c>
      <c r="H246" t="s">
        <v>151</v>
      </c>
      <c r="I246" t="s">
        <v>441</v>
      </c>
      <c r="J246" t="s">
        <v>442</v>
      </c>
      <c r="K246" t="s">
        <v>382</v>
      </c>
      <c r="L246" s="39">
        <v>0.36753472222222222</v>
      </c>
      <c r="M246" s="39">
        <v>0.76748842592592592</v>
      </c>
      <c r="N246">
        <v>9.6</v>
      </c>
      <c r="O246" t="s">
        <v>641</v>
      </c>
      <c r="P246">
        <v>0</v>
      </c>
      <c r="Q246" t="s">
        <v>1039</v>
      </c>
      <c r="R246">
        <v>0.92</v>
      </c>
      <c r="S246">
        <v>0.92</v>
      </c>
      <c r="T246" t="s">
        <v>443</v>
      </c>
      <c r="U246" t="s">
        <v>108</v>
      </c>
      <c r="V246" s="101">
        <v>46231</v>
      </c>
      <c r="W246">
        <v>1</v>
      </c>
      <c r="X246">
        <v>1</v>
      </c>
      <c r="Y246">
        <v>0</v>
      </c>
      <c r="Z246">
        <v>0</v>
      </c>
      <c r="AA246">
        <v>0</v>
      </c>
    </row>
    <row r="247" spans="1:27" x14ac:dyDescent="0.3">
      <c r="A247">
        <v>1001</v>
      </c>
      <c r="B247">
        <v>26.5</v>
      </c>
      <c r="C247">
        <v>0.5</v>
      </c>
      <c r="D247">
        <v>0</v>
      </c>
      <c r="E247">
        <v>0</v>
      </c>
      <c r="F247" t="s">
        <v>1020</v>
      </c>
      <c r="G247" s="101">
        <v>46232</v>
      </c>
      <c r="H247" t="s">
        <v>151</v>
      </c>
      <c r="I247" t="s">
        <v>441</v>
      </c>
      <c r="J247" t="s">
        <v>442</v>
      </c>
      <c r="K247" t="s">
        <v>382</v>
      </c>
      <c r="L247" s="39">
        <v>0.36881944444444442</v>
      </c>
      <c r="M247" s="39">
        <v>0.76717592592592587</v>
      </c>
      <c r="N247">
        <v>9.56</v>
      </c>
      <c r="O247" t="s">
        <v>955</v>
      </c>
      <c r="P247">
        <v>0</v>
      </c>
      <c r="Q247" t="s">
        <v>1040</v>
      </c>
      <c r="R247">
        <v>0.91</v>
      </c>
      <c r="S247">
        <v>0.91</v>
      </c>
      <c r="T247" t="s">
        <v>443</v>
      </c>
      <c r="U247" t="s">
        <v>108</v>
      </c>
      <c r="V247" s="101">
        <v>46232</v>
      </c>
      <c r="W247">
        <v>1</v>
      </c>
      <c r="X247">
        <v>1</v>
      </c>
      <c r="Y247">
        <v>0</v>
      </c>
      <c r="Z247">
        <v>0</v>
      </c>
      <c r="AA247">
        <v>0</v>
      </c>
    </row>
    <row r="248" spans="1:27" x14ac:dyDescent="0.3">
      <c r="A248">
        <v>1001</v>
      </c>
      <c r="B248">
        <v>26.5</v>
      </c>
      <c r="C248">
        <v>0.5</v>
      </c>
      <c r="D248">
        <v>0</v>
      </c>
      <c r="E248">
        <v>0</v>
      </c>
      <c r="F248" t="s">
        <v>1020</v>
      </c>
      <c r="G248" s="101">
        <v>46233</v>
      </c>
      <c r="H248" t="s">
        <v>151</v>
      </c>
      <c r="I248" t="s">
        <v>441</v>
      </c>
      <c r="J248" t="s">
        <v>442</v>
      </c>
      <c r="K248" t="s">
        <v>382</v>
      </c>
      <c r="L248" s="39">
        <v>0.37040509259259258</v>
      </c>
      <c r="M248" s="39">
        <v>0.76701388888888888</v>
      </c>
      <c r="N248">
        <v>9.52</v>
      </c>
      <c r="O248" t="s">
        <v>1021</v>
      </c>
      <c r="P248">
        <v>0</v>
      </c>
      <c r="Q248" t="s">
        <v>1041</v>
      </c>
      <c r="R248">
        <v>0.91</v>
      </c>
      <c r="S248">
        <v>0.91</v>
      </c>
      <c r="T248" t="s">
        <v>443</v>
      </c>
      <c r="U248" t="s">
        <v>108</v>
      </c>
      <c r="V248" s="101">
        <v>46233</v>
      </c>
      <c r="W248">
        <v>1</v>
      </c>
      <c r="X248">
        <v>1</v>
      </c>
      <c r="Y248">
        <v>0</v>
      </c>
      <c r="Z248">
        <v>0</v>
      </c>
      <c r="AA248">
        <v>0</v>
      </c>
    </row>
    <row r="249" spans="1:27" x14ac:dyDescent="0.3">
      <c r="A249">
        <v>1001</v>
      </c>
      <c r="B249">
        <v>26.5</v>
      </c>
      <c r="C249">
        <v>0.5</v>
      </c>
      <c r="D249">
        <v>0</v>
      </c>
      <c r="E249">
        <v>0</v>
      </c>
      <c r="F249" t="s">
        <v>1020</v>
      </c>
      <c r="G249" s="101">
        <v>46234</v>
      </c>
      <c r="H249" t="s">
        <v>151</v>
      </c>
      <c r="I249" t="s">
        <v>441</v>
      </c>
      <c r="J249" t="s">
        <v>442</v>
      </c>
      <c r="K249" t="s">
        <v>382</v>
      </c>
      <c r="L249" s="39">
        <v>0.3689236111111111</v>
      </c>
      <c r="M249" s="39">
        <v>0.76680555555555552</v>
      </c>
      <c r="N249">
        <v>9.5500000000000007</v>
      </c>
      <c r="O249" t="s">
        <v>585</v>
      </c>
      <c r="P249">
        <v>0</v>
      </c>
      <c r="Q249" t="s">
        <v>1042</v>
      </c>
      <c r="R249">
        <v>0.9</v>
      </c>
      <c r="S249">
        <v>0.9</v>
      </c>
      <c r="T249" t="s">
        <v>443</v>
      </c>
      <c r="U249" t="s">
        <v>108</v>
      </c>
      <c r="V249" s="101">
        <v>46234</v>
      </c>
      <c r="W249">
        <v>1</v>
      </c>
      <c r="X249">
        <v>1</v>
      </c>
      <c r="Y249">
        <v>0</v>
      </c>
      <c r="Z249">
        <v>0</v>
      </c>
      <c r="AA249">
        <v>0</v>
      </c>
    </row>
    <row r="250" spans="1:27" x14ac:dyDescent="0.3">
      <c r="A250">
        <v>1002</v>
      </c>
      <c r="B250">
        <v>25</v>
      </c>
      <c r="C250">
        <v>2</v>
      </c>
      <c r="D250">
        <v>0</v>
      </c>
      <c r="E250">
        <v>0</v>
      </c>
      <c r="F250" t="s">
        <v>1043</v>
      </c>
      <c r="G250" s="101">
        <v>46204</v>
      </c>
      <c r="H250" t="s">
        <v>216</v>
      </c>
      <c r="I250" t="s">
        <v>445</v>
      </c>
      <c r="J250" t="s">
        <v>442</v>
      </c>
      <c r="K250" t="s">
        <v>382</v>
      </c>
      <c r="L250" s="39">
        <v>0.37357638888888889</v>
      </c>
      <c r="M250" s="39">
        <v>0.7303587962962963</v>
      </c>
      <c r="N250">
        <v>8.56</v>
      </c>
      <c r="O250" t="s">
        <v>1044</v>
      </c>
      <c r="P250">
        <v>0</v>
      </c>
      <c r="Q250" t="s">
        <v>1045</v>
      </c>
      <c r="R250">
        <v>0</v>
      </c>
      <c r="S250">
        <v>0</v>
      </c>
      <c r="T250" t="s">
        <v>446</v>
      </c>
      <c r="U250" t="s">
        <v>108</v>
      </c>
      <c r="V250" s="101">
        <v>46204</v>
      </c>
      <c r="W250">
        <v>1</v>
      </c>
      <c r="X250">
        <v>1</v>
      </c>
      <c r="Y250">
        <v>0</v>
      </c>
      <c r="Z250">
        <v>0</v>
      </c>
      <c r="AA250">
        <v>0</v>
      </c>
    </row>
    <row r="251" spans="1:27" x14ac:dyDescent="0.3">
      <c r="A251">
        <v>1002</v>
      </c>
      <c r="B251">
        <v>25</v>
      </c>
      <c r="C251">
        <v>2</v>
      </c>
      <c r="D251">
        <v>0</v>
      </c>
      <c r="E251">
        <v>0</v>
      </c>
      <c r="F251" t="s">
        <v>1043</v>
      </c>
      <c r="G251" s="101">
        <v>46205</v>
      </c>
      <c r="H251" t="s">
        <v>216</v>
      </c>
      <c r="I251" t="s">
        <v>445</v>
      </c>
      <c r="J251" t="s">
        <v>442</v>
      </c>
      <c r="K251" t="s">
        <v>382</v>
      </c>
      <c r="L251" s="39">
        <v>0.37738425925925928</v>
      </c>
      <c r="M251" s="39">
        <v>0.72912037037037036</v>
      </c>
      <c r="N251">
        <v>8.44</v>
      </c>
      <c r="O251" t="s">
        <v>429</v>
      </c>
      <c r="P251">
        <v>0</v>
      </c>
      <c r="Q251" t="s">
        <v>976</v>
      </c>
      <c r="R251">
        <v>0</v>
      </c>
      <c r="S251">
        <v>0</v>
      </c>
      <c r="T251" t="s">
        <v>446</v>
      </c>
      <c r="U251" t="s">
        <v>108</v>
      </c>
      <c r="V251" s="101">
        <v>46205</v>
      </c>
      <c r="W251">
        <v>1</v>
      </c>
      <c r="X251">
        <v>1</v>
      </c>
      <c r="Y251">
        <v>0</v>
      </c>
      <c r="Z251">
        <v>0</v>
      </c>
      <c r="AA251">
        <v>0</v>
      </c>
    </row>
    <row r="252" spans="1:27" x14ac:dyDescent="0.3">
      <c r="A252">
        <v>1002</v>
      </c>
      <c r="B252">
        <v>25</v>
      </c>
      <c r="C252">
        <v>2</v>
      </c>
      <c r="D252">
        <v>0</v>
      </c>
      <c r="E252">
        <v>0</v>
      </c>
      <c r="F252" t="s">
        <v>1043</v>
      </c>
      <c r="G252" s="101">
        <v>46206</v>
      </c>
      <c r="H252" t="s">
        <v>216</v>
      </c>
      <c r="I252" t="s">
        <v>445</v>
      </c>
      <c r="J252" t="s">
        <v>442</v>
      </c>
      <c r="K252" t="s">
        <v>382</v>
      </c>
      <c r="L252" s="39">
        <v>0.37365740740740738</v>
      </c>
      <c r="M252" s="39">
        <v>0.72819444444444448</v>
      </c>
      <c r="N252">
        <v>8.51</v>
      </c>
      <c r="O252" t="s">
        <v>615</v>
      </c>
      <c r="P252">
        <v>0</v>
      </c>
      <c r="Q252" t="s">
        <v>673</v>
      </c>
      <c r="R252">
        <v>0</v>
      </c>
      <c r="S252">
        <v>0</v>
      </c>
      <c r="T252" t="s">
        <v>446</v>
      </c>
      <c r="U252" t="s">
        <v>108</v>
      </c>
      <c r="V252" s="101">
        <v>46206</v>
      </c>
      <c r="W252">
        <v>1</v>
      </c>
      <c r="X252">
        <v>1</v>
      </c>
      <c r="Y252">
        <v>0</v>
      </c>
      <c r="Z252">
        <v>0</v>
      </c>
      <c r="AA252">
        <v>0</v>
      </c>
    </row>
    <row r="253" spans="1:27" x14ac:dyDescent="0.3">
      <c r="A253">
        <v>1002</v>
      </c>
      <c r="B253">
        <v>25</v>
      </c>
      <c r="C253">
        <v>2</v>
      </c>
      <c r="D253">
        <v>0</v>
      </c>
      <c r="E253">
        <v>0</v>
      </c>
      <c r="F253" t="s">
        <v>1043</v>
      </c>
      <c r="G253" s="101">
        <v>46207</v>
      </c>
      <c r="H253" t="s">
        <v>216</v>
      </c>
      <c r="I253" t="s">
        <v>445</v>
      </c>
      <c r="J253" t="s">
        <v>442</v>
      </c>
      <c r="K253" t="s">
        <v>382</v>
      </c>
      <c r="L253" s="39">
        <v>0.37240740740740741</v>
      </c>
      <c r="M253" s="39">
        <v>0.72636574074074078</v>
      </c>
      <c r="N253">
        <v>8.5</v>
      </c>
      <c r="O253" t="s">
        <v>520</v>
      </c>
      <c r="P253">
        <v>0</v>
      </c>
      <c r="Q253" t="s">
        <v>650</v>
      </c>
      <c r="R253">
        <v>0</v>
      </c>
      <c r="S253">
        <v>0</v>
      </c>
      <c r="T253" t="s">
        <v>446</v>
      </c>
      <c r="U253" t="s">
        <v>108</v>
      </c>
      <c r="V253" s="101">
        <v>46207</v>
      </c>
      <c r="W253">
        <v>1</v>
      </c>
      <c r="X253">
        <v>1</v>
      </c>
      <c r="Y253">
        <v>0</v>
      </c>
      <c r="Z253">
        <v>0</v>
      </c>
      <c r="AA253">
        <v>0</v>
      </c>
    </row>
    <row r="254" spans="1:27" x14ac:dyDescent="0.3">
      <c r="A254">
        <v>1002</v>
      </c>
      <c r="B254">
        <v>25</v>
      </c>
      <c r="C254">
        <v>2</v>
      </c>
      <c r="D254">
        <v>0</v>
      </c>
      <c r="E254">
        <v>0</v>
      </c>
      <c r="F254" t="s">
        <v>1043</v>
      </c>
      <c r="G254" s="101">
        <v>46208</v>
      </c>
      <c r="H254" t="s">
        <v>216</v>
      </c>
      <c r="I254" t="s">
        <v>445</v>
      </c>
      <c r="J254" t="s">
        <v>442</v>
      </c>
      <c r="K254" t="s">
        <v>383</v>
      </c>
      <c r="L254" s="39">
        <v>0</v>
      </c>
      <c r="M254" s="39">
        <v>0</v>
      </c>
      <c r="N254">
        <v>0</v>
      </c>
      <c r="O254" t="s">
        <v>384</v>
      </c>
      <c r="P254">
        <v>9</v>
      </c>
      <c r="Q254" t="s">
        <v>385</v>
      </c>
      <c r="R254">
        <v>0</v>
      </c>
      <c r="S254">
        <v>9</v>
      </c>
      <c r="T254" t="s">
        <v>446</v>
      </c>
      <c r="U254" t="s">
        <v>366</v>
      </c>
      <c r="V254" s="101">
        <v>46208</v>
      </c>
      <c r="W254">
        <v>0</v>
      </c>
      <c r="X254">
        <v>0</v>
      </c>
      <c r="Y254">
        <v>0</v>
      </c>
      <c r="Z254">
        <v>0</v>
      </c>
      <c r="AA254">
        <v>0</v>
      </c>
    </row>
    <row r="255" spans="1:27" x14ac:dyDescent="0.3">
      <c r="A255">
        <v>1002</v>
      </c>
      <c r="B255">
        <v>25</v>
      </c>
      <c r="C255">
        <v>2</v>
      </c>
      <c r="D255">
        <v>0</v>
      </c>
      <c r="E255">
        <v>0</v>
      </c>
      <c r="F255" t="s">
        <v>1043</v>
      </c>
      <c r="G255" s="101">
        <v>46209</v>
      </c>
      <c r="H255" t="s">
        <v>216</v>
      </c>
      <c r="I255" t="s">
        <v>445</v>
      </c>
      <c r="J255" t="s">
        <v>442</v>
      </c>
      <c r="K255" t="s">
        <v>382</v>
      </c>
      <c r="L255" s="39">
        <v>0.3793287037037037</v>
      </c>
      <c r="M255" s="39">
        <v>0.73063657407407412</v>
      </c>
      <c r="N255">
        <v>8.43</v>
      </c>
      <c r="O255" t="s">
        <v>1046</v>
      </c>
      <c r="P255">
        <v>0</v>
      </c>
      <c r="Q255" t="s">
        <v>1047</v>
      </c>
      <c r="R255">
        <v>0</v>
      </c>
      <c r="S255">
        <v>0</v>
      </c>
      <c r="T255" t="s">
        <v>446</v>
      </c>
      <c r="U255" t="s">
        <v>108</v>
      </c>
      <c r="V255" s="101">
        <v>46209</v>
      </c>
      <c r="W255">
        <v>1</v>
      </c>
      <c r="X255">
        <v>1</v>
      </c>
      <c r="Y255">
        <v>0</v>
      </c>
      <c r="Z255">
        <v>0</v>
      </c>
      <c r="AA255">
        <v>0</v>
      </c>
    </row>
    <row r="256" spans="1:27" x14ac:dyDescent="0.3">
      <c r="A256">
        <v>1002</v>
      </c>
      <c r="B256">
        <v>25</v>
      </c>
      <c r="C256">
        <v>2</v>
      </c>
      <c r="D256">
        <v>0</v>
      </c>
      <c r="E256">
        <v>0</v>
      </c>
      <c r="F256" t="s">
        <v>1043</v>
      </c>
      <c r="G256" s="101">
        <v>46210</v>
      </c>
      <c r="H256" t="s">
        <v>216</v>
      </c>
      <c r="I256" t="s">
        <v>445</v>
      </c>
      <c r="J256" t="s">
        <v>442</v>
      </c>
      <c r="K256" t="s">
        <v>382</v>
      </c>
      <c r="L256" s="39">
        <v>0.37549768518518517</v>
      </c>
      <c r="M256" s="39">
        <v>0.77143518518518517</v>
      </c>
      <c r="N256">
        <v>9.5</v>
      </c>
      <c r="O256" t="s">
        <v>547</v>
      </c>
      <c r="P256">
        <v>0</v>
      </c>
      <c r="Q256" t="s">
        <v>1048</v>
      </c>
      <c r="R256">
        <v>1.01</v>
      </c>
      <c r="S256">
        <v>1.01</v>
      </c>
      <c r="T256" t="s">
        <v>446</v>
      </c>
      <c r="U256" t="s">
        <v>108</v>
      </c>
      <c r="V256" s="101">
        <v>46210</v>
      </c>
      <c r="W256">
        <v>1</v>
      </c>
      <c r="X256">
        <v>1</v>
      </c>
      <c r="Y256">
        <v>0</v>
      </c>
      <c r="Z256">
        <v>0</v>
      </c>
      <c r="AA256">
        <v>0</v>
      </c>
    </row>
    <row r="257" spans="1:27" x14ac:dyDescent="0.3">
      <c r="A257">
        <v>1002</v>
      </c>
      <c r="B257">
        <v>25</v>
      </c>
      <c r="C257">
        <v>2</v>
      </c>
      <c r="D257">
        <v>0</v>
      </c>
      <c r="E257">
        <v>0</v>
      </c>
      <c r="F257" t="s">
        <v>1043</v>
      </c>
      <c r="G257" s="101">
        <v>46211</v>
      </c>
      <c r="H257" t="s">
        <v>216</v>
      </c>
      <c r="I257" t="s">
        <v>445</v>
      </c>
      <c r="J257" t="s">
        <v>442</v>
      </c>
      <c r="K257" t="s">
        <v>382</v>
      </c>
      <c r="L257" s="39">
        <v>0.37541666666666668</v>
      </c>
      <c r="M257" s="39">
        <v>0.77208333333333334</v>
      </c>
      <c r="N257">
        <v>9.52</v>
      </c>
      <c r="O257" t="s">
        <v>869</v>
      </c>
      <c r="P257">
        <v>0</v>
      </c>
      <c r="Q257" t="s">
        <v>1049</v>
      </c>
      <c r="R257">
        <v>1.03</v>
      </c>
      <c r="S257">
        <v>1.03</v>
      </c>
      <c r="T257" t="s">
        <v>446</v>
      </c>
      <c r="U257" t="s">
        <v>108</v>
      </c>
      <c r="V257" s="101">
        <v>46211</v>
      </c>
      <c r="W257">
        <v>1</v>
      </c>
      <c r="X257">
        <v>1</v>
      </c>
      <c r="Y257">
        <v>0</v>
      </c>
      <c r="Z257">
        <v>0</v>
      </c>
      <c r="AA257">
        <v>0</v>
      </c>
    </row>
    <row r="258" spans="1:27" x14ac:dyDescent="0.3">
      <c r="A258">
        <v>1002</v>
      </c>
      <c r="B258">
        <v>25</v>
      </c>
      <c r="C258">
        <v>2</v>
      </c>
      <c r="D258">
        <v>0</v>
      </c>
      <c r="E258">
        <v>0</v>
      </c>
      <c r="F258" t="s">
        <v>1043</v>
      </c>
      <c r="G258" s="101">
        <v>46212</v>
      </c>
      <c r="H258" t="s">
        <v>216</v>
      </c>
      <c r="I258" t="s">
        <v>445</v>
      </c>
      <c r="J258" t="s">
        <v>442</v>
      </c>
      <c r="K258" t="s">
        <v>382</v>
      </c>
      <c r="L258" s="39">
        <v>0.37605324074074076</v>
      </c>
      <c r="M258" s="39">
        <v>0.77123842592592595</v>
      </c>
      <c r="N258">
        <v>9.48</v>
      </c>
      <c r="O258" t="s">
        <v>616</v>
      </c>
      <c r="P258">
        <v>0</v>
      </c>
      <c r="Q258" t="s">
        <v>1050</v>
      </c>
      <c r="R258">
        <v>1.01</v>
      </c>
      <c r="S258">
        <v>1.01</v>
      </c>
      <c r="T258" t="s">
        <v>446</v>
      </c>
      <c r="U258" t="s">
        <v>108</v>
      </c>
      <c r="V258" s="101">
        <v>46212</v>
      </c>
      <c r="W258">
        <v>1</v>
      </c>
      <c r="X258">
        <v>1</v>
      </c>
      <c r="Y258">
        <v>0</v>
      </c>
      <c r="Z258">
        <v>0</v>
      </c>
      <c r="AA258">
        <v>0</v>
      </c>
    </row>
    <row r="259" spans="1:27" x14ac:dyDescent="0.3">
      <c r="A259">
        <v>1002</v>
      </c>
      <c r="B259">
        <v>25</v>
      </c>
      <c r="C259">
        <v>2</v>
      </c>
      <c r="D259">
        <v>0</v>
      </c>
      <c r="E259">
        <v>0</v>
      </c>
      <c r="F259" t="s">
        <v>1043</v>
      </c>
      <c r="G259" s="101">
        <v>46213</v>
      </c>
      <c r="H259" t="s">
        <v>216</v>
      </c>
      <c r="I259" t="s">
        <v>445</v>
      </c>
      <c r="J259" t="s">
        <v>442</v>
      </c>
      <c r="K259" t="s">
        <v>382</v>
      </c>
      <c r="L259" s="39">
        <v>0.38841435185185186</v>
      </c>
      <c r="M259" s="39">
        <v>0.77128472222222222</v>
      </c>
      <c r="N259">
        <v>9.19</v>
      </c>
      <c r="O259" t="s">
        <v>1051</v>
      </c>
      <c r="P259">
        <v>0</v>
      </c>
      <c r="Q259" t="s">
        <v>1052</v>
      </c>
      <c r="R259">
        <v>1.01</v>
      </c>
      <c r="S259">
        <v>1.01</v>
      </c>
      <c r="T259" t="s">
        <v>446</v>
      </c>
      <c r="U259" t="s">
        <v>108</v>
      </c>
      <c r="V259" s="101">
        <v>46213</v>
      </c>
      <c r="W259">
        <v>1</v>
      </c>
      <c r="X259">
        <v>1</v>
      </c>
      <c r="Y259">
        <v>0</v>
      </c>
      <c r="Z259">
        <v>0</v>
      </c>
      <c r="AA259">
        <v>0</v>
      </c>
    </row>
    <row r="260" spans="1:27" x14ac:dyDescent="0.3">
      <c r="A260">
        <v>1002</v>
      </c>
      <c r="B260">
        <v>25</v>
      </c>
      <c r="C260">
        <v>2</v>
      </c>
      <c r="D260">
        <v>0</v>
      </c>
      <c r="E260">
        <v>0</v>
      </c>
      <c r="F260" t="s">
        <v>1043</v>
      </c>
      <c r="G260" s="101">
        <v>46214</v>
      </c>
      <c r="H260" t="s">
        <v>216</v>
      </c>
      <c r="I260" t="s">
        <v>445</v>
      </c>
      <c r="J260" t="s">
        <v>442</v>
      </c>
      <c r="K260" t="s">
        <v>382</v>
      </c>
      <c r="L260" s="39">
        <v>0.3721875</v>
      </c>
      <c r="M260" s="39">
        <v>0.77159722222222227</v>
      </c>
      <c r="N260">
        <v>9.59</v>
      </c>
      <c r="O260" t="s">
        <v>565</v>
      </c>
      <c r="P260">
        <v>0</v>
      </c>
      <c r="Q260" t="s">
        <v>1053</v>
      </c>
      <c r="R260">
        <v>1.02</v>
      </c>
      <c r="S260">
        <v>1.02</v>
      </c>
      <c r="T260" t="s">
        <v>446</v>
      </c>
      <c r="U260" t="s">
        <v>108</v>
      </c>
      <c r="V260" s="101">
        <v>46214</v>
      </c>
      <c r="W260">
        <v>1</v>
      </c>
      <c r="X260">
        <v>1</v>
      </c>
      <c r="Y260">
        <v>0</v>
      </c>
      <c r="Z260">
        <v>0</v>
      </c>
      <c r="AA260">
        <v>0</v>
      </c>
    </row>
    <row r="261" spans="1:27" x14ac:dyDescent="0.3">
      <c r="A261">
        <v>1002</v>
      </c>
      <c r="B261">
        <v>25</v>
      </c>
      <c r="C261">
        <v>2</v>
      </c>
      <c r="D261">
        <v>0</v>
      </c>
      <c r="E261">
        <v>0</v>
      </c>
      <c r="F261" t="s">
        <v>1043</v>
      </c>
      <c r="G261" s="101">
        <v>46215</v>
      </c>
      <c r="H261" t="s">
        <v>216</v>
      </c>
      <c r="I261" t="s">
        <v>445</v>
      </c>
      <c r="J261" t="s">
        <v>442</v>
      </c>
      <c r="K261" t="s">
        <v>383</v>
      </c>
      <c r="L261" s="39">
        <v>0</v>
      </c>
      <c r="M261" s="39">
        <v>0</v>
      </c>
      <c r="N261">
        <v>0</v>
      </c>
      <c r="O261" t="s">
        <v>384</v>
      </c>
      <c r="P261">
        <v>9</v>
      </c>
      <c r="Q261" t="s">
        <v>385</v>
      </c>
      <c r="R261">
        <v>0</v>
      </c>
      <c r="S261">
        <v>9</v>
      </c>
      <c r="T261" t="s">
        <v>446</v>
      </c>
      <c r="U261" t="s">
        <v>366</v>
      </c>
      <c r="V261" s="101">
        <v>46215</v>
      </c>
      <c r="W261">
        <v>0</v>
      </c>
      <c r="X261">
        <v>0</v>
      </c>
      <c r="Y261">
        <v>0</v>
      </c>
      <c r="Z261">
        <v>0</v>
      </c>
      <c r="AA261">
        <v>0</v>
      </c>
    </row>
    <row r="262" spans="1:27" x14ac:dyDescent="0.3">
      <c r="A262">
        <v>1002</v>
      </c>
      <c r="B262">
        <v>25</v>
      </c>
      <c r="C262">
        <v>2</v>
      </c>
      <c r="D262">
        <v>0</v>
      </c>
      <c r="E262">
        <v>0</v>
      </c>
      <c r="F262" t="s">
        <v>1043</v>
      </c>
      <c r="G262" s="101">
        <v>46216</v>
      </c>
      <c r="H262" t="s">
        <v>216</v>
      </c>
      <c r="I262" t="s">
        <v>445</v>
      </c>
      <c r="J262" t="s">
        <v>442</v>
      </c>
      <c r="K262" t="s">
        <v>382</v>
      </c>
      <c r="L262" s="39">
        <v>0.3692361111111111</v>
      </c>
      <c r="M262" s="39">
        <v>0.77236111111111116</v>
      </c>
      <c r="N262">
        <v>9.68</v>
      </c>
      <c r="O262" t="s">
        <v>577</v>
      </c>
      <c r="P262">
        <v>0</v>
      </c>
      <c r="Q262" t="s">
        <v>1054</v>
      </c>
      <c r="R262">
        <v>1.04</v>
      </c>
      <c r="S262">
        <v>1.04</v>
      </c>
      <c r="T262" t="s">
        <v>446</v>
      </c>
      <c r="U262" t="s">
        <v>108</v>
      </c>
      <c r="V262" s="101">
        <v>46216</v>
      </c>
      <c r="W262">
        <v>1</v>
      </c>
      <c r="X262">
        <v>1</v>
      </c>
      <c r="Y262">
        <v>0</v>
      </c>
      <c r="Z262">
        <v>0</v>
      </c>
      <c r="AA262">
        <v>0</v>
      </c>
    </row>
    <row r="263" spans="1:27" x14ac:dyDescent="0.3">
      <c r="A263">
        <v>1002</v>
      </c>
      <c r="B263">
        <v>25</v>
      </c>
      <c r="C263">
        <v>2</v>
      </c>
      <c r="D263">
        <v>0</v>
      </c>
      <c r="E263">
        <v>0</v>
      </c>
      <c r="F263" t="s">
        <v>1043</v>
      </c>
      <c r="G263" s="101">
        <v>46217</v>
      </c>
      <c r="H263" t="s">
        <v>216</v>
      </c>
      <c r="I263" t="s">
        <v>445</v>
      </c>
      <c r="J263" t="s">
        <v>442</v>
      </c>
      <c r="K263" t="s">
        <v>383</v>
      </c>
      <c r="L263" s="39">
        <v>0</v>
      </c>
      <c r="M263" s="39">
        <v>0</v>
      </c>
      <c r="N263">
        <v>0</v>
      </c>
      <c r="O263" t="s">
        <v>384</v>
      </c>
      <c r="P263">
        <v>9</v>
      </c>
      <c r="Q263" t="s">
        <v>385</v>
      </c>
      <c r="R263">
        <v>0</v>
      </c>
      <c r="S263">
        <v>9</v>
      </c>
      <c r="T263" t="s">
        <v>446</v>
      </c>
      <c r="U263" t="s">
        <v>366</v>
      </c>
      <c r="V263" s="101">
        <v>46217</v>
      </c>
      <c r="W263">
        <v>0</v>
      </c>
      <c r="X263">
        <v>0</v>
      </c>
      <c r="Y263">
        <v>0</v>
      </c>
      <c r="Z263">
        <v>0</v>
      </c>
      <c r="AA263">
        <v>0</v>
      </c>
    </row>
    <row r="264" spans="1:27" x14ac:dyDescent="0.3">
      <c r="A264">
        <v>1002</v>
      </c>
      <c r="B264">
        <v>25</v>
      </c>
      <c r="C264">
        <v>2</v>
      </c>
      <c r="D264">
        <v>0</v>
      </c>
      <c r="E264">
        <v>0</v>
      </c>
      <c r="F264" t="s">
        <v>1043</v>
      </c>
      <c r="G264" s="101">
        <v>46218</v>
      </c>
      <c r="H264" t="s">
        <v>216</v>
      </c>
      <c r="I264" t="s">
        <v>445</v>
      </c>
      <c r="J264" t="s">
        <v>442</v>
      </c>
      <c r="K264" t="s">
        <v>382</v>
      </c>
      <c r="L264" s="39">
        <v>0.37328703703703703</v>
      </c>
      <c r="M264" s="39">
        <v>0.76854166666666668</v>
      </c>
      <c r="N264">
        <v>9.49</v>
      </c>
      <c r="O264" t="s">
        <v>687</v>
      </c>
      <c r="P264">
        <v>0</v>
      </c>
      <c r="Q264" t="s">
        <v>1055</v>
      </c>
      <c r="R264">
        <v>0.94</v>
      </c>
      <c r="S264">
        <v>0.94</v>
      </c>
      <c r="T264" t="s">
        <v>446</v>
      </c>
      <c r="U264" t="s">
        <v>108</v>
      </c>
      <c r="V264" s="101">
        <v>46218</v>
      </c>
      <c r="W264">
        <v>1</v>
      </c>
      <c r="X264">
        <v>1</v>
      </c>
      <c r="Y264">
        <v>0</v>
      </c>
      <c r="Z264">
        <v>0</v>
      </c>
      <c r="AA264">
        <v>0</v>
      </c>
    </row>
    <row r="265" spans="1:27" x14ac:dyDescent="0.3">
      <c r="A265">
        <v>1002</v>
      </c>
      <c r="B265">
        <v>25</v>
      </c>
      <c r="C265">
        <v>2</v>
      </c>
      <c r="D265">
        <v>0</v>
      </c>
      <c r="E265">
        <v>0</v>
      </c>
      <c r="F265" t="s">
        <v>1043</v>
      </c>
      <c r="G265" s="101">
        <v>46219</v>
      </c>
      <c r="H265" t="s">
        <v>216</v>
      </c>
      <c r="I265" t="s">
        <v>445</v>
      </c>
      <c r="J265" t="s">
        <v>442</v>
      </c>
      <c r="K265" t="s">
        <v>382</v>
      </c>
      <c r="L265" s="39">
        <v>0.37107638888888889</v>
      </c>
      <c r="M265" s="39">
        <v>0.77231481481481479</v>
      </c>
      <c r="N265">
        <v>9.6300000000000008</v>
      </c>
      <c r="O265" t="s">
        <v>714</v>
      </c>
      <c r="P265">
        <v>0</v>
      </c>
      <c r="Q265" t="s">
        <v>1056</v>
      </c>
      <c r="R265">
        <v>1.04</v>
      </c>
      <c r="S265">
        <v>1.04</v>
      </c>
      <c r="T265" t="s">
        <v>446</v>
      </c>
      <c r="U265" t="s">
        <v>108</v>
      </c>
      <c r="V265" s="101">
        <v>46219</v>
      </c>
      <c r="W265">
        <v>1</v>
      </c>
      <c r="X265">
        <v>1</v>
      </c>
      <c r="Y265">
        <v>0</v>
      </c>
      <c r="Z265">
        <v>0</v>
      </c>
      <c r="AA265">
        <v>0</v>
      </c>
    </row>
    <row r="266" spans="1:27" x14ac:dyDescent="0.3">
      <c r="A266">
        <v>1002</v>
      </c>
      <c r="B266">
        <v>25</v>
      </c>
      <c r="C266">
        <v>2</v>
      </c>
      <c r="D266">
        <v>0</v>
      </c>
      <c r="E266">
        <v>0</v>
      </c>
      <c r="F266" t="s">
        <v>1043</v>
      </c>
      <c r="G266" s="101">
        <v>46220</v>
      </c>
      <c r="H266" t="s">
        <v>216</v>
      </c>
      <c r="I266" t="s">
        <v>445</v>
      </c>
      <c r="J266" t="s">
        <v>442</v>
      </c>
      <c r="K266" t="s">
        <v>382</v>
      </c>
      <c r="L266" s="39">
        <v>0.37134259259259261</v>
      </c>
      <c r="M266" s="39">
        <v>0.77050925925925928</v>
      </c>
      <c r="N266">
        <v>9.58</v>
      </c>
      <c r="O266" t="s">
        <v>1012</v>
      </c>
      <c r="P266">
        <v>0</v>
      </c>
      <c r="Q266" t="s">
        <v>1057</v>
      </c>
      <c r="R266">
        <v>0.99</v>
      </c>
      <c r="S266">
        <v>0.99</v>
      </c>
      <c r="T266" t="s">
        <v>446</v>
      </c>
      <c r="U266" t="s">
        <v>108</v>
      </c>
      <c r="V266" s="101">
        <v>46220</v>
      </c>
      <c r="W266">
        <v>1</v>
      </c>
      <c r="X266">
        <v>1</v>
      </c>
      <c r="Y266">
        <v>0</v>
      </c>
      <c r="Z266">
        <v>0</v>
      </c>
      <c r="AA266">
        <v>0</v>
      </c>
    </row>
    <row r="267" spans="1:27" x14ac:dyDescent="0.3">
      <c r="A267">
        <v>1002</v>
      </c>
      <c r="B267">
        <v>25</v>
      </c>
      <c r="C267">
        <v>2</v>
      </c>
      <c r="D267">
        <v>0</v>
      </c>
      <c r="E267">
        <v>0</v>
      </c>
      <c r="F267" t="s">
        <v>1043</v>
      </c>
      <c r="G267" s="101">
        <v>46221</v>
      </c>
      <c r="H267" t="s">
        <v>216</v>
      </c>
      <c r="I267" t="s">
        <v>445</v>
      </c>
      <c r="J267" t="s">
        <v>442</v>
      </c>
      <c r="K267" t="s">
        <v>382</v>
      </c>
      <c r="L267" s="39">
        <v>0.37407407407407406</v>
      </c>
      <c r="M267" s="39">
        <v>0.69179398148148152</v>
      </c>
      <c r="N267">
        <v>7.63</v>
      </c>
      <c r="O267" t="s">
        <v>1018</v>
      </c>
      <c r="P267">
        <v>0</v>
      </c>
      <c r="Q267" t="s">
        <v>1058</v>
      </c>
      <c r="R267">
        <v>0</v>
      </c>
      <c r="S267">
        <v>0</v>
      </c>
      <c r="T267" t="s">
        <v>446</v>
      </c>
      <c r="U267" t="s">
        <v>108</v>
      </c>
      <c r="V267" s="101">
        <v>46221</v>
      </c>
      <c r="W267">
        <v>1</v>
      </c>
      <c r="X267">
        <v>1</v>
      </c>
      <c r="Y267">
        <v>0</v>
      </c>
      <c r="Z267">
        <v>0</v>
      </c>
      <c r="AA267">
        <v>0</v>
      </c>
    </row>
    <row r="268" spans="1:27" x14ac:dyDescent="0.3">
      <c r="A268">
        <v>1002</v>
      </c>
      <c r="B268">
        <v>25</v>
      </c>
      <c r="C268">
        <v>2</v>
      </c>
      <c r="D268">
        <v>0</v>
      </c>
      <c r="E268">
        <v>0</v>
      </c>
      <c r="F268" t="s">
        <v>1043</v>
      </c>
      <c r="G268" s="101">
        <v>46222</v>
      </c>
      <c r="H268" t="s">
        <v>216</v>
      </c>
      <c r="I268" t="s">
        <v>445</v>
      </c>
      <c r="J268" t="s">
        <v>442</v>
      </c>
      <c r="K268" t="s">
        <v>383</v>
      </c>
      <c r="L268" s="39">
        <v>0</v>
      </c>
      <c r="M268" s="39">
        <v>0</v>
      </c>
      <c r="N268">
        <v>0</v>
      </c>
      <c r="O268" t="s">
        <v>384</v>
      </c>
      <c r="P268">
        <v>9</v>
      </c>
      <c r="Q268" t="s">
        <v>385</v>
      </c>
      <c r="R268">
        <v>0</v>
      </c>
      <c r="S268">
        <v>9</v>
      </c>
      <c r="T268" t="s">
        <v>446</v>
      </c>
      <c r="U268" t="s">
        <v>366</v>
      </c>
      <c r="V268" s="101">
        <v>46222</v>
      </c>
      <c r="W268">
        <v>0</v>
      </c>
      <c r="X268">
        <v>0</v>
      </c>
      <c r="Y268">
        <v>0</v>
      </c>
      <c r="Z268">
        <v>0</v>
      </c>
      <c r="AA268">
        <v>0</v>
      </c>
    </row>
    <row r="269" spans="1:27" x14ac:dyDescent="0.3">
      <c r="A269">
        <v>1002</v>
      </c>
      <c r="B269">
        <v>25</v>
      </c>
      <c r="C269">
        <v>2</v>
      </c>
      <c r="D269">
        <v>0</v>
      </c>
      <c r="E269">
        <v>0</v>
      </c>
      <c r="F269" t="s">
        <v>1043</v>
      </c>
      <c r="G269" s="101">
        <v>46223</v>
      </c>
      <c r="H269" t="s">
        <v>216</v>
      </c>
      <c r="I269" t="s">
        <v>445</v>
      </c>
      <c r="J269" t="s">
        <v>442</v>
      </c>
      <c r="K269" t="s">
        <v>382</v>
      </c>
      <c r="L269" s="39">
        <v>0.37357638888888889</v>
      </c>
      <c r="M269" s="39">
        <v>0.77280092592592597</v>
      </c>
      <c r="N269">
        <v>9.58</v>
      </c>
      <c r="O269" t="s">
        <v>1044</v>
      </c>
      <c r="P269">
        <v>0</v>
      </c>
      <c r="Q269" t="s">
        <v>1059</v>
      </c>
      <c r="R269">
        <v>1.05</v>
      </c>
      <c r="S269">
        <v>1.05</v>
      </c>
      <c r="T269" t="s">
        <v>446</v>
      </c>
      <c r="U269" t="s">
        <v>108</v>
      </c>
      <c r="V269" s="101">
        <v>46223</v>
      </c>
      <c r="W269">
        <v>1</v>
      </c>
      <c r="X269">
        <v>1</v>
      </c>
      <c r="Y269">
        <v>0</v>
      </c>
      <c r="Z269">
        <v>0</v>
      </c>
      <c r="AA269">
        <v>0</v>
      </c>
    </row>
    <row r="270" spans="1:27" x14ac:dyDescent="0.3">
      <c r="A270">
        <v>1002</v>
      </c>
      <c r="B270">
        <v>25</v>
      </c>
      <c r="C270">
        <v>2</v>
      </c>
      <c r="D270">
        <v>0</v>
      </c>
      <c r="E270">
        <v>0</v>
      </c>
      <c r="F270" t="s">
        <v>1043</v>
      </c>
      <c r="G270" s="101">
        <v>46224</v>
      </c>
      <c r="H270" t="s">
        <v>216</v>
      </c>
      <c r="I270" t="s">
        <v>445</v>
      </c>
      <c r="J270" t="s">
        <v>442</v>
      </c>
      <c r="K270" t="s">
        <v>383</v>
      </c>
      <c r="L270" s="39">
        <v>0</v>
      </c>
      <c r="M270" s="39">
        <v>0</v>
      </c>
      <c r="N270">
        <v>0</v>
      </c>
      <c r="O270" t="s">
        <v>384</v>
      </c>
      <c r="P270">
        <v>9</v>
      </c>
      <c r="Q270" t="s">
        <v>385</v>
      </c>
      <c r="R270">
        <v>0</v>
      </c>
      <c r="S270">
        <v>9</v>
      </c>
      <c r="T270" t="s">
        <v>446</v>
      </c>
      <c r="U270" t="s">
        <v>366</v>
      </c>
      <c r="V270" s="101">
        <v>46224</v>
      </c>
      <c r="W270">
        <v>0</v>
      </c>
      <c r="X270">
        <v>0</v>
      </c>
      <c r="Y270">
        <v>0</v>
      </c>
      <c r="Z270">
        <v>0</v>
      </c>
      <c r="AA270">
        <v>0</v>
      </c>
    </row>
    <row r="271" spans="1:27" x14ac:dyDescent="0.3">
      <c r="A271">
        <v>1002</v>
      </c>
      <c r="B271">
        <v>25</v>
      </c>
      <c r="C271">
        <v>2</v>
      </c>
      <c r="D271">
        <v>0</v>
      </c>
      <c r="E271">
        <v>0</v>
      </c>
      <c r="F271" t="s">
        <v>1043</v>
      </c>
      <c r="G271" s="101">
        <v>46225</v>
      </c>
      <c r="H271" t="s">
        <v>216</v>
      </c>
      <c r="I271" t="s">
        <v>445</v>
      </c>
      <c r="J271" t="s">
        <v>442</v>
      </c>
      <c r="K271" t="s">
        <v>382</v>
      </c>
      <c r="L271" s="39">
        <v>0.37331018518518516</v>
      </c>
      <c r="M271" s="39">
        <v>0.77155092592592589</v>
      </c>
      <c r="N271">
        <v>9.56</v>
      </c>
      <c r="O271" t="s">
        <v>604</v>
      </c>
      <c r="P271">
        <v>0</v>
      </c>
      <c r="Q271" t="s">
        <v>1060</v>
      </c>
      <c r="R271">
        <v>1.02</v>
      </c>
      <c r="S271">
        <v>1.02</v>
      </c>
      <c r="T271" t="s">
        <v>446</v>
      </c>
      <c r="U271" t="s">
        <v>108</v>
      </c>
      <c r="V271" s="101">
        <v>46225</v>
      </c>
      <c r="W271">
        <v>1</v>
      </c>
      <c r="X271">
        <v>1</v>
      </c>
      <c r="Y271">
        <v>0</v>
      </c>
      <c r="Z271">
        <v>0</v>
      </c>
      <c r="AA271">
        <v>0</v>
      </c>
    </row>
    <row r="272" spans="1:27" x14ac:dyDescent="0.3">
      <c r="A272">
        <v>1002</v>
      </c>
      <c r="B272">
        <v>25</v>
      </c>
      <c r="C272">
        <v>2</v>
      </c>
      <c r="D272">
        <v>0</v>
      </c>
      <c r="E272">
        <v>0</v>
      </c>
      <c r="F272" t="s">
        <v>1043</v>
      </c>
      <c r="G272" s="101">
        <v>46226</v>
      </c>
      <c r="H272" t="s">
        <v>216</v>
      </c>
      <c r="I272" t="s">
        <v>445</v>
      </c>
      <c r="J272" t="s">
        <v>442</v>
      </c>
      <c r="K272" t="s">
        <v>382</v>
      </c>
      <c r="L272" s="39">
        <v>0.37163194444444442</v>
      </c>
      <c r="M272" s="39">
        <v>0.77120370370370372</v>
      </c>
      <c r="N272">
        <v>9.59</v>
      </c>
      <c r="O272" t="s">
        <v>1061</v>
      </c>
      <c r="P272">
        <v>0</v>
      </c>
      <c r="Q272" t="s">
        <v>1062</v>
      </c>
      <c r="R272">
        <v>1.01</v>
      </c>
      <c r="S272">
        <v>1.01</v>
      </c>
      <c r="T272" t="s">
        <v>446</v>
      </c>
      <c r="U272" t="s">
        <v>108</v>
      </c>
      <c r="V272" s="101">
        <v>46226</v>
      </c>
      <c r="W272">
        <v>1</v>
      </c>
      <c r="X272">
        <v>1</v>
      </c>
      <c r="Y272">
        <v>0</v>
      </c>
      <c r="Z272">
        <v>0</v>
      </c>
      <c r="AA272">
        <v>0</v>
      </c>
    </row>
    <row r="273" spans="1:27" x14ac:dyDescent="0.3">
      <c r="A273">
        <v>1002</v>
      </c>
      <c r="B273">
        <v>25</v>
      </c>
      <c r="C273">
        <v>2</v>
      </c>
      <c r="D273">
        <v>0</v>
      </c>
      <c r="E273">
        <v>0</v>
      </c>
      <c r="F273" t="s">
        <v>1043</v>
      </c>
      <c r="G273" s="101">
        <v>46227</v>
      </c>
      <c r="H273" t="s">
        <v>216</v>
      </c>
      <c r="I273" t="s">
        <v>445</v>
      </c>
      <c r="J273" t="s">
        <v>442</v>
      </c>
      <c r="K273" t="s">
        <v>382</v>
      </c>
      <c r="L273" s="39">
        <v>0.37253472222222223</v>
      </c>
      <c r="M273" s="39">
        <v>0.77216435185185184</v>
      </c>
      <c r="N273">
        <v>9.59</v>
      </c>
      <c r="O273" t="s">
        <v>1063</v>
      </c>
      <c r="P273">
        <v>0</v>
      </c>
      <c r="Q273" t="s">
        <v>1064</v>
      </c>
      <c r="R273">
        <v>1.03</v>
      </c>
      <c r="S273">
        <v>1.03</v>
      </c>
      <c r="T273" t="s">
        <v>446</v>
      </c>
      <c r="U273" t="s">
        <v>108</v>
      </c>
      <c r="V273" s="101">
        <v>46227</v>
      </c>
      <c r="W273">
        <v>1</v>
      </c>
      <c r="X273">
        <v>1</v>
      </c>
      <c r="Y273">
        <v>0</v>
      </c>
      <c r="Z273">
        <v>0</v>
      </c>
      <c r="AA273">
        <v>0</v>
      </c>
    </row>
    <row r="274" spans="1:27" x14ac:dyDescent="0.3">
      <c r="A274">
        <v>1002</v>
      </c>
      <c r="B274">
        <v>25</v>
      </c>
      <c r="C274">
        <v>2</v>
      </c>
      <c r="D274">
        <v>0</v>
      </c>
      <c r="E274">
        <v>0</v>
      </c>
      <c r="F274" t="s">
        <v>1043</v>
      </c>
      <c r="G274" s="101">
        <v>46228</v>
      </c>
      <c r="H274" t="s">
        <v>216</v>
      </c>
      <c r="I274" t="s">
        <v>445</v>
      </c>
      <c r="J274" t="s">
        <v>442</v>
      </c>
      <c r="K274" t="s">
        <v>382</v>
      </c>
      <c r="L274" s="39">
        <v>0.37300925925925926</v>
      </c>
      <c r="M274" s="39">
        <v>0.76806712962962964</v>
      </c>
      <c r="N274">
        <v>9.48</v>
      </c>
      <c r="O274" t="s">
        <v>716</v>
      </c>
      <c r="P274">
        <v>0</v>
      </c>
      <c r="Q274" t="s">
        <v>1065</v>
      </c>
      <c r="R274">
        <v>0.93</v>
      </c>
      <c r="S274">
        <v>0.93</v>
      </c>
      <c r="T274" t="s">
        <v>446</v>
      </c>
      <c r="U274" t="s">
        <v>108</v>
      </c>
      <c r="V274" s="101">
        <v>46228</v>
      </c>
      <c r="W274">
        <v>1</v>
      </c>
      <c r="X274">
        <v>1</v>
      </c>
      <c r="Y274">
        <v>0</v>
      </c>
      <c r="Z274">
        <v>0</v>
      </c>
      <c r="AA274">
        <v>0</v>
      </c>
    </row>
    <row r="275" spans="1:27" x14ac:dyDescent="0.3">
      <c r="A275">
        <v>1002</v>
      </c>
      <c r="B275">
        <v>25</v>
      </c>
      <c r="C275">
        <v>2</v>
      </c>
      <c r="D275">
        <v>0</v>
      </c>
      <c r="E275">
        <v>0</v>
      </c>
      <c r="F275" t="s">
        <v>1043</v>
      </c>
      <c r="G275" s="101">
        <v>46229</v>
      </c>
      <c r="H275" t="s">
        <v>216</v>
      </c>
      <c r="I275" t="s">
        <v>445</v>
      </c>
      <c r="J275" t="s">
        <v>442</v>
      </c>
      <c r="K275" t="s">
        <v>383</v>
      </c>
      <c r="L275" s="39">
        <v>0</v>
      </c>
      <c r="M275" s="39">
        <v>0</v>
      </c>
      <c r="N275">
        <v>0</v>
      </c>
      <c r="O275" t="s">
        <v>384</v>
      </c>
      <c r="P275">
        <v>9</v>
      </c>
      <c r="Q275" t="s">
        <v>385</v>
      </c>
      <c r="R275">
        <v>0</v>
      </c>
      <c r="S275">
        <v>9</v>
      </c>
      <c r="T275" t="s">
        <v>446</v>
      </c>
      <c r="U275" t="s">
        <v>366</v>
      </c>
      <c r="V275" s="101">
        <v>46229</v>
      </c>
      <c r="W275">
        <v>0</v>
      </c>
      <c r="X275">
        <v>0</v>
      </c>
      <c r="Y275">
        <v>0</v>
      </c>
      <c r="Z275">
        <v>0</v>
      </c>
      <c r="AA275">
        <v>0</v>
      </c>
    </row>
    <row r="276" spans="1:27" x14ac:dyDescent="0.3">
      <c r="A276">
        <v>1002</v>
      </c>
      <c r="B276">
        <v>25</v>
      </c>
      <c r="C276">
        <v>2</v>
      </c>
      <c r="D276">
        <v>0</v>
      </c>
      <c r="E276">
        <v>0</v>
      </c>
      <c r="F276" t="s">
        <v>1043</v>
      </c>
      <c r="G276" s="101">
        <v>46230</v>
      </c>
      <c r="H276" t="s">
        <v>216</v>
      </c>
      <c r="I276" t="s">
        <v>445</v>
      </c>
      <c r="J276" t="s">
        <v>442</v>
      </c>
      <c r="K276" t="s">
        <v>382</v>
      </c>
      <c r="L276" s="39">
        <v>0.37015046296296295</v>
      </c>
      <c r="M276" s="39">
        <v>0.76907407407407402</v>
      </c>
      <c r="N276">
        <v>9.57</v>
      </c>
      <c r="O276" t="s">
        <v>777</v>
      </c>
      <c r="P276">
        <v>0</v>
      </c>
      <c r="Q276" t="s">
        <v>1066</v>
      </c>
      <c r="R276">
        <v>0.96</v>
      </c>
      <c r="S276">
        <v>0.96</v>
      </c>
      <c r="T276" t="s">
        <v>446</v>
      </c>
      <c r="U276" t="s">
        <v>108</v>
      </c>
      <c r="V276" s="101">
        <v>46230</v>
      </c>
      <c r="W276">
        <v>1</v>
      </c>
      <c r="X276">
        <v>1</v>
      </c>
      <c r="Y276">
        <v>0</v>
      </c>
      <c r="Z276">
        <v>0</v>
      </c>
      <c r="AA276">
        <v>0</v>
      </c>
    </row>
    <row r="277" spans="1:27" x14ac:dyDescent="0.3">
      <c r="A277">
        <v>1002</v>
      </c>
      <c r="B277">
        <v>25</v>
      </c>
      <c r="C277">
        <v>2</v>
      </c>
      <c r="D277">
        <v>0</v>
      </c>
      <c r="E277">
        <v>0</v>
      </c>
      <c r="F277" t="s">
        <v>1043</v>
      </c>
      <c r="G277" s="101">
        <v>46231</v>
      </c>
      <c r="H277" t="s">
        <v>216</v>
      </c>
      <c r="I277" t="s">
        <v>445</v>
      </c>
      <c r="J277" t="s">
        <v>442</v>
      </c>
      <c r="K277" t="s">
        <v>382</v>
      </c>
      <c r="L277" s="39">
        <v>0.37129629629629629</v>
      </c>
      <c r="M277" s="39">
        <v>0.68464120370370374</v>
      </c>
      <c r="N277">
        <v>7.52</v>
      </c>
      <c r="O277" t="s">
        <v>972</v>
      </c>
      <c r="P277">
        <v>0</v>
      </c>
      <c r="Q277" t="s">
        <v>1067</v>
      </c>
      <c r="R277">
        <v>0</v>
      </c>
      <c r="S277">
        <v>0</v>
      </c>
      <c r="T277" t="s">
        <v>446</v>
      </c>
      <c r="U277" t="s">
        <v>108</v>
      </c>
      <c r="V277" s="101">
        <v>46231</v>
      </c>
      <c r="W277">
        <v>1</v>
      </c>
      <c r="X277">
        <v>1</v>
      </c>
      <c r="Y277">
        <v>0</v>
      </c>
      <c r="Z277">
        <v>0</v>
      </c>
      <c r="AA277">
        <v>0</v>
      </c>
    </row>
    <row r="278" spans="1:27" x14ac:dyDescent="0.3">
      <c r="A278">
        <v>1002</v>
      </c>
      <c r="B278">
        <v>25</v>
      </c>
      <c r="C278">
        <v>2</v>
      </c>
      <c r="D278">
        <v>0</v>
      </c>
      <c r="E278">
        <v>0</v>
      </c>
      <c r="F278" t="s">
        <v>1043</v>
      </c>
      <c r="G278" s="101">
        <v>46232</v>
      </c>
      <c r="H278" t="s">
        <v>216</v>
      </c>
      <c r="I278" t="s">
        <v>445</v>
      </c>
      <c r="J278" t="s">
        <v>442</v>
      </c>
      <c r="K278" t="s">
        <v>382</v>
      </c>
      <c r="L278" s="39">
        <v>0.43840277777777775</v>
      </c>
      <c r="M278" s="39">
        <v>0.77105324074074078</v>
      </c>
      <c r="N278">
        <v>7.98</v>
      </c>
      <c r="O278" t="s">
        <v>1068</v>
      </c>
      <c r="P278">
        <v>0</v>
      </c>
      <c r="Q278" t="s">
        <v>1069</v>
      </c>
      <c r="R278">
        <v>1.01</v>
      </c>
      <c r="S278">
        <v>1.01</v>
      </c>
      <c r="T278" t="s">
        <v>446</v>
      </c>
      <c r="U278" t="s">
        <v>108</v>
      </c>
      <c r="V278" s="101">
        <v>46232</v>
      </c>
      <c r="W278">
        <v>1</v>
      </c>
      <c r="X278">
        <v>1</v>
      </c>
      <c r="Y278">
        <v>0</v>
      </c>
      <c r="Z278">
        <v>0</v>
      </c>
      <c r="AA278">
        <v>0</v>
      </c>
    </row>
    <row r="279" spans="1:27" x14ac:dyDescent="0.3">
      <c r="A279">
        <v>1002</v>
      </c>
      <c r="B279">
        <v>25</v>
      </c>
      <c r="C279">
        <v>2</v>
      </c>
      <c r="D279">
        <v>0</v>
      </c>
      <c r="E279">
        <v>0</v>
      </c>
      <c r="F279" t="s">
        <v>1043</v>
      </c>
      <c r="G279" s="101">
        <v>46233</v>
      </c>
      <c r="H279" t="s">
        <v>216</v>
      </c>
      <c r="I279" t="s">
        <v>445</v>
      </c>
      <c r="J279" t="s">
        <v>442</v>
      </c>
      <c r="K279" t="s">
        <v>382</v>
      </c>
      <c r="L279" s="39">
        <v>0.37362268518518521</v>
      </c>
      <c r="M279" s="39">
        <v>0.77038194444444441</v>
      </c>
      <c r="N279">
        <v>9.52</v>
      </c>
      <c r="O279" t="s">
        <v>1070</v>
      </c>
      <c r="P279">
        <v>0</v>
      </c>
      <c r="Q279" t="s">
        <v>1071</v>
      </c>
      <c r="R279">
        <v>0.99</v>
      </c>
      <c r="S279">
        <v>0.99</v>
      </c>
      <c r="T279" t="s">
        <v>446</v>
      </c>
      <c r="U279" t="s">
        <v>108</v>
      </c>
      <c r="V279" s="101">
        <v>46233</v>
      </c>
      <c r="W279">
        <v>1</v>
      </c>
      <c r="X279">
        <v>1</v>
      </c>
      <c r="Y279">
        <v>0</v>
      </c>
      <c r="Z279">
        <v>0</v>
      </c>
      <c r="AA279">
        <v>0</v>
      </c>
    </row>
    <row r="280" spans="1:27" x14ac:dyDescent="0.3">
      <c r="A280">
        <v>1002</v>
      </c>
      <c r="B280">
        <v>25</v>
      </c>
      <c r="C280">
        <v>2</v>
      </c>
      <c r="D280">
        <v>0</v>
      </c>
      <c r="E280">
        <v>0</v>
      </c>
      <c r="F280" t="s">
        <v>1043</v>
      </c>
      <c r="G280" s="101">
        <v>46234</v>
      </c>
      <c r="H280" t="s">
        <v>216</v>
      </c>
      <c r="I280" t="s">
        <v>445</v>
      </c>
      <c r="J280" t="s">
        <v>442</v>
      </c>
      <c r="K280" t="s">
        <v>382</v>
      </c>
      <c r="L280" s="39">
        <v>0.37377314814814816</v>
      </c>
      <c r="M280" s="39">
        <v>0.77008101851851851</v>
      </c>
      <c r="N280">
        <v>9.51</v>
      </c>
      <c r="O280" t="s">
        <v>772</v>
      </c>
      <c r="P280">
        <v>0</v>
      </c>
      <c r="Q280" t="s">
        <v>1072</v>
      </c>
      <c r="R280">
        <v>0.98</v>
      </c>
      <c r="S280">
        <v>0.98</v>
      </c>
      <c r="T280" t="s">
        <v>446</v>
      </c>
      <c r="U280" t="s">
        <v>108</v>
      </c>
      <c r="V280" s="101">
        <v>46234</v>
      </c>
      <c r="W280">
        <v>1</v>
      </c>
      <c r="X280">
        <v>1</v>
      </c>
      <c r="Y280">
        <v>0</v>
      </c>
      <c r="Z280">
        <v>0</v>
      </c>
      <c r="AA280">
        <v>0</v>
      </c>
    </row>
    <row r="281" spans="1:27" x14ac:dyDescent="0.3">
      <c r="A281">
        <v>1004</v>
      </c>
      <c r="B281">
        <v>27</v>
      </c>
      <c r="C281">
        <v>0</v>
      </c>
      <c r="D281">
        <v>0</v>
      </c>
      <c r="E281">
        <v>0</v>
      </c>
      <c r="F281" t="s">
        <v>1020</v>
      </c>
      <c r="G281" s="101">
        <v>46204</v>
      </c>
      <c r="H281" t="s">
        <v>220</v>
      </c>
      <c r="I281" t="s">
        <v>441</v>
      </c>
      <c r="J281" t="s">
        <v>442</v>
      </c>
      <c r="K281" t="s">
        <v>382</v>
      </c>
      <c r="L281" s="39">
        <v>0.37055555555555558</v>
      </c>
      <c r="M281" s="39">
        <v>0.72701388888888885</v>
      </c>
      <c r="N281">
        <v>8.56</v>
      </c>
      <c r="O281" t="s">
        <v>917</v>
      </c>
      <c r="P281">
        <v>0</v>
      </c>
      <c r="Q281" t="s">
        <v>419</v>
      </c>
      <c r="R281">
        <v>0</v>
      </c>
      <c r="S281">
        <v>0</v>
      </c>
      <c r="T281" t="s">
        <v>448</v>
      </c>
      <c r="U281" t="s">
        <v>108</v>
      </c>
      <c r="V281" s="101">
        <v>46204</v>
      </c>
      <c r="W281">
        <v>1</v>
      </c>
      <c r="X281">
        <v>1</v>
      </c>
      <c r="Y281">
        <v>0</v>
      </c>
      <c r="Z281">
        <v>0</v>
      </c>
      <c r="AA281">
        <v>0</v>
      </c>
    </row>
    <row r="282" spans="1:27" x14ac:dyDescent="0.3">
      <c r="A282">
        <v>1004</v>
      </c>
      <c r="B282">
        <v>27</v>
      </c>
      <c r="C282">
        <v>0</v>
      </c>
      <c r="D282">
        <v>0</v>
      </c>
      <c r="E282">
        <v>0</v>
      </c>
      <c r="F282" t="s">
        <v>1020</v>
      </c>
      <c r="G282" s="101">
        <v>46205</v>
      </c>
      <c r="H282" t="s">
        <v>220</v>
      </c>
      <c r="I282" t="s">
        <v>441</v>
      </c>
      <c r="J282" t="s">
        <v>442</v>
      </c>
      <c r="K282" t="s">
        <v>382</v>
      </c>
      <c r="L282" s="39">
        <v>0.3747685185185185</v>
      </c>
      <c r="M282" s="39">
        <v>0.72644675925925928</v>
      </c>
      <c r="N282">
        <v>8.44</v>
      </c>
      <c r="O282" t="s">
        <v>1073</v>
      </c>
      <c r="P282">
        <v>0</v>
      </c>
      <c r="Q282" t="s">
        <v>675</v>
      </c>
      <c r="R282">
        <v>0</v>
      </c>
      <c r="S282">
        <v>0</v>
      </c>
      <c r="T282" t="s">
        <v>448</v>
      </c>
      <c r="U282" t="s">
        <v>108</v>
      </c>
      <c r="V282" s="101">
        <v>46205</v>
      </c>
      <c r="W282">
        <v>1</v>
      </c>
      <c r="X282">
        <v>1</v>
      </c>
      <c r="Y282">
        <v>0</v>
      </c>
      <c r="Z282">
        <v>0</v>
      </c>
      <c r="AA282">
        <v>0</v>
      </c>
    </row>
    <row r="283" spans="1:27" x14ac:dyDescent="0.3">
      <c r="A283">
        <v>1004</v>
      </c>
      <c r="B283">
        <v>27</v>
      </c>
      <c r="C283">
        <v>0</v>
      </c>
      <c r="D283">
        <v>0</v>
      </c>
      <c r="E283">
        <v>0</v>
      </c>
      <c r="F283" t="s">
        <v>1020</v>
      </c>
      <c r="G283" s="101">
        <v>46206</v>
      </c>
      <c r="H283" t="s">
        <v>220</v>
      </c>
      <c r="I283" t="s">
        <v>441</v>
      </c>
      <c r="J283" t="s">
        <v>442</v>
      </c>
      <c r="K283" t="s">
        <v>382</v>
      </c>
      <c r="L283" s="39">
        <v>0.3699189814814815</v>
      </c>
      <c r="M283" s="39">
        <v>0.7280092592592593</v>
      </c>
      <c r="N283">
        <v>8.59</v>
      </c>
      <c r="O283" t="s">
        <v>432</v>
      </c>
      <c r="P283">
        <v>0</v>
      </c>
      <c r="Q283" t="s">
        <v>1074</v>
      </c>
      <c r="R283">
        <v>0</v>
      </c>
      <c r="S283">
        <v>0</v>
      </c>
      <c r="T283" t="s">
        <v>448</v>
      </c>
      <c r="U283" t="s">
        <v>108</v>
      </c>
      <c r="V283" s="101">
        <v>46206</v>
      </c>
      <c r="W283">
        <v>1</v>
      </c>
      <c r="X283">
        <v>1</v>
      </c>
      <c r="Y283">
        <v>0</v>
      </c>
      <c r="Z283">
        <v>0</v>
      </c>
      <c r="AA283">
        <v>0</v>
      </c>
    </row>
    <row r="284" spans="1:27" x14ac:dyDescent="0.3">
      <c r="A284">
        <v>1004</v>
      </c>
      <c r="B284">
        <v>27</v>
      </c>
      <c r="C284">
        <v>0</v>
      </c>
      <c r="D284">
        <v>0</v>
      </c>
      <c r="E284">
        <v>0</v>
      </c>
      <c r="F284" t="s">
        <v>1020</v>
      </c>
      <c r="G284" s="101">
        <v>46207</v>
      </c>
      <c r="H284" t="s">
        <v>220</v>
      </c>
      <c r="I284" t="s">
        <v>441</v>
      </c>
      <c r="J284" t="s">
        <v>442</v>
      </c>
      <c r="K284" t="s">
        <v>382</v>
      </c>
      <c r="L284" s="39">
        <v>0.36868055555555557</v>
      </c>
      <c r="M284" s="39">
        <v>0.72653935185185181</v>
      </c>
      <c r="N284">
        <v>8.59</v>
      </c>
      <c r="O284" t="s">
        <v>1075</v>
      </c>
      <c r="P284">
        <v>0</v>
      </c>
      <c r="Q284" t="s">
        <v>1076</v>
      </c>
      <c r="R284">
        <v>0</v>
      </c>
      <c r="S284">
        <v>0</v>
      </c>
      <c r="T284" t="s">
        <v>448</v>
      </c>
      <c r="U284" t="s">
        <v>108</v>
      </c>
      <c r="V284" s="101">
        <v>46207</v>
      </c>
      <c r="W284">
        <v>1</v>
      </c>
      <c r="X284">
        <v>1</v>
      </c>
      <c r="Y284">
        <v>0</v>
      </c>
      <c r="Z284">
        <v>0</v>
      </c>
      <c r="AA284">
        <v>0</v>
      </c>
    </row>
    <row r="285" spans="1:27" x14ac:dyDescent="0.3">
      <c r="A285">
        <v>1004</v>
      </c>
      <c r="B285">
        <v>27</v>
      </c>
      <c r="C285">
        <v>0</v>
      </c>
      <c r="D285">
        <v>0</v>
      </c>
      <c r="E285">
        <v>0</v>
      </c>
      <c r="F285" t="s">
        <v>1020</v>
      </c>
      <c r="G285" s="101">
        <v>46208</v>
      </c>
      <c r="H285" t="s">
        <v>220</v>
      </c>
      <c r="I285" t="s">
        <v>441</v>
      </c>
      <c r="J285" t="s">
        <v>442</v>
      </c>
      <c r="K285" t="s">
        <v>383</v>
      </c>
      <c r="L285" s="39">
        <v>0</v>
      </c>
      <c r="M285" s="39">
        <v>0</v>
      </c>
      <c r="N285">
        <v>0</v>
      </c>
      <c r="O285" t="s">
        <v>384</v>
      </c>
      <c r="P285">
        <v>9</v>
      </c>
      <c r="Q285" t="s">
        <v>385</v>
      </c>
      <c r="R285">
        <v>0</v>
      </c>
      <c r="S285">
        <v>9</v>
      </c>
      <c r="T285" t="s">
        <v>448</v>
      </c>
      <c r="U285" t="s">
        <v>366</v>
      </c>
      <c r="V285" s="101">
        <v>46208</v>
      </c>
      <c r="W285">
        <v>0</v>
      </c>
      <c r="X285">
        <v>0</v>
      </c>
      <c r="Y285">
        <v>0</v>
      </c>
      <c r="Z285">
        <v>0</v>
      </c>
      <c r="AA285">
        <v>0</v>
      </c>
    </row>
    <row r="286" spans="1:27" x14ac:dyDescent="0.3">
      <c r="A286">
        <v>1004</v>
      </c>
      <c r="B286">
        <v>27</v>
      </c>
      <c r="C286">
        <v>0</v>
      </c>
      <c r="D286">
        <v>0</v>
      </c>
      <c r="E286">
        <v>0</v>
      </c>
      <c r="F286" t="s">
        <v>1020</v>
      </c>
      <c r="G286" s="101">
        <v>46209</v>
      </c>
      <c r="H286" t="s">
        <v>220</v>
      </c>
      <c r="I286" t="s">
        <v>441</v>
      </c>
      <c r="J286" t="s">
        <v>442</v>
      </c>
      <c r="K286" t="s">
        <v>382</v>
      </c>
      <c r="L286" s="39">
        <v>0.37612268518518521</v>
      </c>
      <c r="M286" s="39">
        <v>0.72722222222222221</v>
      </c>
      <c r="N286">
        <v>8.43</v>
      </c>
      <c r="O286" t="s">
        <v>1077</v>
      </c>
      <c r="P286">
        <v>0</v>
      </c>
      <c r="Q286" t="s">
        <v>701</v>
      </c>
      <c r="R286">
        <v>0</v>
      </c>
      <c r="S286">
        <v>0</v>
      </c>
      <c r="T286" t="s">
        <v>448</v>
      </c>
      <c r="U286" t="s">
        <v>108</v>
      </c>
      <c r="V286" s="101">
        <v>46209</v>
      </c>
      <c r="W286">
        <v>1</v>
      </c>
      <c r="X286">
        <v>1</v>
      </c>
      <c r="Y286">
        <v>0</v>
      </c>
      <c r="Z286">
        <v>0</v>
      </c>
      <c r="AA286">
        <v>0</v>
      </c>
    </row>
    <row r="287" spans="1:27" x14ac:dyDescent="0.3">
      <c r="A287">
        <v>1004</v>
      </c>
      <c r="B287">
        <v>27</v>
      </c>
      <c r="C287">
        <v>0</v>
      </c>
      <c r="D287">
        <v>0</v>
      </c>
      <c r="E287">
        <v>0</v>
      </c>
      <c r="F287" t="s">
        <v>1020</v>
      </c>
      <c r="G287" s="101">
        <v>46210</v>
      </c>
      <c r="H287" t="s">
        <v>220</v>
      </c>
      <c r="I287" t="s">
        <v>441</v>
      </c>
      <c r="J287" t="s">
        <v>442</v>
      </c>
      <c r="K287" t="s">
        <v>382</v>
      </c>
      <c r="L287" s="39">
        <v>0.3721875</v>
      </c>
      <c r="M287" s="39">
        <v>0.76798611111111115</v>
      </c>
      <c r="N287">
        <v>9.5</v>
      </c>
      <c r="O287" t="s">
        <v>565</v>
      </c>
      <c r="P287">
        <v>0</v>
      </c>
      <c r="Q287" t="s">
        <v>587</v>
      </c>
      <c r="R287">
        <v>0.93</v>
      </c>
      <c r="S287">
        <v>0.93</v>
      </c>
      <c r="T287" t="s">
        <v>448</v>
      </c>
      <c r="U287" t="s">
        <v>108</v>
      </c>
      <c r="V287" s="101">
        <v>46210</v>
      </c>
      <c r="W287">
        <v>1</v>
      </c>
      <c r="X287">
        <v>1</v>
      </c>
      <c r="Y287">
        <v>0</v>
      </c>
      <c r="Z287">
        <v>0</v>
      </c>
      <c r="AA287">
        <v>0</v>
      </c>
    </row>
    <row r="288" spans="1:27" x14ac:dyDescent="0.3">
      <c r="A288">
        <v>1004</v>
      </c>
      <c r="B288">
        <v>27</v>
      </c>
      <c r="C288">
        <v>0</v>
      </c>
      <c r="D288">
        <v>0</v>
      </c>
      <c r="E288">
        <v>0</v>
      </c>
      <c r="F288" t="s">
        <v>1020</v>
      </c>
      <c r="G288" s="101">
        <v>46211</v>
      </c>
      <c r="H288" t="s">
        <v>220</v>
      </c>
      <c r="I288" t="s">
        <v>441</v>
      </c>
      <c r="J288" t="s">
        <v>442</v>
      </c>
      <c r="K288" t="s">
        <v>382</v>
      </c>
      <c r="L288" s="39">
        <v>0.37202546296296296</v>
      </c>
      <c r="M288" s="39">
        <v>0.7680555555555556</v>
      </c>
      <c r="N288">
        <v>9.5</v>
      </c>
      <c r="O288" t="s">
        <v>649</v>
      </c>
      <c r="P288">
        <v>0</v>
      </c>
      <c r="Q288" t="s">
        <v>1078</v>
      </c>
      <c r="R288">
        <v>0.93</v>
      </c>
      <c r="S288">
        <v>0.93</v>
      </c>
      <c r="T288" t="s">
        <v>448</v>
      </c>
      <c r="U288" t="s">
        <v>108</v>
      </c>
      <c r="V288" s="101">
        <v>46211</v>
      </c>
      <c r="W288">
        <v>1</v>
      </c>
      <c r="X288">
        <v>1</v>
      </c>
      <c r="Y288">
        <v>0</v>
      </c>
      <c r="Z288">
        <v>0</v>
      </c>
      <c r="AA288">
        <v>0</v>
      </c>
    </row>
    <row r="289" spans="1:27" x14ac:dyDescent="0.3">
      <c r="A289">
        <v>1004</v>
      </c>
      <c r="B289">
        <v>27</v>
      </c>
      <c r="C289">
        <v>0</v>
      </c>
      <c r="D289">
        <v>0</v>
      </c>
      <c r="E289">
        <v>0</v>
      </c>
      <c r="F289" t="s">
        <v>1020</v>
      </c>
      <c r="G289" s="101">
        <v>46212</v>
      </c>
      <c r="H289" t="s">
        <v>220</v>
      </c>
      <c r="I289" t="s">
        <v>441</v>
      </c>
      <c r="J289" t="s">
        <v>442</v>
      </c>
      <c r="K289" t="s">
        <v>382</v>
      </c>
      <c r="L289" s="39">
        <v>0.37184027777777778</v>
      </c>
      <c r="M289" s="39">
        <v>0.76833333333333331</v>
      </c>
      <c r="N289">
        <v>9.52</v>
      </c>
      <c r="O289" t="s">
        <v>437</v>
      </c>
      <c r="P289">
        <v>0</v>
      </c>
      <c r="Q289" t="s">
        <v>1079</v>
      </c>
      <c r="R289">
        <v>0.94</v>
      </c>
      <c r="S289">
        <v>0.94</v>
      </c>
      <c r="T289" t="s">
        <v>448</v>
      </c>
      <c r="U289" t="s">
        <v>108</v>
      </c>
      <c r="V289" s="101">
        <v>46212</v>
      </c>
      <c r="W289">
        <v>1</v>
      </c>
      <c r="X289">
        <v>1</v>
      </c>
      <c r="Y289">
        <v>0</v>
      </c>
      <c r="Z289">
        <v>0</v>
      </c>
      <c r="AA289">
        <v>0</v>
      </c>
    </row>
    <row r="290" spans="1:27" x14ac:dyDescent="0.3">
      <c r="A290">
        <v>1004</v>
      </c>
      <c r="B290">
        <v>27</v>
      </c>
      <c r="C290">
        <v>0</v>
      </c>
      <c r="D290">
        <v>0</v>
      </c>
      <c r="E290">
        <v>0</v>
      </c>
      <c r="F290" t="s">
        <v>1020</v>
      </c>
      <c r="G290" s="101">
        <v>46213</v>
      </c>
      <c r="H290" t="s">
        <v>220</v>
      </c>
      <c r="I290" t="s">
        <v>441</v>
      </c>
      <c r="J290" t="s">
        <v>442</v>
      </c>
      <c r="K290" t="s">
        <v>382</v>
      </c>
      <c r="L290" s="39">
        <v>0.37322916666666667</v>
      </c>
      <c r="M290" s="39">
        <v>0.76818287037037036</v>
      </c>
      <c r="N290">
        <v>9.48</v>
      </c>
      <c r="O290" t="s">
        <v>775</v>
      </c>
      <c r="P290">
        <v>0</v>
      </c>
      <c r="Q290" t="s">
        <v>1080</v>
      </c>
      <c r="R290">
        <v>0.94</v>
      </c>
      <c r="S290">
        <v>0.94</v>
      </c>
      <c r="T290" t="s">
        <v>448</v>
      </c>
      <c r="U290" t="s">
        <v>108</v>
      </c>
      <c r="V290" s="101">
        <v>46213</v>
      </c>
      <c r="W290">
        <v>1</v>
      </c>
      <c r="X290">
        <v>1</v>
      </c>
      <c r="Y290">
        <v>0</v>
      </c>
      <c r="Z290">
        <v>0</v>
      </c>
      <c r="AA290">
        <v>0</v>
      </c>
    </row>
    <row r="291" spans="1:27" x14ac:dyDescent="0.3">
      <c r="A291">
        <v>1004</v>
      </c>
      <c r="B291">
        <v>27</v>
      </c>
      <c r="C291">
        <v>0</v>
      </c>
      <c r="D291">
        <v>0</v>
      </c>
      <c r="E291">
        <v>0</v>
      </c>
      <c r="F291" t="s">
        <v>1020</v>
      </c>
      <c r="G291" s="101">
        <v>46214</v>
      </c>
      <c r="H291" t="s">
        <v>220</v>
      </c>
      <c r="I291" t="s">
        <v>441</v>
      </c>
      <c r="J291" t="s">
        <v>442</v>
      </c>
      <c r="K291" t="s">
        <v>382</v>
      </c>
      <c r="L291" s="39">
        <v>0.36902777777777779</v>
      </c>
      <c r="M291" s="39">
        <v>0.76815972222222217</v>
      </c>
      <c r="N291">
        <v>9.58</v>
      </c>
      <c r="O291" t="s">
        <v>600</v>
      </c>
      <c r="P291">
        <v>0</v>
      </c>
      <c r="Q291" t="s">
        <v>1081</v>
      </c>
      <c r="R291">
        <v>0.94</v>
      </c>
      <c r="S291">
        <v>0.94</v>
      </c>
      <c r="T291" t="s">
        <v>448</v>
      </c>
      <c r="U291" t="s">
        <v>108</v>
      </c>
      <c r="V291" s="101">
        <v>46214</v>
      </c>
      <c r="W291">
        <v>1</v>
      </c>
      <c r="X291">
        <v>1</v>
      </c>
      <c r="Y291">
        <v>0</v>
      </c>
      <c r="Z291">
        <v>0</v>
      </c>
      <c r="AA291">
        <v>0</v>
      </c>
    </row>
    <row r="292" spans="1:27" x14ac:dyDescent="0.3">
      <c r="A292">
        <v>1004</v>
      </c>
      <c r="B292">
        <v>27</v>
      </c>
      <c r="C292">
        <v>0</v>
      </c>
      <c r="D292">
        <v>0</v>
      </c>
      <c r="E292">
        <v>0</v>
      </c>
      <c r="F292" t="s">
        <v>1020</v>
      </c>
      <c r="G292" s="101">
        <v>46215</v>
      </c>
      <c r="H292" t="s">
        <v>220</v>
      </c>
      <c r="I292" t="s">
        <v>441</v>
      </c>
      <c r="J292" t="s">
        <v>442</v>
      </c>
      <c r="K292" t="s">
        <v>383</v>
      </c>
      <c r="L292" s="39">
        <v>0</v>
      </c>
      <c r="M292" s="39">
        <v>0</v>
      </c>
      <c r="N292">
        <v>0</v>
      </c>
      <c r="O292" t="s">
        <v>384</v>
      </c>
      <c r="P292">
        <v>9</v>
      </c>
      <c r="Q292" t="s">
        <v>385</v>
      </c>
      <c r="R292">
        <v>0</v>
      </c>
      <c r="S292">
        <v>9</v>
      </c>
      <c r="T292" t="s">
        <v>448</v>
      </c>
      <c r="U292" t="s">
        <v>366</v>
      </c>
      <c r="V292" s="101">
        <v>46215</v>
      </c>
      <c r="W292">
        <v>0</v>
      </c>
      <c r="X292">
        <v>0</v>
      </c>
      <c r="Y292">
        <v>0</v>
      </c>
      <c r="Z292">
        <v>0</v>
      </c>
      <c r="AA292">
        <v>0</v>
      </c>
    </row>
    <row r="293" spans="1:27" x14ac:dyDescent="0.3">
      <c r="A293">
        <v>1004</v>
      </c>
      <c r="B293">
        <v>27</v>
      </c>
      <c r="C293">
        <v>0</v>
      </c>
      <c r="D293">
        <v>0</v>
      </c>
      <c r="E293">
        <v>0</v>
      </c>
      <c r="F293" t="s">
        <v>1020</v>
      </c>
      <c r="G293" s="101">
        <v>46216</v>
      </c>
      <c r="H293" t="s">
        <v>220</v>
      </c>
      <c r="I293" t="s">
        <v>441</v>
      </c>
      <c r="J293" t="s">
        <v>442</v>
      </c>
      <c r="K293" t="s">
        <v>382</v>
      </c>
      <c r="L293" s="39">
        <v>0.36596064814814816</v>
      </c>
      <c r="M293" s="39">
        <v>0.76829861111111108</v>
      </c>
      <c r="N293">
        <v>9.66</v>
      </c>
      <c r="O293" t="s">
        <v>1082</v>
      </c>
      <c r="P293">
        <v>0</v>
      </c>
      <c r="Q293" t="s">
        <v>1083</v>
      </c>
      <c r="R293">
        <v>0.94</v>
      </c>
      <c r="S293">
        <v>0.94</v>
      </c>
      <c r="T293" t="s">
        <v>448</v>
      </c>
      <c r="U293" t="s">
        <v>108</v>
      </c>
      <c r="V293" s="101">
        <v>46216</v>
      </c>
      <c r="W293">
        <v>1</v>
      </c>
      <c r="X293">
        <v>1</v>
      </c>
      <c r="Y293">
        <v>0</v>
      </c>
      <c r="Z293">
        <v>0</v>
      </c>
      <c r="AA293">
        <v>0</v>
      </c>
    </row>
    <row r="294" spans="1:27" x14ac:dyDescent="0.3">
      <c r="A294">
        <v>1004</v>
      </c>
      <c r="B294">
        <v>27</v>
      </c>
      <c r="C294">
        <v>0</v>
      </c>
      <c r="D294">
        <v>0</v>
      </c>
      <c r="E294">
        <v>0</v>
      </c>
      <c r="F294" t="s">
        <v>1020</v>
      </c>
      <c r="G294" s="101">
        <v>46217</v>
      </c>
      <c r="H294" t="s">
        <v>220</v>
      </c>
      <c r="I294" t="s">
        <v>441</v>
      </c>
      <c r="J294" t="s">
        <v>442</v>
      </c>
      <c r="K294" t="s">
        <v>382</v>
      </c>
      <c r="L294" s="39">
        <v>0.3674884259259259</v>
      </c>
      <c r="M294" s="39">
        <v>0.76848379629629626</v>
      </c>
      <c r="N294">
        <v>9.6199999999999992</v>
      </c>
      <c r="O294" t="s">
        <v>672</v>
      </c>
      <c r="P294">
        <v>0</v>
      </c>
      <c r="Q294" t="s">
        <v>1084</v>
      </c>
      <c r="R294">
        <v>0.94</v>
      </c>
      <c r="S294">
        <v>0.94</v>
      </c>
      <c r="T294" t="s">
        <v>448</v>
      </c>
      <c r="U294" t="s">
        <v>108</v>
      </c>
      <c r="V294" s="101">
        <v>46217</v>
      </c>
      <c r="W294">
        <v>1</v>
      </c>
      <c r="X294">
        <v>1</v>
      </c>
      <c r="Y294">
        <v>0</v>
      </c>
      <c r="Z294">
        <v>0</v>
      </c>
      <c r="AA294">
        <v>0</v>
      </c>
    </row>
    <row r="295" spans="1:27" x14ac:dyDescent="0.3">
      <c r="A295">
        <v>1004</v>
      </c>
      <c r="B295">
        <v>27</v>
      </c>
      <c r="C295">
        <v>0</v>
      </c>
      <c r="D295">
        <v>0</v>
      </c>
      <c r="E295">
        <v>0</v>
      </c>
      <c r="F295" t="s">
        <v>1020</v>
      </c>
      <c r="G295" s="101">
        <v>46218</v>
      </c>
      <c r="H295" t="s">
        <v>220</v>
      </c>
      <c r="I295" t="s">
        <v>441</v>
      </c>
      <c r="J295" t="s">
        <v>442</v>
      </c>
      <c r="K295" t="s">
        <v>382</v>
      </c>
      <c r="L295" s="39">
        <v>0.36993055555555554</v>
      </c>
      <c r="M295" s="39">
        <v>0.76869212962962963</v>
      </c>
      <c r="N295">
        <v>9.57</v>
      </c>
      <c r="O295" t="s">
        <v>949</v>
      </c>
      <c r="P295">
        <v>0</v>
      </c>
      <c r="Q295" t="s">
        <v>524</v>
      </c>
      <c r="R295">
        <v>0.95</v>
      </c>
      <c r="S295">
        <v>0.95</v>
      </c>
      <c r="T295" t="s">
        <v>448</v>
      </c>
      <c r="U295" t="s">
        <v>108</v>
      </c>
      <c r="V295" s="101">
        <v>46218</v>
      </c>
      <c r="W295">
        <v>1</v>
      </c>
      <c r="X295">
        <v>1</v>
      </c>
      <c r="Y295">
        <v>0</v>
      </c>
      <c r="Z295">
        <v>0</v>
      </c>
      <c r="AA295">
        <v>0</v>
      </c>
    </row>
    <row r="296" spans="1:27" x14ac:dyDescent="0.3">
      <c r="A296">
        <v>1004</v>
      </c>
      <c r="B296">
        <v>27</v>
      </c>
      <c r="C296">
        <v>0</v>
      </c>
      <c r="D296">
        <v>0</v>
      </c>
      <c r="E296">
        <v>0</v>
      </c>
      <c r="F296" t="s">
        <v>1020</v>
      </c>
      <c r="G296" s="101">
        <v>46219</v>
      </c>
      <c r="H296" t="s">
        <v>220</v>
      </c>
      <c r="I296" t="s">
        <v>441</v>
      </c>
      <c r="J296" t="s">
        <v>442</v>
      </c>
      <c r="K296" t="s">
        <v>382</v>
      </c>
      <c r="L296" s="39">
        <v>0.36756944444444445</v>
      </c>
      <c r="M296" s="39">
        <v>0.76842592592592596</v>
      </c>
      <c r="N296">
        <v>9.6199999999999992</v>
      </c>
      <c r="O296" t="s">
        <v>608</v>
      </c>
      <c r="P296">
        <v>0</v>
      </c>
      <c r="Q296" t="s">
        <v>1085</v>
      </c>
      <c r="R296">
        <v>0.94</v>
      </c>
      <c r="S296">
        <v>0.94</v>
      </c>
      <c r="T296" t="s">
        <v>448</v>
      </c>
      <c r="U296" t="s">
        <v>108</v>
      </c>
      <c r="V296" s="101">
        <v>46219</v>
      </c>
      <c r="W296">
        <v>1</v>
      </c>
      <c r="X296">
        <v>1</v>
      </c>
      <c r="Y296">
        <v>0</v>
      </c>
      <c r="Z296">
        <v>0</v>
      </c>
      <c r="AA296">
        <v>0</v>
      </c>
    </row>
    <row r="297" spans="1:27" x14ac:dyDescent="0.3">
      <c r="A297">
        <v>1004</v>
      </c>
      <c r="B297">
        <v>27</v>
      </c>
      <c r="C297">
        <v>0</v>
      </c>
      <c r="D297">
        <v>0</v>
      </c>
      <c r="E297">
        <v>0</v>
      </c>
      <c r="F297" t="s">
        <v>1020</v>
      </c>
      <c r="G297" s="101">
        <v>46220</v>
      </c>
      <c r="H297" t="s">
        <v>220</v>
      </c>
      <c r="I297" t="s">
        <v>441</v>
      </c>
      <c r="J297" t="s">
        <v>442</v>
      </c>
      <c r="K297" t="s">
        <v>382</v>
      </c>
      <c r="L297" s="39">
        <v>0.37200231481481483</v>
      </c>
      <c r="M297" s="39">
        <v>0.76815972222222217</v>
      </c>
      <c r="N297">
        <v>9.51</v>
      </c>
      <c r="O297" t="s">
        <v>1086</v>
      </c>
      <c r="P297">
        <v>0</v>
      </c>
      <c r="Q297" t="s">
        <v>1081</v>
      </c>
      <c r="R297">
        <v>0.94</v>
      </c>
      <c r="S297">
        <v>0.94</v>
      </c>
      <c r="T297" t="s">
        <v>448</v>
      </c>
      <c r="U297" t="s">
        <v>108</v>
      </c>
      <c r="V297" s="101">
        <v>46220</v>
      </c>
      <c r="W297">
        <v>1</v>
      </c>
      <c r="X297">
        <v>1</v>
      </c>
      <c r="Y297">
        <v>0</v>
      </c>
      <c r="Z297">
        <v>0</v>
      </c>
      <c r="AA297">
        <v>0</v>
      </c>
    </row>
    <row r="298" spans="1:27" x14ac:dyDescent="0.3">
      <c r="A298">
        <v>1004</v>
      </c>
      <c r="B298">
        <v>27</v>
      </c>
      <c r="C298">
        <v>0</v>
      </c>
      <c r="D298">
        <v>0</v>
      </c>
      <c r="E298">
        <v>0</v>
      </c>
      <c r="F298" t="s">
        <v>1020</v>
      </c>
      <c r="G298" s="101">
        <v>46221</v>
      </c>
      <c r="H298" t="s">
        <v>220</v>
      </c>
      <c r="I298" t="s">
        <v>441</v>
      </c>
      <c r="J298" t="s">
        <v>442</v>
      </c>
      <c r="K298" t="s">
        <v>382</v>
      </c>
      <c r="L298" s="39">
        <v>0.37177083333333333</v>
      </c>
      <c r="M298" s="39">
        <v>0.72803240740740738</v>
      </c>
      <c r="N298">
        <v>8.5500000000000007</v>
      </c>
      <c r="O298" t="s">
        <v>1087</v>
      </c>
      <c r="P298">
        <v>0</v>
      </c>
      <c r="Q298" t="s">
        <v>698</v>
      </c>
      <c r="R298">
        <v>0</v>
      </c>
      <c r="S298">
        <v>0</v>
      </c>
      <c r="T298" t="s">
        <v>448</v>
      </c>
      <c r="U298" t="s">
        <v>108</v>
      </c>
      <c r="V298" s="101">
        <v>46221</v>
      </c>
      <c r="W298">
        <v>1</v>
      </c>
      <c r="X298">
        <v>1</v>
      </c>
      <c r="Y298">
        <v>0</v>
      </c>
      <c r="Z298">
        <v>0</v>
      </c>
      <c r="AA298">
        <v>0</v>
      </c>
    </row>
    <row r="299" spans="1:27" x14ac:dyDescent="0.3">
      <c r="A299">
        <v>1004</v>
      </c>
      <c r="B299">
        <v>27</v>
      </c>
      <c r="C299">
        <v>0</v>
      </c>
      <c r="D299">
        <v>0</v>
      </c>
      <c r="E299">
        <v>0</v>
      </c>
      <c r="F299" t="s">
        <v>1020</v>
      </c>
      <c r="G299" s="101">
        <v>46222</v>
      </c>
      <c r="H299" t="s">
        <v>220</v>
      </c>
      <c r="I299" t="s">
        <v>441</v>
      </c>
      <c r="J299" t="s">
        <v>442</v>
      </c>
      <c r="K299" t="s">
        <v>383</v>
      </c>
      <c r="L299" s="39">
        <v>0</v>
      </c>
      <c r="M299" s="39">
        <v>0</v>
      </c>
      <c r="N299">
        <v>0</v>
      </c>
      <c r="O299" t="s">
        <v>384</v>
      </c>
      <c r="P299">
        <v>9</v>
      </c>
      <c r="Q299" t="s">
        <v>385</v>
      </c>
      <c r="R299">
        <v>0</v>
      </c>
      <c r="S299">
        <v>9</v>
      </c>
      <c r="T299" t="s">
        <v>448</v>
      </c>
      <c r="U299" t="s">
        <v>366</v>
      </c>
      <c r="V299" s="101">
        <v>46222</v>
      </c>
      <c r="W299">
        <v>0</v>
      </c>
      <c r="X299">
        <v>0</v>
      </c>
      <c r="Y299">
        <v>0</v>
      </c>
      <c r="Z299">
        <v>0</v>
      </c>
      <c r="AA299">
        <v>0</v>
      </c>
    </row>
    <row r="300" spans="1:27" x14ac:dyDescent="0.3">
      <c r="A300">
        <v>1004</v>
      </c>
      <c r="B300">
        <v>27</v>
      </c>
      <c r="C300">
        <v>0</v>
      </c>
      <c r="D300">
        <v>0</v>
      </c>
      <c r="E300">
        <v>0</v>
      </c>
      <c r="F300" t="s">
        <v>1020</v>
      </c>
      <c r="G300" s="101">
        <v>46223</v>
      </c>
      <c r="H300" t="s">
        <v>220</v>
      </c>
      <c r="I300" t="s">
        <v>441</v>
      </c>
      <c r="J300" t="s">
        <v>442</v>
      </c>
      <c r="K300" t="s">
        <v>382</v>
      </c>
      <c r="L300" s="39">
        <v>0.37039351851851854</v>
      </c>
      <c r="M300" s="39">
        <v>0.76795138888888892</v>
      </c>
      <c r="N300">
        <v>9.5399999999999991</v>
      </c>
      <c r="O300" t="s">
        <v>1088</v>
      </c>
      <c r="P300">
        <v>0</v>
      </c>
      <c r="Q300" t="s">
        <v>590</v>
      </c>
      <c r="R300">
        <v>0.93</v>
      </c>
      <c r="S300">
        <v>0.93</v>
      </c>
      <c r="T300" t="s">
        <v>448</v>
      </c>
      <c r="U300" t="s">
        <v>108</v>
      </c>
      <c r="V300" s="101">
        <v>46223</v>
      </c>
      <c r="W300">
        <v>1</v>
      </c>
      <c r="X300">
        <v>1</v>
      </c>
      <c r="Y300">
        <v>0</v>
      </c>
      <c r="Z300">
        <v>0</v>
      </c>
      <c r="AA300">
        <v>0</v>
      </c>
    </row>
    <row r="301" spans="1:27" x14ac:dyDescent="0.3">
      <c r="A301">
        <v>1004</v>
      </c>
      <c r="B301">
        <v>27</v>
      </c>
      <c r="C301">
        <v>0</v>
      </c>
      <c r="D301">
        <v>0</v>
      </c>
      <c r="E301">
        <v>0</v>
      </c>
      <c r="F301" t="s">
        <v>1020</v>
      </c>
      <c r="G301" s="101">
        <v>46224</v>
      </c>
      <c r="H301" t="s">
        <v>220</v>
      </c>
      <c r="I301" t="s">
        <v>441</v>
      </c>
      <c r="J301" t="s">
        <v>442</v>
      </c>
      <c r="K301" t="s">
        <v>382</v>
      </c>
      <c r="L301" s="39">
        <v>0.3706712962962963</v>
      </c>
      <c r="M301" s="39">
        <v>0.72721064814814818</v>
      </c>
      <c r="N301">
        <v>8.56</v>
      </c>
      <c r="O301" t="s">
        <v>1089</v>
      </c>
      <c r="P301">
        <v>0</v>
      </c>
      <c r="Q301" t="s">
        <v>563</v>
      </c>
      <c r="R301">
        <v>0</v>
      </c>
      <c r="S301">
        <v>0</v>
      </c>
      <c r="T301" t="s">
        <v>448</v>
      </c>
      <c r="U301" t="s">
        <v>108</v>
      </c>
      <c r="V301" s="101">
        <v>46224</v>
      </c>
      <c r="W301">
        <v>1</v>
      </c>
      <c r="X301">
        <v>1</v>
      </c>
      <c r="Y301">
        <v>0</v>
      </c>
      <c r="Z301">
        <v>0</v>
      </c>
      <c r="AA301">
        <v>0</v>
      </c>
    </row>
    <row r="302" spans="1:27" x14ac:dyDescent="0.3">
      <c r="A302">
        <v>1004</v>
      </c>
      <c r="B302">
        <v>27</v>
      </c>
      <c r="C302">
        <v>0</v>
      </c>
      <c r="D302">
        <v>0</v>
      </c>
      <c r="E302">
        <v>0</v>
      </c>
      <c r="F302" t="s">
        <v>1020</v>
      </c>
      <c r="G302" s="101">
        <v>46225</v>
      </c>
      <c r="H302" t="s">
        <v>220</v>
      </c>
      <c r="I302" t="s">
        <v>441</v>
      </c>
      <c r="J302" t="s">
        <v>442</v>
      </c>
      <c r="K302" t="s">
        <v>382</v>
      </c>
      <c r="L302" s="39">
        <v>0.36869212962962961</v>
      </c>
      <c r="M302" s="39">
        <v>0.76892361111111107</v>
      </c>
      <c r="N302">
        <v>9.61</v>
      </c>
      <c r="O302" t="s">
        <v>1090</v>
      </c>
      <c r="P302">
        <v>0</v>
      </c>
      <c r="Q302" t="s">
        <v>1091</v>
      </c>
      <c r="R302">
        <v>0.95</v>
      </c>
      <c r="S302">
        <v>0.95</v>
      </c>
      <c r="T302" t="s">
        <v>448</v>
      </c>
      <c r="U302" t="s">
        <v>108</v>
      </c>
      <c r="V302" s="101">
        <v>46225</v>
      </c>
      <c r="W302">
        <v>1</v>
      </c>
      <c r="X302">
        <v>1</v>
      </c>
      <c r="Y302">
        <v>0</v>
      </c>
      <c r="Z302">
        <v>0</v>
      </c>
      <c r="AA302">
        <v>0</v>
      </c>
    </row>
    <row r="303" spans="1:27" x14ac:dyDescent="0.3">
      <c r="A303">
        <v>1004</v>
      </c>
      <c r="B303">
        <v>27</v>
      </c>
      <c r="C303">
        <v>0</v>
      </c>
      <c r="D303">
        <v>0</v>
      </c>
      <c r="E303">
        <v>0</v>
      </c>
      <c r="F303" t="s">
        <v>1020</v>
      </c>
      <c r="G303" s="101">
        <v>46226</v>
      </c>
      <c r="H303" t="s">
        <v>220</v>
      </c>
      <c r="I303" t="s">
        <v>441</v>
      </c>
      <c r="J303" t="s">
        <v>442</v>
      </c>
      <c r="K303" t="s">
        <v>382</v>
      </c>
      <c r="L303" s="39">
        <v>0.36834490740740738</v>
      </c>
      <c r="M303" s="39">
        <v>0.76856481481481487</v>
      </c>
      <c r="N303">
        <v>9.61</v>
      </c>
      <c r="O303" t="s">
        <v>1092</v>
      </c>
      <c r="P303">
        <v>0</v>
      </c>
      <c r="Q303" t="s">
        <v>1093</v>
      </c>
      <c r="R303">
        <v>0.95</v>
      </c>
      <c r="S303">
        <v>0.95</v>
      </c>
      <c r="T303" t="s">
        <v>448</v>
      </c>
      <c r="U303" t="s">
        <v>108</v>
      </c>
      <c r="V303" s="101">
        <v>46226</v>
      </c>
      <c r="W303">
        <v>1</v>
      </c>
      <c r="X303">
        <v>1</v>
      </c>
      <c r="Y303">
        <v>0</v>
      </c>
      <c r="Z303">
        <v>0</v>
      </c>
      <c r="AA303">
        <v>0</v>
      </c>
    </row>
    <row r="304" spans="1:27" x14ac:dyDescent="0.3">
      <c r="A304">
        <v>1004</v>
      </c>
      <c r="B304">
        <v>27</v>
      </c>
      <c r="C304">
        <v>0</v>
      </c>
      <c r="D304">
        <v>0</v>
      </c>
      <c r="E304">
        <v>0</v>
      </c>
      <c r="F304" t="s">
        <v>1020</v>
      </c>
      <c r="G304" s="101">
        <v>46227</v>
      </c>
      <c r="H304" t="s">
        <v>220</v>
      </c>
      <c r="I304" t="s">
        <v>441</v>
      </c>
      <c r="J304" t="s">
        <v>442</v>
      </c>
      <c r="K304" t="s">
        <v>382</v>
      </c>
      <c r="L304" s="39">
        <v>0.37263888888888891</v>
      </c>
      <c r="M304" s="39">
        <v>0.76854166666666668</v>
      </c>
      <c r="N304">
        <v>9.5</v>
      </c>
      <c r="O304" t="s">
        <v>689</v>
      </c>
      <c r="P304">
        <v>0</v>
      </c>
      <c r="Q304" t="s">
        <v>1055</v>
      </c>
      <c r="R304">
        <v>0.94</v>
      </c>
      <c r="S304">
        <v>0.94</v>
      </c>
      <c r="T304" t="s">
        <v>448</v>
      </c>
      <c r="U304" t="s">
        <v>108</v>
      </c>
      <c r="V304" s="101">
        <v>46227</v>
      </c>
      <c r="W304">
        <v>1</v>
      </c>
      <c r="X304">
        <v>1</v>
      </c>
      <c r="Y304">
        <v>0</v>
      </c>
      <c r="Z304">
        <v>0</v>
      </c>
      <c r="AA304">
        <v>0</v>
      </c>
    </row>
    <row r="305" spans="1:27" x14ac:dyDescent="0.3">
      <c r="A305">
        <v>1004</v>
      </c>
      <c r="B305">
        <v>27</v>
      </c>
      <c r="C305">
        <v>0</v>
      </c>
      <c r="D305">
        <v>0</v>
      </c>
      <c r="E305">
        <v>0</v>
      </c>
      <c r="F305" t="s">
        <v>1020</v>
      </c>
      <c r="G305" s="101">
        <v>46228</v>
      </c>
      <c r="H305" t="s">
        <v>220</v>
      </c>
      <c r="I305" t="s">
        <v>441</v>
      </c>
      <c r="J305" t="s">
        <v>442</v>
      </c>
      <c r="K305" t="s">
        <v>382</v>
      </c>
      <c r="L305" s="39">
        <v>0.3696990740740741</v>
      </c>
      <c r="M305" s="39">
        <v>0.76773148148148151</v>
      </c>
      <c r="N305">
        <v>9.5500000000000007</v>
      </c>
      <c r="O305" t="s">
        <v>776</v>
      </c>
      <c r="P305">
        <v>0</v>
      </c>
      <c r="Q305" t="s">
        <v>1094</v>
      </c>
      <c r="R305">
        <v>0.93</v>
      </c>
      <c r="S305">
        <v>0.93</v>
      </c>
      <c r="T305" t="s">
        <v>448</v>
      </c>
      <c r="U305" t="s">
        <v>108</v>
      </c>
      <c r="V305" s="101">
        <v>46228</v>
      </c>
      <c r="W305">
        <v>1</v>
      </c>
      <c r="X305">
        <v>1</v>
      </c>
      <c r="Y305">
        <v>0</v>
      </c>
      <c r="Z305">
        <v>0</v>
      </c>
      <c r="AA305">
        <v>0</v>
      </c>
    </row>
    <row r="306" spans="1:27" x14ac:dyDescent="0.3">
      <c r="A306">
        <v>1004</v>
      </c>
      <c r="B306">
        <v>27</v>
      </c>
      <c r="C306">
        <v>0</v>
      </c>
      <c r="D306">
        <v>0</v>
      </c>
      <c r="E306">
        <v>0</v>
      </c>
      <c r="F306" t="s">
        <v>1020</v>
      </c>
      <c r="G306" s="101">
        <v>46229</v>
      </c>
      <c r="H306" t="s">
        <v>220</v>
      </c>
      <c r="I306" t="s">
        <v>441</v>
      </c>
      <c r="J306" t="s">
        <v>442</v>
      </c>
      <c r="K306" t="s">
        <v>383</v>
      </c>
      <c r="L306" s="39">
        <v>0</v>
      </c>
      <c r="M306" s="39">
        <v>0</v>
      </c>
      <c r="N306">
        <v>0</v>
      </c>
      <c r="O306" t="s">
        <v>384</v>
      </c>
      <c r="P306">
        <v>9</v>
      </c>
      <c r="Q306" t="s">
        <v>385</v>
      </c>
      <c r="R306">
        <v>0</v>
      </c>
      <c r="S306">
        <v>9</v>
      </c>
      <c r="T306" t="s">
        <v>448</v>
      </c>
      <c r="U306" t="s">
        <v>366</v>
      </c>
      <c r="V306" s="101">
        <v>46229</v>
      </c>
      <c r="W306">
        <v>0</v>
      </c>
      <c r="X306">
        <v>0</v>
      </c>
      <c r="Y306">
        <v>0</v>
      </c>
      <c r="Z306">
        <v>0</v>
      </c>
      <c r="AA306">
        <v>0</v>
      </c>
    </row>
    <row r="307" spans="1:27" x14ac:dyDescent="0.3">
      <c r="A307">
        <v>1004</v>
      </c>
      <c r="B307">
        <v>27</v>
      </c>
      <c r="C307">
        <v>0</v>
      </c>
      <c r="D307">
        <v>0</v>
      </c>
      <c r="E307">
        <v>0</v>
      </c>
      <c r="F307" t="s">
        <v>1020</v>
      </c>
      <c r="G307" s="101">
        <v>46230</v>
      </c>
      <c r="H307" t="s">
        <v>220</v>
      </c>
      <c r="I307" t="s">
        <v>441</v>
      </c>
      <c r="J307" t="s">
        <v>442</v>
      </c>
      <c r="K307" t="s">
        <v>382</v>
      </c>
      <c r="L307" s="39">
        <v>0.36756944444444445</v>
      </c>
      <c r="M307" s="39">
        <v>0.7689583333333333</v>
      </c>
      <c r="N307">
        <v>9.6300000000000008</v>
      </c>
      <c r="O307" t="s">
        <v>608</v>
      </c>
      <c r="P307">
        <v>0</v>
      </c>
      <c r="Q307" t="s">
        <v>1095</v>
      </c>
      <c r="R307">
        <v>0.96</v>
      </c>
      <c r="S307">
        <v>0.96</v>
      </c>
      <c r="T307" t="s">
        <v>448</v>
      </c>
      <c r="U307" t="s">
        <v>108</v>
      </c>
      <c r="V307" s="101">
        <v>46230</v>
      </c>
      <c r="W307">
        <v>1</v>
      </c>
      <c r="X307">
        <v>1</v>
      </c>
      <c r="Y307">
        <v>0</v>
      </c>
      <c r="Z307">
        <v>0</v>
      </c>
      <c r="AA307">
        <v>0</v>
      </c>
    </row>
    <row r="308" spans="1:27" x14ac:dyDescent="0.3">
      <c r="A308">
        <v>1004</v>
      </c>
      <c r="B308">
        <v>27</v>
      </c>
      <c r="C308">
        <v>0</v>
      </c>
      <c r="D308">
        <v>0</v>
      </c>
      <c r="E308">
        <v>0</v>
      </c>
      <c r="F308" t="s">
        <v>1020</v>
      </c>
      <c r="G308" s="101">
        <v>46231</v>
      </c>
      <c r="H308" t="s">
        <v>220</v>
      </c>
      <c r="I308" t="s">
        <v>441</v>
      </c>
      <c r="J308" t="s">
        <v>442</v>
      </c>
      <c r="K308" t="s">
        <v>382</v>
      </c>
      <c r="L308" s="39">
        <v>0.36730324074074072</v>
      </c>
      <c r="M308" s="39">
        <v>0.76834490740740746</v>
      </c>
      <c r="N308">
        <v>9.6199999999999992</v>
      </c>
      <c r="O308" t="s">
        <v>1096</v>
      </c>
      <c r="P308">
        <v>0</v>
      </c>
      <c r="Q308" t="s">
        <v>470</v>
      </c>
      <c r="R308">
        <v>0.94</v>
      </c>
      <c r="S308">
        <v>0.94</v>
      </c>
      <c r="T308" t="s">
        <v>448</v>
      </c>
      <c r="U308" t="s">
        <v>108</v>
      </c>
      <c r="V308" s="101">
        <v>46231</v>
      </c>
      <c r="W308">
        <v>1</v>
      </c>
      <c r="X308">
        <v>1</v>
      </c>
      <c r="Y308">
        <v>0</v>
      </c>
      <c r="Z308">
        <v>0</v>
      </c>
      <c r="AA308">
        <v>0</v>
      </c>
    </row>
    <row r="309" spans="1:27" x14ac:dyDescent="0.3">
      <c r="A309">
        <v>1004</v>
      </c>
      <c r="B309">
        <v>27</v>
      </c>
      <c r="C309">
        <v>0</v>
      </c>
      <c r="D309">
        <v>0</v>
      </c>
      <c r="E309">
        <v>0</v>
      </c>
      <c r="F309" t="s">
        <v>1020</v>
      </c>
      <c r="G309" s="101">
        <v>46232</v>
      </c>
      <c r="H309" t="s">
        <v>220</v>
      </c>
      <c r="I309" t="s">
        <v>441</v>
      </c>
      <c r="J309" t="s">
        <v>442</v>
      </c>
      <c r="K309" t="s">
        <v>382</v>
      </c>
      <c r="L309" s="39">
        <v>0.36894675925925924</v>
      </c>
      <c r="M309" s="39">
        <v>0.7672106481481481</v>
      </c>
      <c r="N309">
        <v>9.56</v>
      </c>
      <c r="O309" t="s">
        <v>1097</v>
      </c>
      <c r="P309">
        <v>0</v>
      </c>
      <c r="Q309" t="s">
        <v>732</v>
      </c>
      <c r="R309">
        <v>0.91</v>
      </c>
      <c r="S309">
        <v>0.91</v>
      </c>
      <c r="T309" t="s">
        <v>448</v>
      </c>
      <c r="U309" t="s">
        <v>108</v>
      </c>
      <c r="V309" s="101">
        <v>46232</v>
      </c>
      <c r="W309">
        <v>1</v>
      </c>
      <c r="X309">
        <v>1</v>
      </c>
      <c r="Y309">
        <v>0</v>
      </c>
      <c r="Z309">
        <v>0</v>
      </c>
      <c r="AA309">
        <v>0</v>
      </c>
    </row>
    <row r="310" spans="1:27" x14ac:dyDescent="0.3">
      <c r="A310">
        <v>1004</v>
      </c>
      <c r="B310">
        <v>27</v>
      </c>
      <c r="C310">
        <v>0</v>
      </c>
      <c r="D310">
        <v>0</v>
      </c>
      <c r="E310">
        <v>0</v>
      </c>
      <c r="F310" t="s">
        <v>1020</v>
      </c>
      <c r="G310" s="101">
        <v>46233</v>
      </c>
      <c r="H310" t="s">
        <v>220</v>
      </c>
      <c r="I310" t="s">
        <v>441</v>
      </c>
      <c r="J310" t="s">
        <v>442</v>
      </c>
      <c r="K310" t="s">
        <v>382</v>
      </c>
      <c r="L310" s="39">
        <v>0.37031249999999999</v>
      </c>
      <c r="M310" s="39">
        <v>0.76780092592592597</v>
      </c>
      <c r="N310">
        <v>9.5399999999999991</v>
      </c>
      <c r="O310" t="s">
        <v>1098</v>
      </c>
      <c r="P310">
        <v>0</v>
      </c>
      <c r="Q310" t="s">
        <v>1099</v>
      </c>
      <c r="R310">
        <v>0.93</v>
      </c>
      <c r="S310">
        <v>0.93</v>
      </c>
      <c r="T310" t="s">
        <v>448</v>
      </c>
      <c r="U310" t="s">
        <v>108</v>
      </c>
      <c r="V310" s="101">
        <v>46233</v>
      </c>
      <c r="W310">
        <v>1</v>
      </c>
      <c r="X310">
        <v>1</v>
      </c>
      <c r="Y310">
        <v>0</v>
      </c>
      <c r="Z310">
        <v>0</v>
      </c>
      <c r="AA310">
        <v>0</v>
      </c>
    </row>
    <row r="311" spans="1:27" x14ac:dyDescent="0.3">
      <c r="A311">
        <v>1004</v>
      </c>
      <c r="B311">
        <v>27</v>
      </c>
      <c r="C311">
        <v>0</v>
      </c>
      <c r="D311">
        <v>0</v>
      </c>
      <c r="E311">
        <v>0</v>
      </c>
      <c r="F311" t="s">
        <v>1020</v>
      </c>
      <c r="G311" s="101">
        <v>46234</v>
      </c>
      <c r="H311" t="s">
        <v>220</v>
      </c>
      <c r="I311" t="s">
        <v>441</v>
      </c>
      <c r="J311" t="s">
        <v>442</v>
      </c>
      <c r="K311" t="s">
        <v>382</v>
      </c>
      <c r="L311" s="39">
        <v>0.36961805555555555</v>
      </c>
      <c r="M311" s="39">
        <v>0.7674305555555555</v>
      </c>
      <c r="N311">
        <v>9.5500000000000007</v>
      </c>
      <c r="O311" t="s">
        <v>514</v>
      </c>
      <c r="P311">
        <v>0</v>
      </c>
      <c r="Q311" t="s">
        <v>1100</v>
      </c>
      <c r="R311">
        <v>0.92</v>
      </c>
      <c r="S311">
        <v>0.92</v>
      </c>
      <c r="T311" t="s">
        <v>448</v>
      </c>
      <c r="U311" t="s">
        <v>108</v>
      </c>
      <c r="V311" s="101">
        <v>46234</v>
      </c>
      <c r="W311">
        <v>1</v>
      </c>
      <c r="X311">
        <v>1</v>
      </c>
      <c r="Y311">
        <v>0</v>
      </c>
      <c r="Z311">
        <v>0</v>
      </c>
      <c r="AA311">
        <v>0</v>
      </c>
    </row>
    <row r="312" spans="1:27" x14ac:dyDescent="0.3">
      <c r="A312">
        <v>1013</v>
      </c>
      <c r="B312">
        <v>24.5</v>
      </c>
      <c r="C312">
        <v>2.5</v>
      </c>
      <c r="D312">
        <v>0</v>
      </c>
      <c r="E312">
        <v>0</v>
      </c>
      <c r="F312" t="s">
        <v>1101</v>
      </c>
      <c r="G312" s="101">
        <v>46204</v>
      </c>
      <c r="H312" t="s">
        <v>81</v>
      </c>
      <c r="I312" t="s">
        <v>445</v>
      </c>
      <c r="J312" t="s">
        <v>442</v>
      </c>
      <c r="K312" t="s">
        <v>382</v>
      </c>
      <c r="L312" s="39">
        <v>0.3800810185185185</v>
      </c>
      <c r="M312" s="39">
        <v>0.52822916666666664</v>
      </c>
      <c r="N312">
        <v>3.56</v>
      </c>
      <c r="O312" t="s">
        <v>1102</v>
      </c>
      <c r="P312">
        <v>0</v>
      </c>
      <c r="Q312" t="s">
        <v>1103</v>
      </c>
      <c r="R312">
        <v>0</v>
      </c>
      <c r="S312">
        <v>0</v>
      </c>
      <c r="T312" t="s">
        <v>453</v>
      </c>
      <c r="U312" t="s">
        <v>314</v>
      </c>
      <c r="V312" s="101">
        <v>46204</v>
      </c>
      <c r="W312">
        <v>0.5</v>
      </c>
      <c r="X312">
        <v>0.5</v>
      </c>
      <c r="Y312">
        <v>0</v>
      </c>
      <c r="Z312">
        <v>0</v>
      </c>
      <c r="AA312">
        <v>0</v>
      </c>
    </row>
    <row r="313" spans="1:27" x14ac:dyDescent="0.3">
      <c r="A313">
        <v>1013</v>
      </c>
      <c r="B313">
        <v>24.5</v>
      </c>
      <c r="C313">
        <v>2.5</v>
      </c>
      <c r="D313">
        <v>0</v>
      </c>
      <c r="E313">
        <v>0</v>
      </c>
      <c r="F313" t="s">
        <v>1101</v>
      </c>
      <c r="G313" s="101">
        <v>46205</v>
      </c>
      <c r="H313" t="s">
        <v>81</v>
      </c>
      <c r="I313" t="s">
        <v>445</v>
      </c>
      <c r="J313" t="s">
        <v>442</v>
      </c>
      <c r="K313" t="s">
        <v>382</v>
      </c>
      <c r="L313" s="39">
        <v>0.37831018518518517</v>
      </c>
      <c r="M313" s="39">
        <v>0.72956018518518517</v>
      </c>
      <c r="N313">
        <v>8.43</v>
      </c>
      <c r="O313" t="s">
        <v>1104</v>
      </c>
      <c r="P313">
        <v>0</v>
      </c>
      <c r="Q313" t="s">
        <v>688</v>
      </c>
      <c r="R313">
        <v>0</v>
      </c>
      <c r="S313">
        <v>0</v>
      </c>
      <c r="T313" t="s">
        <v>453</v>
      </c>
      <c r="U313" t="s">
        <v>108</v>
      </c>
      <c r="V313" s="101">
        <v>46205</v>
      </c>
      <c r="W313">
        <v>1</v>
      </c>
      <c r="X313">
        <v>1</v>
      </c>
      <c r="Y313">
        <v>0</v>
      </c>
      <c r="Z313">
        <v>0</v>
      </c>
      <c r="AA313">
        <v>0</v>
      </c>
    </row>
    <row r="314" spans="1:27" x14ac:dyDescent="0.3">
      <c r="A314">
        <v>1013</v>
      </c>
      <c r="B314">
        <v>24.5</v>
      </c>
      <c r="C314">
        <v>2.5</v>
      </c>
      <c r="D314">
        <v>0</v>
      </c>
      <c r="E314">
        <v>0</v>
      </c>
      <c r="F314" t="s">
        <v>1101</v>
      </c>
      <c r="G314" s="101">
        <v>46206</v>
      </c>
      <c r="H314" t="s">
        <v>81</v>
      </c>
      <c r="I314" t="s">
        <v>445</v>
      </c>
      <c r="J314" t="s">
        <v>442</v>
      </c>
      <c r="K314" t="s">
        <v>382</v>
      </c>
      <c r="L314" s="39">
        <v>0.37947916666666665</v>
      </c>
      <c r="M314" s="39">
        <v>0.73148148148148151</v>
      </c>
      <c r="N314">
        <v>8.4499999999999993</v>
      </c>
      <c r="O314" t="s">
        <v>1105</v>
      </c>
      <c r="P314">
        <v>0</v>
      </c>
      <c r="Q314" t="s">
        <v>440</v>
      </c>
      <c r="R314">
        <v>0</v>
      </c>
      <c r="S314">
        <v>0</v>
      </c>
      <c r="T314" t="s">
        <v>453</v>
      </c>
      <c r="U314" t="s">
        <v>108</v>
      </c>
      <c r="V314" s="101">
        <v>46206</v>
      </c>
      <c r="W314">
        <v>1</v>
      </c>
      <c r="X314">
        <v>1</v>
      </c>
      <c r="Y314">
        <v>0</v>
      </c>
      <c r="Z314">
        <v>0</v>
      </c>
      <c r="AA314">
        <v>0</v>
      </c>
    </row>
    <row r="315" spans="1:27" x14ac:dyDescent="0.3">
      <c r="A315">
        <v>1013</v>
      </c>
      <c r="B315">
        <v>24.5</v>
      </c>
      <c r="C315">
        <v>2.5</v>
      </c>
      <c r="D315">
        <v>0</v>
      </c>
      <c r="E315">
        <v>0</v>
      </c>
      <c r="F315" t="s">
        <v>1101</v>
      </c>
      <c r="G315" s="101">
        <v>46207</v>
      </c>
      <c r="H315" t="s">
        <v>81</v>
      </c>
      <c r="I315" t="s">
        <v>445</v>
      </c>
      <c r="J315" t="s">
        <v>442</v>
      </c>
      <c r="K315" t="s">
        <v>382</v>
      </c>
      <c r="L315" s="39">
        <v>0.38016203703703705</v>
      </c>
      <c r="M315" s="39">
        <v>0.72996527777777775</v>
      </c>
      <c r="N315">
        <v>8.4</v>
      </c>
      <c r="O315" t="s">
        <v>1106</v>
      </c>
      <c r="P315">
        <v>0</v>
      </c>
      <c r="Q315" t="s">
        <v>691</v>
      </c>
      <c r="R315">
        <v>0</v>
      </c>
      <c r="S315">
        <v>0</v>
      </c>
      <c r="T315" t="s">
        <v>453</v>
      </c>
      <c r="U315" t="s">
        <v>108</v>
      </c>
      <c r="V315" s="101">
        <v>46207</v>
      </c>
      <c r="W315">
        <v>1</v>
      </c>
      <c r="X315">
        <v>1</v>
      </c>
      <c r="Y315">
        <v>0</v>
      </c>
      <c r="Z315">
        <v>0</v>
      </c>
      <c r="AA315">
        <v>0</v>
      </c>
    </row>
    <row r="316" spans="1:27" x14ac:dyDescent="0.3">
      <c r="A316">
        <v>1013</v>
      </c>
      <c r="B316">
        <v>24.5</v>
      </c>
      <c r="C316">
        <v>2.5</v>
      </c>
      <c r="D316">
        <v>0</v>
      </c>
      <c r="E316">
        <v>0</v>
      </c>
      <c r="F316" t="s">
        <v>1101</v>
      </c>
      <c r="G316" s="101">
        <v>46208</v>
      </c>
      <c r="H316" t="s">
        <v>81</v>
      </c>
      <c r="I316" t="s">
        <v>445</v>
      </c>
      <c r="J316" t="s">
        <v>442</v>
      </c>
      <c r="K316" t="s">
        <v>383</v>
      </c>
      <c r="L316" s="39">
        <v>0</v>
      </c>
      <c r="M316" s="39">
        <v>0</v>
      </c>
      <c r="N316">
        <v>0</v>
      </c>
      <c r="O316" t="s">
        <v>384</v>
      </c>
      <c r="P316">
        <v>9</v>
      </c>
      <c r="Q316" t="s">
        <v>385</v>
      </c>
      <c r="R316">
        <v>0</v>
      </c>
      <c r="S316">
        <v>9</v>
      </c>
      <c r="T316" t="s">
        <v>453</v>
      </c>
      <c r="U316" t="s">
        <v>366</v>
      </c>
      <c r="V316" s="101">
        <v>46208</v>
      </c>
      <c r="W316">
        <v>0</v>
      </c>
      <c r="X316">
        <v>0</v>
      </c>
      <c r="Y316">
        <v>0</v>
      </c>
      <c r="Z316">
        <v>0</v>
      </c>
      <c r="AA316">
        <v>0</v>
      </c>
    </row>
    <row r="317" spans="1:27" x14ac:dyDescent="0.3">
      <c r="A317">
        <v>1013</v>
      </c>
      <c r="B317">
        <v>24.5</v>
      </c>
      <c r="C317">
        <v>2.5</v>
      </c>
      <c r="D317">
        <v>0</v>
      </c>
      <c r="E317">
        <v>0</v>
      </c>
      <c r="F317" t="s">
        <v>1101</v>
      </c>
      <c r="G317" s="101">
        <v>46209</v>
      </c>
      <c r="H317" t="s">
        <v>81</v>
      </c>
      <c r="I317" t="s">
        <v>445</v>
      </c>
      <c r="J317" t="s">
        <v>442</v>
      </c>
      <c r="K317" t="s">
        <v>382</v>
      </c>
      <c r="L317" s="39">
        <v>0.38241898148148146</v>
      </c>
      <c r="M317" s="39">
        <v>0.73085648148148152</v>
      </c>
      <c r="N317">
        <v>8.36</v>
      </c>
      <c r="O317" t="s">
        <v>971</v>
      </c>
      <c r="P317">
        <v>0</v>
      </c>
      <c r="Q317" t="s">
        <v>604</v>
      </c>
      <c r="R317">
        <v>0</v>
      </c>
      <c r="S317">
        <v>0</v>
      </c>
      <c r="T317" t="s">
        <v>453</v>
      </c>
      <c r="U317" t="s">
        <v>108</v>
      </c>
      <c r="V317" s="101">
        <v>46209</v>
      </c>
      <c r="W317">
        <v>1</v>
      </c>
      <c r="X317">
        <v>1</v>
      </c>
      <c r="Y317">
        <v>0</v>
      </c>
      <c r="Z317">
        <v>0</v>
      </c>
      <c r="AA317">
        <v>0</v>
      </c>
    </row>
    <row r="318" spans="1:27" x14ac:dyDescent="0.3">
      <c r="A318">
        <v>1013</v>
      </c>
      <c r="B318">
        <v>24.5</v>
      </c>
      <c r="C318">
        <v>2.5</v>
      </c>
      <c r="D318">
        <v>0</v>
      </c>
      <c r="E318">
        <v>0</v>
      </c>
      <c r="F318" t="s">
        <v>1101</v>
      </c>
      <c r="G318" s="101">
        <v>46210</v>
      </c>
      <c r="H318" t="s">
        <v>81</v>
      </c>
      <c r="I318" t="s">
        <v>445</v>
      </c>
      <c r="J318" t="s">
        <v>442</v>
      </c>
      <c r="K318" t="s">
        <v>382</v>
      </c>
      <c r="L318" s="39">
        <v>0.37425925925925924</v>
      </c>
      <c r="M318" s="39">
        <v>0.732025462962963</v>
      </c>
      <c r="N318">
        <v>8.59</v>
      </c>
      <c r="O318" t="s">
        <v>1107</v>
      </c>
      <c r="P318">
        <v>0</v>
      </c>
      <c r="Q318" t="s">
        <v>662</v>
      </c>
      <c r="R318">
        <v>0</v>
      </c>
      <c r="S318">
        <v>0</v>
      </c>
      <c r="T318" t="s">
        <v>453</v>
      </c>
      <c r="U318" t="s">
        <v>108</v>
      </c>
      <c r="V318" s="101">
        <v>46210</v>
      </c>
      <c r="W318">
        <v>1</v>
      </c>
      <c r="X318">
        <v>1</v>
      </c>
      <c r="Y318">
        <v>0</v>
      </c>
      <c r="Z318">
        <v>0</v>
      </c>
      <c r="AA318">
        <v>0</v>
      </c>
    </row>
    <row r="319" spans="1:27" x14ac:dyDescent="0.3">
      <c r="A319">
        <v>1013</v>
      </c>
      <c r="B319">
        <v>24.5</v>
      </c>
      <c r="C319">
        <v>2.5</v>
      </c>
      <c r="D319">
        <v>0</v>
      </c>
      <c r="E319">
        <v>0</v>
      </c>
      <c r="F319" t="s">
        <v>1101</v>
      </c>
      <c r="G319" s="101">
        <v>46211</v>
      </c>
      <c r="H319" t="s">
        <v>81</v>
      </c>
      <c r="I319" t="s">
        <v>445</v>
      </c>
      <c r="J319" t="s">
        <v>442</v>
      </c>
      <c r="K319" t="s">
        <v>382</v>
      </c>
      <c r="L319" s="39">
        <v>0.37763888888888891</v>
      </c>
      <c r="M319" s="39">
        <v>0.73243055555555558</v>
      </c>
      <c r="N319">
        <v>8.52</v>
      </c>
      <c r="O319" t="s">
        <v>510</v>
      </c>
      <c r="P319">
        <v>0</v>
      </c>
      <c r="Q319" t="s">
        <v>501</v>
      </c>
      <c r="R319">
        <v>0</v>
      </c>
      <c r="S319">
        <v>0</v>
      </c>
      <c r="T319" t="s">
        <v>453</v>
      </c>
      <c r="U319" t="s">
        <v>108</v>
      </c>
      <c r="V319" s="101">
        <v>46211</v>
      </c>
      <c r="W319">
        <v>1</v>
      </c>
      <c r="X319">
        <v>1</v>
      </c>
      <c r="Y319">
        <v>0</v>
      </c>
      <c r="Z319">
        <v>0</v>
      </c>
      <c r="AA319">
        <v>0</v>
      </c>
    </row>
    <row r="320" spans="1:27" x14ac:dyDescent="0.3">
      <c r="A320">
        <v>1013</v>
      </c>
      <c r="B320">
        <v>24.5</v>
      </c>
      <c r="C320">
        <v>2.5</v>
      </c>
      <c r="D320">
        <v>0</v>
      </c>
      <c r="E320">
        <v>0</v>
      </c>
      <c r="F320" t="s">
        <v>1101</v>
      </c>
      <c r="G320" s="101">
        <v>46212</v>
      </c>
      <c r="H320" t="s">
        <v>81</v>
      </c>
      <c r="I320" t="s">
        <v>445</v>
      </c>
      <c r="J320" t="s">
        <v>442</v>
      </c>
      <c r="K320" t="s">
        <v>382</v>
      </c>
      <c r="L320" s="39">
        <v>0.37706018518518519</v>
      </c>
      <c r="M320" s="39">
        <v>0.73206018518518523</v>
      </c>
      <c r="N320">
        <v>8.52</v>
      </c>
      <c r="O320" t="s">
        <v>517</v>
      </c>
      <c r="P320">
        <v>0</v>
      </c>
      <c r="Q320" t="s">
        <v>592</v>
      </c>
      <c r="R320">
        <v>0</v>
      </c>
      <c r="S320">
        <v>0</v>
      </c>
      <c r="T320" t="s">
        <v>453</v>
      </c>
      <c r="U320" t="s">
        <v>108</v>
      </c>
      <c r="V320" s="101">
        <v>46212</v>
      </c>
      <c r="W320">
        <v>1</v>
      </c>
      <c r="X320">
        <v>1</v>
      </c>
      <c r="Y320">
        <v>0</v>
      </c>
      <c r="Z320">
        <v>0</v>
      </c>
      <c r="AA320">
        <v>0</v>
      </c>
    </row>
    <row r="321" spans="1:27" x14ac:dyDescent="0.3">
      <c r="A321">
        <v>1013</v>
      </c>
      <c r="B321">
        <v>24.5</v>
      </c>
      <c r="C321">
        <v>2.5</v>
      </c>
      <c r="D321">
        <v>0</v>
      </c>
      <c r="E321">
        <v>0</v>
      </c>
      <c r="F321" t="s">
        <v>1101</v>
      </c>
      <c r="G321" s="101">
        <v>46213</v>
      </c>
      <c r="H321" t="s">
        <v>81</v>
      </c>
      <c r="I321" t="s">
        <v>445</v>
      </c>
      <c r="J321" t="s">
        <v>442</v>
      </c>
      <c r="K321" t="s">
        <v>382</v>
      </c>
      <c r="L321" s="39">
        <v>0.37686342592592592</v>
      </c>
      <c r="M321" s="39">
        <v>0.73312500000000003</v>
      </c>
      <c r="N321">
        <v>8.5500000000000007</v>
      </c>
      <c r="O321" t="s">
        <v>525</v>
      </c>
      <c r="P321">
        <v>0</v>
      </c>
      <c r="Q321" t="s">
        <v>661</v>
      </c>
      <c r="R321">
        <v>0</v>
      </c>
      <c r="S321">
        <v>0</v>
      </c>
      <c r="T321" t="s">
        <v>453</v>
      </c>
      <c r="U321" t="s">
        <v>108</v>
      </c>
      <c r="V321" s="101">
        <v>46213</v>
      </c>
      <c r="W321">
        <v>1</v>
      </c>
      <c r="X321">
        <v>1</v>
      </c>
      <c r="Y321">
        <v>0</v>
      </c>
      <c r="Z321">
        <v>0</v>
      </c>
      <c r="AA321">
        <v>0</v>
      </c>
    </row>
    <row r="322" spans="1:27" x14ac:dyDescent="0.3">
      <c r="A322">
        <v>1013</v>
      </c>
      <c r="B322">
        <v>24.5</v>
      </c>
      <c r="C322">
        <v>2.5</v>
      </c>
      <c r="D322">
        <v>0</v>
      </c>
      <c r="E322">
        <v>0</v>
      </c>
      <c r="F322" t="s">
        <v>1101</v>
      </c>
      <c r="G322" s="101">
        <v>46214</v>
      </c>
      <c r="H322" t="s">
        <v>81</v>
      </c>
      <c r="I322" t="s">
        <v>445</v>
      </c>
      <c r="J322" t="s">
        <v>442</v>
      </c>
      <c r="K322" t="s">
        <v>383</v>
      </c>
      <c r="L322" s="39">
        <v>0</v>
      </c>
      <c r="M322" s="39">
        <v>0</v>
      </c>
      <c r="N322">
        <v>0</v>
      </c>
      <c r="O322" t="s">
        <v>384</v>
      </c>
      <c r="P322">
        <v>9</v>
      </c>
      <c r="Q322" t="s">
        <v>385</v>
      </c>
      <c r="R322">
        <v>0</v>
      </c>
      <c r="S322">
        <v>9</v>
      </c>
      <c r="T322" t="s">
        <v>453</v>
      </c>
      <c r="U322" t="s">
        <v>366</v>
      </c>
      <c r="V322" s="101">
        <v>46214</v>
      </c>
      <c r="W322">
        <v>0</v>
      </c>
      <c r="X322">
        <v>0</v>
      </c>
      <c r="Y322">
        <v>0</v>
      </c>
      <c r="Z322">
        <v>0</v>
      </c>
      <c r="AA322">
        <v>0</v>
      </c>
    </row>
    <row r="323" spans="1:27" x14ac:dyDescent="0.3">
      <c r="A323">
        <v>1013</v>
      </c>
      <c r="B323">
        <v>24.5</v>
      </c>
      <c r="C323">
        <v>2.5</v>
      </c>
      <c r="D323">
        <v>0</v>
      </c>
      <c r="E323">
        <v>0</v>
      </c>
      <c r="F323" t="s">
        <v>1101</v>
      </c>
      <c r="G323" s="101">
        <v>46215</v>
      </c>
      <c r="H323" t="s">
        <v>81</v>
      </c>
      <c r="I323" t="s">
        <v>445</v>
      </c>
      <c r="J323" t="s">
        <v>442</v>
      </c>
      <c r="K323" t="s">
        <v>383</v>
      </c>
      <c r="L323" s="39">
        <v>0</v>
      </c>
      <c r="M323" s="39">
        <v>0</v>
      </c>
      <c r="N323">
        <v>0</v>
      </c>
      <c r="O323" t="s">
        <v>384</v>
      </c>
      <c r="P323">
        <v>9</v>
      </c>
      <c r="Q323" t="s">
        <v>385</v>
      </c>
      <c r="R323">
        <v>0</v>
      </c>
      <c r="S323">
        <v>9</v>
      </c>
      <c r="T323" t="s">
        <v>453</v>
      </c>
      <c r="U323" t="s">
        <v>366</v>
      </c>
      <c r="V323" s="101">
        <v>46215</v>
      </c>
      <c r="W323">
        <v>0</v>
      </c>
      <c r="X323">
        <v>0</v>
      </c>
      <c r="Y323">
        <v>0</v>
      </c>
      <c r="Z323">
        <v>0</v>
      </c>
      <c r="AA323">
        <v>0</v>
      </c>
    </row>
    <row r="324" spans="1:27" x14ac:dyDescent="0.3">
      <c r="A324">
        <v>1013</v>
      </c>
      <c r="B324">
        <v>24.5</v>
      </c>
      <c r="C324">
        <v>2.5</v>
      </c>
      <c r="D324">
        <v>0</v>
      </c>
      <c r="E324">
        <v>0</v>
      </c>
      <c r="F324" t="s">
        <v>1101</v>
      </c>
      <c r="G324" s="101">
        <v>46216</v>
      </c>
      <c r="H324" t="s">
        <v>81</v>
      </c>
      <c r="I324" t="s">
        <v>445</v>
      </c>
      <c r="J324" t="s">
        <v>442</v>
      </c>
      <c r="K324" t="s">
        <v>382</v>
      </c>
      <c r="L324" s="39">
        <v>0.38300925925925927</v>
      </c>
      <c r="M324" s="39">
        <v>0.7316435185185185</v>
      </c>
      <c r="N324">
        <v>8.3699999999999992</v>
      </c>
      <c r="O324" t="s">
        <v>1108</v>
      </c>
      <c r="P324">
        <v>0</v>
      </c>
      <c r="Q324" t="s">
        <v>623</v>
      </c>
      <c r="R324">
        <v>0</v>
      </c>
      <c r="S324">
        <v>0</v>
      </c>
      <c r="T324" t="s">
        <v>453</v>
      </c>
      <c r="U324" t="s">
        <v>108</v>
      </c>
      <c r="V324" s="101">
        <v>46216</v>
      </c>
      <c r="W324">
        <v>1</v>
      </c>
      <c r="X324">
        <v>1</v>
      </c>
      <c r="Y324">
        <v>0</v>
      </c>
      <c r="Z324">
        <v>0</v>
      </c>
      <c r="AA324">
        <v>0</v>
      </c>
    </row>
    <row r="325" spans="1:27" x14ac:dyDescent="0.3">
      <c r="A325">
        <v>1013</v>
      </c>
      <c r="B325">
        <v>24.5</v>
      </c>
      <c r="C325">
        <v>2.5</v>
      </c>
      <c r="D325">
        <v>0</v>
      </c>
      <c r="E325">
        <v>0</v>
      </c>
      <c r="F325" t="s">
        <v>1101</v>
      </c>
      <c r="G325" s="101">
        <v>46217</v>
      </c>
      <c r="H325" t="s">
        <v>81</v>
      </c>
      <c r="I325" t="s">
        <v>445</v>
      </c>
      <c r="J325" t="s">
        <v>442</v>
      </c>
      <c r="K325" t="s">
        <v>382</v>
      </c>
      <c r="L325" s="39">
        <v>0.38640046296296299</v>
      </c>
      <c r="M325" s="39">
        <v>0.73105324074074074</v>
      </c>
      <c r="N325">
        <v>8.27</v>
      </c>
      <c r="O325" t="s">
        <v>1109</v>
      </c>
      <c r="P325">
        <v>0</v>
      </c>
      <c r="Q325" t="s">
        <v>703</v>
      </c>
      <c r="R325">
        <v>0</v>
      </c>
      <c r="S325">
        <v>0</v>
      </c>
      <c r="T325" t="s">
        <v>453</v>
      </c>
      <c r="U325" t="s">
        <v>108</v>
      </c>
      <c r="V325" s="101">
        <v>46217</v>
      </c>
      <c r="W325">
        <v>1</v>
      </c>
      <c r="X325">
        <v>1</v>
      </c>
      <c r="Y325">
        <v>0</v>
      </c>
      <c r="Z325">
        <v>0</v>
      </c>
      <c r="AA325">
        <v>0</v>
      </c>
    </row>
    <row r="326" spans="1:27" x14ac:dyDescent="0.3">
      <c r="A326">
        <v>1013</v>
      </c>
      <c r="B326">
        <v>24.5</v>
      </c>
      <c r="C326">
        <v>2.5</v>
      </c>
      <c r="D326">
        <v>0</v>
      </c>
      <c r="E326">
        <v>0</v>
      </c>
      <c r="F326" t="s">
        <v>1101</v>
      </c>
      <c r="G326" s="101">
        <v>46218</v>
      </c>
      <c r="H326" t="s">
        <v>81</v>
      </c>
      <c r="I326" t="s">
        <v>445</v>
      </c>
      <c r="J326" t="s">
        <v>442</v>
      </c>
      <c r="K326" t="s">
        <v>382</v>
      </c>
      <c r="L326" s="39">
        <v>0.37652777777777779</v>
      </c>
      <c r="M326" s="39">
        <v>0.73046296296296298</v>
      </c>
      <c r="N326">
        <v>8.49</v>
      </c>
      <c r="O326" t="s">
        <v>1110</v>
      </c>
      <c r="P326">
        <v>0</v>
      </c>
      <c r="Q326" t="s">
        <v>881</v>
      </c>
      <c r="R326">
        <v>0</v>
      </c>
      <c r="S326">
        <v>0</v>
      </c>
      <c r="T326" t="s">
        <v>453</v>
      </c>
      <c r="U326" t="s">
        <v>108</v>
      </c>
      <c r="V326" s="101">
        <v>46218</v>
      </c>
      <c r="W326">
        <v>1</v>
      </c>
      <c r="X326">
        <v>1</v>
      </c>
      <c r="Y326">
        <v>0</v>
      </c>
      <c r="Z326">
        <v>0</v>
      </c>
      <c r="AA326">
        <v>0</v>
      </c>
    </row>
    <row r="327" spans="1:27" x14ac:dyDescent="0.3">
      <c r="A327">
        <v>1013</v>
      </c>
      <c r="B327">
        <v>24.5</v>
      </c>
      <c r="C327">
        <v>2.5</v>
      </c>
      <c r="D327">
        <v>0</v>
      </c>
      <c r="E327">
        <v>0</v>
      </c>
      <c r="F327" t="s">
        <v>1101</v>
      </c>
      <c r="G327" s="101">
        <v>46219</v>
      </c>
      <c r="H327" t="s">
        <v>81</v>
      </c>
      <c r="I327" t="s">
        <v>445</v>
      </c>
      <c r="J327" t="s">
        <v>442</v>
      </c>
      <c r="K327" t="s">
        <v>382</v>
      </c>
      <c r="L327" s="39">
        <v>0.38064814814814812</v>
      </c>
      <c r="M327" s="39">
        <v>0.73052083333333329</v>
      </c>
      <c r="N327">
        <v>8.4</v>
      </c>
      <c r="O327" t="s">
        <v>1111</v>
      </c>
      <c r="P327">
        <v>0</v>
      </c>
      <c r="Q327" t="s">
        <v>629</v>
      </c>
      <c r="R327">
        <v>0</v>
      </c>
      <c r="S327">
        <v>0</v>
      </c>
      <c r="T327" t="s">
        <v>453</v>
      </c>
      <c r="U327" t="s">
        <v>108</v>
      </c>
      <c r="V327" s="101">
        <v>46219</v>
      </c>
      <c r="W327">
        <v>1</v>
      </c>
      <c r="X327">
        <v>1</v>
      </c>
      <c r="Y327">
        <v>0</v>
      </c>
      <c r="Z327">
        <v>0</v>
      </c>
      <c r="AA327">
        <v>0</v>
      </c>
    </row>
    <row r="328" spans="1:27" x14ac:dyDescent="0.3">
      <c r="A328">
        <v>1013</v>
      </c>
      <c r="B328">
        <v>24.5</v>
      </c>
      <c r="C328">
        <v>2.5</v>
      </c>
      <c r="D328">
        <v>0</v>
      </c>
      <c r="E328">
        <v>0</v>
      </c>
      <c r="F328" t="s">
        <v>1101</v>
      </c>
      <c r="G328" s="101">
        <v>46220</v>
      </c>
      <c r="H328" t="s">
        <v>81</v>
      </c>
      <c r="I328" t="s">
        <v>445</v>
      </c>
      <c r="J328" t="s">
        <v>442</v>
      </c>
      <c r="K328" t="s">
        <v>382</v>
      </c>
      <c r="L328" s="39">
        <v>0.38003472222222223</v>
      </c>
      <c r="M328" s="39">
        <v>0.73037037037037034</v>
      </c>
      <c r="N328">
        <v>8.41</v>
      </c>
      <c r="O328" t="s">
        <v>598</v>
      </c>
      <c r="P328">
        <v>0</v>
      </c>
      <c r="Q328" t="s">
        <v>685</v>
      </c>
      <c r="R328">
        <v>0</v>
      </c>
      <c r="S328">
        <v>0</v>
      </c>
      <c r="T328" t="s">
        <v>453</v>
      </c>
      <c r="U328" t="s">
        <v>108</v>
      </c>
      <c r="V328" s="101">
        <v>46220</v>
      </c>
      <c r="W328">
        <v>1</v>
      </c>
      <c r="X328">
        <v>1</v>
      </c>
      <c r="Y328">
        <v>0</v>
      </c>
      <c r="Z328">
        <v>0</v>
      </c>
      <c r="AA328">
        <v>0</v>
      </c>
    </row>
    <row r="329" spans="1:27" x14ac:dyDescent="0.3">
      <c r="A329">
        <v>1013</v>
      </c>
      <c r="B329">
        <v>24.5</v>
      </c>
      <c r="C329">
        <v>2.5</v>
      </c>
      <c r="D329">
        <v>0</v>
      </c>
      <c r="E329">
        <v>0</v>
      </c>
      <c r="F329" t="s">
        <v>1101</v>
      </c>
      <c r="G329" s="101">
        <v>46221</v>
      </c>
      <c r="H329" t="s">
        <v>81</v>
      </c>
      <c r="I329" t="s">
        <v>445</v>
      </c>
      <c r="J329" t="s">
        <v>442</v>
      </c>
      <c r="K329" t="s">
        <v>382</v>
      </c>
      <c r="L329" s="39">
        <v>0.3820601851851852</v>
      </c>
      <c r="M329" s="39">
        <v>0.73089120370370375</v>
      </c>
      <c r="N329">
        <v>8.3699999999999992</v>
      </c>
      <c r="O329" t="s">
        <v>1112</v>
      </c>
      <c r="P329">
        <v>0</v>
      </c>
      <c r="Q329" t="s">
        <v>1113</v>
      </c>
      <c r="R329">
        <v>0</v>
      </c>
      <c r="S329">
        <v>0</v>
      </c>
      <c r="T329" t="s">
        <v>453</v>
      </c>
      <c r="U329" t="s">
        <v>108</v>
      </c>
      <c r="V329" s="101">
        <v>46221</v>
      </c>
      <c r="W329">
        <v>1</v>
      </c>
      <c r="X329">
        <v>1</v>
      </c>
      <c r="Y329">
        <v>0</v>
      </c>
      <c r="Z329">
        <v>0</v>
      </c>
      <c r="AA329">
        <v>0</v>
      </c>
    </row>
    <row r="330" spans="1:27" x14ac:dyDescent="0.3">
      <c r="A330">
        <v>1013</v>
      </c>
      <c r="B330">
        <v>24.5</v>
      </c>
      <c r="C330">
        <v>2.5</v>
      </c>
      <c r="D330">
        <v>0</v>
      </c>
      <c r="E330">
        <v>0</v>
      </c>
      <c r="F330" t="s">
        <v>1101</v>
      </c>
      <c r="G330" s="101">
        <v>46222</v>
      </c>
      <c r="H330" t="s">
        <v>81</v>
      </c>
      <c r="I330" t="s">
        <v>445</v>
      </c>
      <c r="J330" t="s">
        <v>442</v>
      </c>
      <c r="K330" t="s">
        <v>383</v>
      </c>
      <c r="L330" s="39">
        <v>0</v>
      </c>
      <c r="M330" s="39">
        <v>0</v>
      </c>
      <c r="N330">
        <v>0</v>
      </c>
      <c r="O330" t="s">
        <v>384</v>
      </c>
      <c r="P330">
        <v>9</v>
      </c>
      <c r="Q330" t="s">
        <v>385</v>
      </c>
      <c r="R330">
        <v>0</v>
      </c>
      <c r="S330">
        <v>9</v>
      </c>
      <c r="T330" t="s">
        <v>453</v>
      </c>
      <c r="U330" t="s">
        <v>366</v>
      </c>
      <c r="V330" s="101">
        <v>46222</v>
      </c>
      <c r="W330">
        <v>0</v>
      </c>
      <c r="X330">
        <v>0</v>
      </c>
      <c r="Y330">
        <v>0</v>
      </c>
      <c r="Z330">
        <v>0</v>
      </c>
      <c r="AA330">
        <v>0</v>
      </c>
    </row>
    <row r="331" spans="1:27" x14ac:dyDescent="0.3">
      <c r="A331">
        <v>1013</v>
      </c>
      <c r="B331">
        <v>24.5</v>
      </c>
      <c r="C331">
        <v>2.5</v>
      </c>
      <c r="D331">
        <v>0</v>
      </c>
      <c r="E331">
        <v>0</v>
      </c>
      <c r="F331" t="s">
        <v>1101</v>
      </c>
      <c r="G331" s="101">
        <v>46223</v>
      </c>
      <c r="H331" t="s">
        <v>81</v>
      </c>
      <c r="I331" t="s">
        <v>445</v>
      </c>
      <c r="J331" t="s">
        <v>442</v>
      </c>
      <c r="K331" t="s">
        <v>382</v>
      </c>
      <c r="L331" s="39">
        <v>0.37596064814814817</v>
      </c>
      <c r="M331" s="39">
        <v>0.73133101851851856</v>
      </c>
      <c r="N331">
        <v>8.5299999999999994</v>
      </c>
      <c r="O331" t="s">
        <v>1114</v>
      </c>
      <c r="P331">
        <v>0</v>
      </c>
      <c r="Q331" t="s">
        <v>630</v>
      </c>
      <c r="R331">
        <v>0</v>
      </c>
      <c r="S331">
        <v>0</v>
      </c>
      <c r="T331" t="s">
        <v>453</v>
      </c>
      <c r="U331" t="s">
        <v>108</v>
      </c>
      <c r="V331" s="101">
        <v>46223</v>
      </c>
      <c r="W331">
        <v>1</v>
      </c>
      <c r="X331">
        <v>1</v>
      </c>
      <c r="Y331">
        <v>0</v>
      </c>
      <c r="Z331">
        <v>0</v>
      </c>
      <c r="AA331">
        <v>0</v>
      </c>
    </row>
    <row r="332" spans="1:27" x14ac:dyDescent="0.3">
      <c r="A332">
        <v>1013</v>
      </c>
      <c r="B332">
        <v>24.5</v>
      </c>
      <c r="C332">
        <v>2.5</v>
      </c>
      <c r="D332">
        <v>0</v>
      </c>
      <c r="E332">
        <v>0</v>
      </c>
      <c r="F332" t="s">
        <v>1101</v>
      </c>
      <c r="G332" s="101">
        <v>46224</v>
      </c>
      <c r="H332" t="s">
        <v>81</v>
      </c>
      <c r="I332" t="s">
        <v>445</v>
      </c>
      <c r="J332" t="s">
        <v>442</v>
      </c>
      <c r="K332" t="s">
        <v>382</v>
      </c>
      <c r="L332" s="39">
        <v>0.3782638888888889</v>
      </c>
      <c r="M332" s="39">
        <v>0.73049768518518521</v>
      </c>
      <c r="N332">
        <v>8.4499999999999993</v>
      </c>
      <c r="O332" t="s">
        <v>1115</v>
      </c>
      <c r="P332">
        <v>0</v>
      </c>
      <c r="Q332" t="s">
        <v>1116</v>
      </c>
      <c r="R332">
        <v>0</v>
      </c>
      <c r="S332">
        <v>0</v>
      </c>
      <c r="T332" t="s">
        <v>453</v>
      </c>
      <c r="U332" t="s">
        <v>108</v>
      </c>
      <c r="V332" s="101">
        <v>46224</v>
      </c>
      <c r="W332">
        <v>1</v>
      </c>
      <c r="X332">
        <v>1</v>
      </c>
      <c r="Y332">
        <v>0</v>
      </c>
      <c r="Z332">
        <v>0</v>
      </c>
      <c r="AA332">
        <v>0</v>
      </c>
    </row>
    <row r="333" spans="1:27" x14ac:dyDescent="0.3">
      <c r="A333">
        <v>1013</v>
      </c>
      <c r="B333">
        <v>24.5</v>
      </c>
      <c r="C333">
        <v>2.5</v>
      </c>
      <c r="D333">
        <v>0</v>
      </c>
      <c r="E333">
        <v>0</v>
      </c>
      <c r="F333" t="s">
        <v>1101</v>
      </c>
      <c r="G333" s="101">
        <v>46225</v>
      </c>
      <c r="H333" t="s">
        <v>81</v>
      </c>
      <c r="I333" t="s">
        <v>445</v>
      </c>
      <c r="J333" t="s">
        <v>442</v>
      </c>
      <c r="K333" t="s">
        <v>382</v>
      </c>
      <c r="L333" s="39">
        <v>0.38032407407407409</v>
      </c>
      <c r="M333" s="39">
        <v>0.73079861111111111</v>
      </c>
      <c r="N333">
        <v>8.41</v>
      </c>
      <c r="O333" t="s">
        <v>1117</v>
      </c>
      <c r="P333">
        <v>0</v>
      </c>
      <c r="Q333" t="s">
        <v>1118</v>
      </c>
      <c r="R333">
        <v>0</v>
      </c>
      <c r="S333">
        <v>0</v>
      </c>
      <c r="T333" t="s">
        <v>453</v>
      </c>
      <c r="U333" t="s">
        <v>108</v>
      </c>
      <c r="V333" s="101">
        <v>46225</v>
      </c>
      <c r="W333">
        <v>1</v>
      </c>
      <c r="X333">
        <v>1</v>
      </c>
      <c r="Y333">
        <v>0</v>
      </c>
      <c r="Z333">
        <v>0</v>
      </c>
      <c r="AA333">
        <v>0</v>
      </c>
    </row>
    <row r="334" spans="1:27" x14ac:dyDescent="0.3">
      <c r="A334">
        <v>1013</v>
      </c>
      <c r="B334">
        <v>24.5</v>
      </c>
      <c r="C334">
        <v>2.5</v>
      </c>
      <c r="D334">
        <v>0</v>
      </c>
      <c r="E334">
        <v>0</v>
      </c>
      <c r="F334" t="s">
        <v>1101</v>
      </c>
      <c r="G334" s="101">
        <v>46226</v>
      </c>
      <c r="H334" t="s">
        <v>81</v>
      </c>
      <c r="I334" t="s">
        <v>445</v>
      </c>
      <c r="J334" t="s">
        <v>442</v>
      </c>
      <c r="K334" t="s">
        <v>382</v>
      </c>
      <c r="L334" s="39">
        <v>0.37825231481481481</v>
      </c>
      <c r="M334" s="39">
        <v>0.68734953703703705</v>
      </c>
      <c r="N334">
        <v>7.42</v>
      </c>
      <c r="O334" t="s">
        <v>690</v>
      </c>
      <c r="P334">
        <v>0</v>
      </c>
      <c r="Q334" t="s">
        <v>1119</v>
      </c>
      <c r="R334">
        <v>0</v>
      </c>
      <c r="S334">
        <v>0</v>
      </c>
      <c r="T334" t="s">
        <v>453</v>
      </c>
      <c r="U334" t="s">
        <v>108</v>
      </c>
      <c r="V334" s="101">
        <v>46226</v>
      </c>
      <c r="W334">
        <v>1</v>
      </c>
      <c r="X334">
        <v>1</v>
      </c>
      <c r="Y334">
        <v>0</v>
      </c>
      <c r="Z334">
        <v>0</v>
      </c>
      <c r="AA334">
        <v>0</v>
      </c>
    </row>
    <row r="335" spans="1:27" x14ac:dyDescent="0.3">
      <c r="A335">
        <v>1013</v>
      </c>
      <c r="B335">
        <v>24.5</v>
      </c>
      <c r="C335">
        <v>2.5</v>
      </c>
      <c r="D335">
        <v>0</v>
      </c>
      <c r="E335">
        <v>0</v>
      </c>
      <c r="F335" t="s">
        <v>1101</v>
      </c>
      <c r="G335" s="101">
        <v>46227</v>
      </c>
      <c r="H335" t="s">
        <v>81</v>
      </c>
      <c r="I335" t="s">
        <v>445</v>
      </c>
      <c r="J335" t="s">
        <v>442</v>
      </c>
      <c r="K335" t="s">
        <v>383</v>
      </c>
      <c r="L335" s="39">
        <v>0</v>
      </c>
      <c r="M335" s="39">
        <v>0</v>
      </c>
      <c r="N335">
        <v>0</v>
      </c>
      <c r="O335" t="s">
        <v>384</v>
      </c>
      <c r="P335">
        <v>9</v>
      </c>
      <c r="Q335" t="s">
        <v>385</v>
      </c>
      <c r="R335">
        <v>0</v>
      </c>
      <c r="S335">
        <v>9</v>
      </c>
      <c r="T335" t="s">
        <v>453</v>
      </c>
      <c r="U335" t="s">
        <v>366</v>
      </c>
      <c r="V335" s="101">
        <v>46227</v>
      </c>
      <c r="W335">
        <v>0</v>
      </c>
      <c r="X335">
        <v>0</v>
      </c>
      <c r="Y335">
        <v>0</v>
      </c>
      <c r="Z335">
        <v>0</v>
      </c>
      <c r="AA335">
        <v>0</v>
      </c>
    </row>
    <row r="336" spans="1:27" x14ac:dyDescent="0.3">
      <c r="A336">
        <v>1013</v>
      </c>
      <c r="B336">
        <v>24.5</v>
      </c>
      <c r="C336">
        <v>2.5</v>
      </c>
      <c r="D336">
        <v>0</v>
      </c>
      <c r="E336">
        <v>0</v>
      </c>
      <c r="F336" t="s">
        <v>1101</v>
      </c>
      <c r="G336" s="101">
        <v>46228</v>
      </c>
      <c r="H336" t="s">
        <v>81</v>
      </c>
      <c r="I336" t="s">
        <v>445</v>
      </c>
      <c r="J336" t="s">
        <v>442</v>
      </c>
      <c r="K336" t="s">
        <v>382</v>
      </c>
      <c r="L336" s="39">
        <v>0.3837962962962963</v>
      </c>
      <c r="M336" s="39">
        <v>0.73075231481481484</v>
      </c>
      <c r="N336">
        <v>8.33</v>
      </c>
      <c r="O336" t="s">
        <v>1120</v>
      </c>
      <c r="P336">
        <v>0</v>
      </c>
      <c r="Q336" t="s">
        <v>519</v>
      </c>
      <c r="R336">
        <v>0</v>
      </c>
      <c r="S336">
        <v>0</v>
      </c>
      <c r="T336" t="s">
        <v>453</v>
      </c>
      <c r="U336" t="s">
        <v>108</v>
      </c>
      <c r="V336" s="101">
        <v>46228</v>
      </c>
      <c r="W336">
        <v>1</v>
      </c>
      <c r="X336">
        <v>1</v>
      </c>
      <c r="Y336">
        <v>0</v>
      </c>
      <c r="Z336">
        <v>0</v>
      </c>
      <c r="AA336">
        <v>0</v>
      </c>
    </row>
    <row r="337" spans="1:27" x14ac:dyDescent="0.3">
      <c r="A337">
        <v>1013</v>
      </c>
      <c r="B337">
        <v>24.5</v>
      </c>
      <c r="C337">
        <v>2.5</v>
      </c>
      <c r="D337">
        <v>0</v>
      </c>
      <c r="E337">
        <v>0</v>
      </c>
      <c r="F337" t="s">
        <v>1101</v>
      </c>
      <c r="G337" s="101">
        <v>46229</v>
      </c>
      <c r="H337" t="s">
        <v>81</v>
      </c>
      <c r="I337" t="s">
        <v>445</v>
      </c>
      <c r="J337" t="s">
        <v>442</v>
      </c>
      <c r="K337" t="s">
        <v>383</v>
      </c>
      <c r="L337" s="39">
        <v>0</v>
      </c>
      <c r="M337" s="39">
        <v>0</v>
      </c>
      <c r="N337">
        <v>0</v>
      </c>
      <c r="O337" t="s">
        <v>384</v>
      </c>
      <c r="P337">
        <v>9</v>
      </c>
      <c r="Q337" t="s">
        <v>385</v>
      </c>
      <c r="R337">
        <v>0</v>
      </c>
      <c r="S337">
        <v>9</v>
      </c>
      <c r="T337" t="s">
        <v>453</v>
      </c>
      <c r="U337" t="s">
        <v>366</v>
      </c>
      <c r="V337" s="101">
        <v>46229</v>
      </c>
      <c r="W337">
        <v>0</v>
      </c>
      <c r="X337">
        <v>0</v>
      </c>
      <c r="Y337">
        <v>0</v>
      </c>
      <c r="Z337">
        <v>0</v>
      </c>
      <c r="AA337">
        <v>0</v>
      </c>
    </row>
    <row r="338" spans="1:27" x14ac:dyDescent="0.3">
      <c r="A338">
        <v>1013</v>
      </c>
      <c r="B338">
        <v>24.5</v>
      </c>
      <c r="C338">
        <v>2.5</v>
      </c>
      <c r="D338">
        <v>0</v>
      </c>
      <c r="E338">
        <v>0</v>
      </c>
      <c r="F338" t="s">
        <v>1101</v>
      </c>
      <c r="G338" s="101">
        <v>46230</v>
      </c>
      <c r="H338" t="s">
        <v>81</v>
      </c>
      <c r="I338" t="s">
        <v>445</v>
      </c>
      <c r="J338" t="s">
        <v>442</v>
      </c>
      <c r="K338" t="s">
        <v>382</v>
      </c>
      <c r="L338" s="39">
        <v>0.37702546296296297</v>
      </c>
      <c r="M338" s="39">
        <v>0.7310416666666667</v>
      </c>
      <c r="N338">
        <v>8.5</v>
      </c>
      <c r="O338" t="s">
        <v>516</v>
      </c>
      <c r="P338">
        <v>0</v>
      </c>
      <c r="Q338" t="s">
        <v>1121</v>
      </c>
      <c r="R338">
        <v>0</v>
      </c>
      <c r="S338">
        <v>0</v>
      </c>
      <c r="T338" t="s">
        <v>453</v>
      </c>
      <c r="U338" t="s">
        <v>108</v>
      </c>
      <c r="V338" s="101">
        <v>46230</v>
      </c>
      <c r="W338">
        <v>1</v>
      </c>
      <c r="X338">
        <v>1</v>
      </c>
      <c r="Y338">
        <v>0</v>
      </c>
      <c r="Z338">
        <v>0</v>
      </c>
      <c r="AA338">
        <v>0</v>
      </c>
    </row>
    <row r="339" spans="1:27" x14ac:dyDescent="0.3">
      <c r="A339">
        <v>1013</v>
      </c>
      <c r="B339">
        <v>24.5</v>
      </c>
      <c r="C339">
        <v>2.5</v>
      </c>
      <c r="D339">
        <v>0</v>
      </c>
      <c r="E339">
        <v>0</v>
      </c>
      <c r="F339" t="s">
        <v>1101</v>
      </c>
      <c r="G339" s="101">
        <v>46231</v>
      </c>
      <c r="H339" t="s">
        <v>81</v>
      </c>
      <c r="I339" t="s">
        <v>445</v>
      </c>
      <c r="J339" t="s">
        <v>442</v>
      </c>
      <c r="K339" t="s">
        <v>382</v>
      </c>
      <c r="L339" s="39">
        <v>0.37513888888888891</v>
      </c>
      <c r="M339" s="39">
        <v>0.73079861111111111</v>
      </c>
      <c r="N339">
        <v>8.5399999999999991</v>
      </c>
      <c r="O339" t="s">
        <v>1122</v>
      </c>
      <c r="P339">
        <v>0</v>
      </c>
      <c r="Q339" t="s">
        <v>1118</v>
      </c>
      <c r="R339">
        <v>0</v>
      </c>
      <c r="S339">
        <v>0</v>
      </c>
      <c r="T339" t="s">
        <v>453</v>
      </c>
      <c r="U339" t="s">
        <v>108</v>
      </c>
      <c r="V339" s="101">
        <v>46231</v>
      </c>
      <c r="W339">
        <v>1</v>
      </c>
      <c r="X339">
        <v>1</v>
      </c>
      <c r="Y339">
        <v>0</v>
      </c>
      <c r="Z339">
        <v>0</v>
      </c>
      <c r="AA339">
        <v>0</v>
      </c>
    </row>
    <row r="340" spans="1:27" x14ac:dyDescent="0.3">
      <c r="A340">
        <v>1013</v>
      </c>
      <c r="B340">
        <v>24.5</v>
      </c>
      <c r="C340">
        <v>2.5</v>
      </c>
      <c r="D340">
        <v>0</v>
      </c>
      <c r="E340">
        <v>0</v>
      </c>
      <c r="F340" t="s">
        <v>1101</v>
      </c>
      <c r="G340" s="101">
        <v>46232</v>
      </c>
      <c r="H340" t="s">
        <v>81</v>
      </c>
      <c r="I340" t="s">
        <v>445</v>
      </c>
      <c r="J340" t="s">
        <v>442</v>
      </c>
      <c r="K340" t="s">
        <v>382</v>
      </c>
      <c r="L340" s="39">
        <v>0.38347222222222221</v>
      </c>
      <c r="M340" s="39">
        <v>0.73201388888888885</v>
      </c>
      <c r="N340">
        <v>8.36</v>
      </c>
      <c r="O340" t="s">
        <v>1123</v>
      </c>
      <c r="P340">
        <v>0</v>
      </c>
      <c r="Q340" t="s">
        <v>692</v>
      </c>
      <c r="R340">
        <v>0</v>
      </c>
      <c r="S340">
        <v>0</v>
      </c>
      <c r="T340" t="s">
        <v>453</v>
      </c>
      <c r="U340" t="s">
        <v>108</v>
      </c>
      <c r="V340" s="101">
        <v>46232</v>
      </c>
      <c r="W340">
        <v>1</v>
      </c>
      <c r="X340">
        <v>1</v>
      </c>
      <c r="Y340">
        <v>0</v>
      </c>
      <c r="Z340">
        <v>0</v>
      </c>
      <c r="AA340">
        <v>0</v>
      </c>
    </row>
    <row r="341" spans="1:27" x14ac:dyDescent="0.3">
      <c r="A341">
        <v>1013</v>
      </c>
      <c r="B341">
        <v>24.5</v>
      </c>
      <c r="C341">
        <v>2.5</v>
      </c>
      <c r="D341">
        <v>0</v>
      </c>
      <c r="E341">
        <v>0</v>
      </c>
      <c r="F341" t="s">
        <v>1101</v>
      </c>
      <c r="G341" s="101">
        <v>46233</v>
      </c>
      <c r="H341" t="s">
        <v>81</v>
      </c>
      <c r="I341" t="s">
        <v>445</v>
      </c>
      <c r="J341" t="s">
        <v>442</v>
      </c>
      <c r="K341" t="s">
        <v>382</v>
      </c>
      <c r="L341" s="39">
        <v>0.37266203703703704</v>
      </c>
      <c r="M341" s="39">
        <v>0.73130787037037037</v>
      </c>
      <c r="N341">
        <v>8.61</v>
      </c>
      <c r="O341" t="s">
        <v>651</v>
      </c>
      <c r="P341">
        <v>0</v>
      </c>
      <c r="Q341" t="s">
        <v>1124</v>
      </c>
      <c r="R341">
        <v>0</v>
      </c>
      <c r="S341">
        <v>0</v>
      </c>
      <c r="T341" t="s">
        <v>453</v>
      </c>
      <c r="U341" t="s">
        <v>108</v>
      </c>
      <c r="V341" s="101">
        <v>46233</v>
      </c>
      <c r="W341">
        <v>1</v>
      </c>
      <c r="X341">
        <v>1</v>
      </c>
      <c r="Y341">
        <v>0</v>
      </c>
      <c r="Z341">
        <v>0</v>
      </c>
      <c r="AA341">
        <v>0</v>
      </c>
    </row>
    <row r="342" spans="1:27" x14ac:dyDescent="0.3">
      <c r="A342">
        <v>1013</v>
      </c>
      <c r="B342">
        <v>24.5</v>
      </c>
      <c r="C342">
        <v>2.5</v>
      </c>
      <c r="D342">
        <v>0</v>
      </c>
      <c r="E342">
        <v>0</v>
      </c>
      <c r="F342" t="s">
        <v>1101</v>
      </c>
      <c r="G342" s="101">
        <v>46234</v>
      </c>
      <c r="H342" t="s">
        <v>81</v>
      </c>
      <c r="I342" t="s">
        <v>445</v>
      </c>
      <c r="J342" t="s">
        <v>442</v>
      </c>
      <c r="K342" t="s">
        <v>382</v>
      </c>
      <c r="L342" s="39">
        <v>0.38098379629629631</v>
      </c>
      <c r="M342" s="39">
        <v>0.73251157407407408</v>
      </c>
      <c r="N342">
        <v>8.44</v>
      </c>
      <c r="O342" t="s">
        <v>1125</v>
      </c>
      <c r="P342">
        <v>0</v>
      </c>
      <c r="Q342" t="s">
        <v>960</v>
      </c>
      <c r="R342">
        <v>0</v>
      </c>
      <c r="S342">
        <v>0</v>
      </c>
      <c r="T342" t="s">
        <v>453</v>
      </c>
      <c r="U342" t="s">
        <v>108</v>
      </c>
      <c r="V342" s="101">
        <v>46234</v>
      </c>
      <c r="W342">
        <v>1</v>
      </c>
      <c r="X342">
        <v>1</v>
      </c>
      <c r="Y342">
        <v>0</v>
      </c>
      <c r="Z342">
        <v>0</v>
      </c>
      <c r="AA342">
        <v>0</v>
      </c>
    </row>
    <row r="343" spans="1:27" x14ac:dyDescent="0.3">
      <c r="A343">
        <v>1014</v>
      </c>
      <c r="B343">
        <v>25.5</v>
      </c>
      <c r="C343">
        <v>1.5</v>
      </c>
      <c r="D343">
        <v>0</v>
      </c>
      <c r="E343">
        <v>0</v>
      </c>
      <c r="F343" t="s">
        <v>1126</v>
      </c>
      <c r="G343" s="101">
        <v>46204</v>
      </c>
      <c r="H343" t="s">
        <v>164</v>
      </c>
      <c r="I343" t="s">
        <v>445</v>
      </c>
      <c r="J343" t="s">
        <v>442</v>
      </c>
      <c r="K343" t="s">
        <v>382</v>
      </c>
      <c r="L343" s="39">
        <v>0.3709837962962963</v>
      </c>
      <c r="M343" s="39">
        <v>0.72752314814814811</v>
      </c>
      <c r="N343">
        <v>8.56</v>
      </c>
      <c r="O343" t="s">
        <v>1127</v>
      </c>
      <c r="P343">
        <v>0</v>
      </c>
      <c r="Q343" t="s">
        <v>586</v>
      </c>
      <c r="R343">
        <v>0</v>
      </c>
      <c r="S343">
        <v>0</v>
      </c>
      <c r="T343" t="s">
        <v>455</v>
      </c>
      <c r="U343" t="s">
        <v>108</v>
      </c>
      <c r="V343" s="101">
        <v>46204</v>
      </c>
      <c r="W343">
        <v>1</v>
      </c>
      <c r="X343">
        <v>1</v>
      </c>
      <c r="Y343">
        <v>0</v>
      </c>
      <c r="Z343">
        <v>0</v>
      </c>
      <c r="AA343">
        <v>0</v>
      </c>
    </row>
    <row r="344" spans="1:27" x14ac:dyDescent="0.3">
      <c r="A344">
        <v>1014</v>
      </c>
      <c r="B344">
        <v>25.5</v>
      </c>
      <c r="C344">
        <v>1.5</v>
      </c>
      <c r="D344">
        <v>0</v>
      </c>
      <c r="E344">
        <v>0</v>
      </c>
      <c r="F344" t="s">
        <v>1126</v>
      </c>
      <c r="G344" s="101">
        <v>46205</v>
      </c>
      <c r="H344" t="s">
        <v>164</v>
      </c>
      <c r="I344" t="s">
        <v>445</v>
      </c>
      <c r="J344" t="s">
        <v>442</v>
      </c>
      <c r="K344" t="s">
        <v>382</v>
      </c>
      <c r="L344" s="39">
        <v>0.37406250000000002</v>
      </c>
      <c r="M344" s="39">
        <v>0.72655092592592596</v>
      </c>
      <c r="N344">
        <v>8.4600000000000009</v>
      </c>
      <c r="O344" t="s">
        <v>1128</v>
      </c>
      <c r="P344">
        <v>0</v>
      </c>
      <c r="Q344" t="s">
        <v>733</v>
      </c>
      <c r="R344">
        <v>0</v>
      </c>
      <c r="S344">
        <v>0</v>
      </c>
      <c r="T344" t="s">
        <v>455</v>
      </c>
      <c r="U344" t="s">
        <v>108</v>
      </c>
      <c r="V344" s="101">
        <v>46205</v>
      </c>
      <c r="W344">
        <v>1</v>
      </c>
      <c r="X344">
        <v>1</v>
      </c>
      <c r="Y344">
        <v>0</v>
      </c>
      <c r="Z344">
        <v>0</v>
      </c>
      <c r="AA344">
        <v>0</v>
      </c>
    </row>
    <row r="345" spans="1:27" x14ac:dyDescent="0.3">
      <c r="A345">
        <v>1014</v>
      </c>
      <c r="B345">
        <v>25.5</v>
      </c>
      <c r="C345">
        <v>1.5</v>
      </c>
      <c r="D345">
        <v>0</v>
      </c>
      <c r="E345">
        <v>0</v>
      </c>
      <c r="F345" t="s">
        <v>1126</v>
      </c>
      <c r="G345" s="101">
        <v>46206</v>
      </c>
      <c r="H345" t="s">
        <v>164</v>
      </c>
      <c r="I345" t="s">
        <v>445</v>
      </c>
      <c r="J345" t="s">
        <v>442</v>
      </c>
      <c r="K345" t="s">
        <v>382</v>
      </c>
      <c r="L345" s="39">
        <v>0.37125000000000002</v>
      </c>
      <c r="M345" s="39">
        <v>0.72803240740740738</v>
      </c>
      <c r="N345">
        <v>8.56</v>
      </c>
      <c r="O345" t="s">
        <v>422</v>
      </c>
      <c r="P345">
        <v>0</v>
      </c>
      <c r="Q345" t="s">
        <v>698</v>
      </c>
      <c r="R345">
        <v>0</v>
      </c>
      <c r="S345">
        <v>0</v>
      </c>
      <c r="T345" t="s">
        <v>455</v>
      </c>
      <c r="U345" t="s">
        <v>108</v>
      </c>
      <c r="V345" s="101">
        <v>46206</v>
      </c>
      <c r="W345">
        <v>1</v>
      </c>
      <c r="X345">
        <v>1</v>
      </c>
      <c r="Y345">
        <v>0</v>
      </c>
      <c r="Z345">
        <v>0</v>
      </c>
      <c r="AA345">
        <v>0</v>
      </c>
    </row>
    <row r="346" spans="1:27" x14ac:dyDescent="0.3">
      <c r="A346">
        <v>1014</v>
      </c>
      <c r="B346">
        <v>25.5</v>
      </c>
      <c r="C346">
        <v>1.5</v>
      </c>
      <c r="D346">
        <v>0</v>
      </c>
      <c r="E346">
        <v>0</v>
      </c>
      <c r="F346" t="s">
        <v>1126</v>
      </c>
      <c r="G346" s="101">
        <v>46207</v>
      </c>
      <c r="H346" t="s">
        <v>164</v>
      </c>
      <c r="I346" t="s">
        <v>445</v>
      </c>
      <c r="J346" t="s">
        <v>442</v>
      </c>
      <c r="K346" t="s">
        <v>382</v>
      </c>
      <c r="L346" s="39">
        <v>0.36877314814814816</v>
      </c>
      <c r="M346" s="39">
        <v>0.72641203703703705</v>
      </c>
      <c r="N346">
        <v>8.58</v>
      </c>
      <c r="O346" t="s">
        <v>1129</v>
      </c>
      <c r="P346">
        <v>0</v>
      </c>
      <c r="Q346" t="s">
        <v>1130</v>
      </c>
      <c r="R346">
        <v>0</v>
      </c>
      <c r="S346">
        <v>0</v>
      </c>
      <c r="T346" t="s">
        <v>455</v>
      </c>
      <c r="U346" t="s">
        <v>108</v>
      </c>
      <c r="V346" s="101">
        <v>46207</v>
      </c>
      <c r="W346">
        <v>1</v>
      </c>
      <c r="X346">
        <v>1</v>
      </c>
      <c r="Y346">
        <v>0</v>
      </c>
      <c r="Z346">
        <v>0</v>
      </c>
      <c r="AA346">
        <v>0</v>
      </c>
    </row>
    <row r="347" spans="1:27" x14ac:dyDescent="0.3">
      <c r="A347">
        <v>1014</v>
      </c>
      <c r="B347">
        <v>25.5</v>
      </c>
      <c r="C347">
        <v>1.5</v>
      </c>
      <c r="D347">
        <v>0</v>
      </c>
      <c r="E347">
        <v>0</v>
      </c>
      <c r="F347" t="s">
        <v>1126</v>
      </c>
      <c r="G347" s="101">
        <v>46208</v>
      </c>
      <c r="H347" t="s">
        <v>164</v>
      </c>
      <c r="I347" t="s">
        <v>445</v>
      </c>
      <c r="J347" t="s">
        <v>442</v>
      </c>
      <c r="K347" t="s">
        <v>383</v>
      </c>
      <c r="L347" s="39">
        <v>0</v>
      </c>
      <c r="M347" s="39">
        <v>0</v>
      </c>
      <c r="N347">
        <v>0</v>
      </c>
      <c r="O347" t="s">
        <v>384</v>
      </c>
      <c r="P347">
        <v>9</v>
      </c>
      <c r="Q347" t="s">
        <v>385</v>
      </c>
      <c r="R347">
        <v>0</v>
      </c>
      <c r="S347">
        <v>9</v>
      </c>
      <c r="T347" t="s">
        <v>455</v>
      </c>
      <c r="U347" t="s">
        <v>366</v>
      </c>
      <c r="V347" s="101">
        <v>46208</v>
      </c>
      <c r="W347">
        <v>0</v>
      </c>
      <c r="X347">
        <v>0</v>
      </c>
      <c r="Y347">
        <v>0</v>
      </c>
      <c r="Z347">
        <v>0</v>
      </c>
      <c r="AA347">
        <v>0</v>
      </c>
    </row>
    <row r="348" spans="1:27" x14ac:dyDescent="0.3">
      <c r="A348">
        <v>1014</v>
      </c>
      <c r="B348">
        <v>25.5</v>
      </c>
      <c r="C348">
        <v>1.5</v>
      </c>
      <c r="D348">
        <v>0</v>
      </c>
      <c r="E348">
        <v>0</v>
      </c>
      <c r="F348" t="s">
        <v>1126</v>
      </c>
      <c r="G348" s="101">
        <v>46209</v>
      </c>
      <c r="H348" t="s">
        <v>164</v>
      </c>
      <c r="I348" t="s">
        <v>445</v>
      </c>
      <c r="J348" t="s">
        <v>442</v>
      </c>
      <c r="K348" t="s">
        <v>382</v>
      </c>
      <c r="L348" s="39">
        <v>0.37731481481481483</v>
      </c>
      <c r="M348" s="39">
        <v>0.72795138888888888</v>
      </c>
      <c r="N348">
        <v>8.42</v>
      </c>
      <c r="O348" t="s">
        <v>433</v>
      </c>
      <c r="P348">
        <v>0</v>
      </c>
      <c r="Q348" t="s">
        <v>612</v>
      </c>
      <c r="R348">
        <v>0</v>
      </c>
      <c r="S348">
        <v>0</v>
      </c>
      <c r="T348" t="s">
        <v>455</v>
      </c>
      <c r="U348" t="s">
        <v>108</v>
      </c>
      <c r="V348" s="101">
        <v>46209</v>
      </c>
      <c r="W348">
        <v>1</v>
      </c>
      <c r="X348">
        <v>1</v>
      </c>
      <c r="Y348">
        <v>0</v>
      </c>
      <c r="Z348">
        <v>0</v>
      </c>
      <c r="AA348">
        <v>0</v>
      </c>
    </row>
    <row r="349" spans="1:27" x14ac:dyDescent="0.3">
      <c r="A349">
        <v>1014</v>
      </c>
      <c r="B349">
        <v>25.5</v>
      </c>
      <c r="C349">
        <v>1.5</v>
      </c>
      <c r="D349">
        <v>0</v>
      </c>
      <c r="E349">
        <v>0</v>
      </c>
      <c r="F349" t="s">
        <v>1126</v>
      </c>
      <c r="G349" s="101">
        <v>46210</v>
      </c>
      <c r="H349" t="s">
        <v>164</v>
      </c>
      <c r="I349" t="s">
        <v>445</v>
      </c>
      <c r="J349" t="s">
        <v>442</v>
      </c>
      <c r="K349" t="s">
        <v>382</v>
      </c>
      <c r="L349" s="39">
        <v>0.37244212962962964</v>
      </c>
      <c r="M349" s="39">
        <v>0.76834490740740746</v>
      </c>
      <c r="N349">
        <v>9.5</v>
      </c>
      <c r="O349" t="s">
        <v>503</v>
      </c>
      <c r="P349">
        <v>0</v>
      </c>
      <c r="Q349" t="s">
        <v>470</v>
      </c>
      <c r="R349">
        <v>0.94</v>
      </c>
      <c r="S349">
        <v>0.94</v>
      </c>
      <c r="T349" t="s">
        <v>455</v>
      </c>
      <c r="U349" t="s">
        <v>108</v>
      </c>
      <c r="V349" s="101">
        <v>46210</v>
      </c>
      <c r="W349">
        <v>1</v>
      </c>
      <c r="X349">
        <v>1</v>
      </c>
      <c r="Y349">
        <v>0</v>
      </c>
      <c r="Z349">
        <v>0</v>
      </c>
      <c r="AA349">
        <v>0</v>
      </c>
    </row>
    <row r="350" spans="1:27" x14ac:dyDescent="0.3">
      <c r="A350">
        <v>1014</v>
      </c>
      <c r="B350">
        <v>25.5</v>
      </c>
      <c r="C350">
        <v>1.5</v>
      </c>
      <c r="D350">
        <v>0</v>
      </c>
      <c r="E350">
        <v>0</v>
      </c>
      <c r="F350" t="s">
        <v>1126</v>
      </c>
      <c r="G350" s="101">
        <v>46211</v>
      </c>
      <c r="H350" t="s">
        <v>164</v>
      </c>
      <c r="I350" t="s">
        <v>445</v>
      </c>
      <c r="J350" t="s">
        <v>442</v>
      </c>
      <c r="K350" t="s">
        <v>382</v>
      </c>
      <c r="L350" s="39">
        <v>0.37195601851851851</v>
      </c>
      <c r="M350" s="39">
        <v>0.76851851851851849</v>
      </c>
      <c r="N350">
        <v>9.52</v>
      </c>
      <c r="O350" t="s">
        <v>549</v>
      </c>
      <c r="P350">
        <v>0</v>
      </c>
      <c r="Q350" t="s">
        <v>1131</v>
      </c>
      <c r="R350">
        <v>0.94</v>
      </c>
      <c r="S350">
        <v>0.94</v>
      </c>
      <c r="T350" t="s">
        <v>455</v>
      </c>
      <c r="U350" t="s">
        <v>108</v>
      </c>
      <c r="V350" s="101">
        <v>46211</v>
      </c>
      <c r="W350">
        <v>1</v>
      </c>
      <c r="X350">
        <v>1</v>
      </c>
      <c r="Y350">
        <v>0</v>
      </c>
      <c r="Z350">
        <v>0</v>
      </c>
      <c r="AA350">
        <v>0</v>
      </c>
    </row>
    <row r="351" spans="1:27" x14ac:dyDescent="0.3">
      <c r="A351">
        <v>1014</v>
      </c>
      <c r="B351">
        <v>25.5</v>
      </c>
      <c r="C351">
        <v>1.5</v>
      </c>
      <c r="D351">
        <v>0</v>
      </c>
      <c r="E351">
        <v>0</v>
      </c>
      <c r="F351" t="s">
        <v>1126</v>
      </c>
      <c r="G351" s="101">
        <v>46212</v>
      </c>
      <c r="H351" t="s">
        <v>164</v>
      </c>
      <c r="I351" t="s">
        <v>445</v>
      </c>
      <c r="J351" t="s">
        <v>442</v>
      </c>
      <c r="K351" t="s">
        <v>382</v>
      </c>
      <c r="L351" s="39">
        <v>0.37187500000000001</v>
      </c>
      <c r="M351" s="39">
        <v>0.76850694444444445</v>
      </c>
      <c r="N351">
        <v>9.52</v>
      </c>
      <c r="O351" t="s">
        <v>967</v>
      </c>
      <c r="P351">
        <v>0</v>
      </c>
      <c r="Q351" t="s">
        <v>1132</v>
      </c>
      <c r="R351">
        <v>0.94</v>
      </c>
      <c r="S351">
        <v>0.94</v>
      </c>
      <c r="T351" t="s">
        <v>455</v>
      </c>
      <c r="U351" t="s">
        <v>108</v>
      </c>
      <c r="V351" s="101">
        <v>46212</v>
      </c>
      <c r="W351">
        <v>1</v>
      </c>
      <c r="X351">
        <v>1</v>
      </c>
      <c r="Y351">
        <v>0</v>
      </c>
      <c r="Z351">
        <v>0</v>
      </c>
      <c r="AA351">
        <v>0</v>
      </c>
    </row>
    <row r="352" spans="1:27" x14ac:dyDescent="0.3">
      <c r="A352">
        <v>1014</v>
      </c>
      <c r="B352">
        <v>25.5</v>
      </c>
      <c r="C352">
        <v>1.5</v>
      </c>
      <c r="D352">
        <v>0</v>
      </c>
      <c r="E352">
        <v>0</v>
      </c>
      <c r="F352" t="s">
        <v>1126</v>
      </c>
      <c r="G352" s="101">
        <v>46213</v>
      </c>
      <c r="H352" t="s">
        <v>164</v>
      </c>
      <c r="I352" t="s">
        <v>445</v>
      </c>
      <c r="J352" t="s">
        <v>442</v>
      </c>
      <c r="K352" t="s">
        <v>382</v>
      </c>
      <c r="L352" s="39">
        <v>0.37468750000000001</v>
      </c>
      <c r="M352" s="39">
        <v>0.76795138888888892</v>
      </c>
      <c r="N352">
        <v>9.44</v>
      </c>
      <c r="O352" t="s">
        <v>1133</v>
      </c>
      <c r="P352">
        <v>0</v>
      </c>
      <c r="Q352" t="s">
        <v>590</v>
      </c>
      <c r="R352">
        <v>0.93</v>
      </c>
      <c r="S352">
        <v>0.93</v>
      </c>
      <c r="T352" t="s">
        <v>455</v>
      </c>
      <c r="U352" t="s">
        <v>108</v>
      </c>
      <c r="V352" s="101">
        <v>46213</v>
      </c>
      <c r="W352">
        <v>1</v>
      </c>
      <c r="X352">
        <v>1</v>
      </c>
      <c r="Y352">
        <v>0</v>
      </c>
      <c r="Z352">
        <v>0</v>
      </c>
      <c r="AA352">
        <v>0</v>
      </c>
    </row>
    <row r="353" spans="1:27" x14ac:dyDescent="0.3">
      <c r="A353">
        <v>1014</v>
      </c>
      <c r="B353">
        <v>25.5</v>
      </c>
      <c r="C353">
        <v>1.5</v>
      </c>
      <c r="D353">
        <v>0</v>
      </c>
      <c r="E353">
        <v>0</v>
      </c>
      <c r="F353" t="s">
        <v>1126</v>
      </c>
      <c r="G353" s="101">
        <v>46214</v>
      </c>
      <c r="H353" t="s">
        <v>164</v>
      </c>
      <c r="I353" t="s">
        <v>445</v>
      </c>
      <c r="J353" t="s">
        <v>442</v>
      </c>
      <c r="K353" t="s">
        <v>382</v>
      </c>
      <c r="L353" s="39">
        <v>0.36894675925925924</v>
      </c>
      <c r="M353" s="39">
        <v>0.76923611111111112</v>
      </c>
      <c r="N353">
        <v>9.61</v>
      </c>
      <c r="O353" t="s">
        <v>1097</v>
      </c>
      <c r="P353">
        <v>0</v>
      </c>
      <c r="Q353" t="s">
        <v>1134</v>
      </c>
      <c r="R353">
        <v>0.96</v>
      </c>
      <c r="S353">
        <v>0.96</v>
      </c>
      <c r="T353" t="s">
        <v>455</v>
      </c>
      <c r="U353" t="s">
        <v>108</v>
      </c>
      <c r="V353" s="101">
        <v>46214</v>
      </c>
      <c r="W353">
        <v>1</v>
      </c>
      <c r="X353">
        <v>1</v>
      </c>
      <c r="Y353">
        <v>0</v>
      </c>
      <c r="Z353">
        <v>0</v>
      </c>
      <c r="AA353">
        <v>0</v>
      </c>
    </row>
    <row r="354" spans="1:27" x14ac:dyDescent="0.3">
      <c r="A354">
        <v>1014</v>
      </c>
      <c r="B354">
        <v>25.5</v>
      </c>
      <c r="C354">
        <v>1.5</v>
      </c>
      <c r="D354">
        <v>0</v>
      </c>
      <c r="E354">
        <v>0</v>
      </c>
      <c r="F354" t="s">
        <v>1126</v>
      </c>
      <c r="G354" s="101">
        <v>46215</v>
      </c>
      <c r="H354" t="s">
        <v>164</v>
      </c>
      <c r="I354" t="s">
        <v>445</v>
      </c>
      <c r="J354" t="s">
        <v>442</v>
      </c>
      <c r="K354" t="s">
        <v>383</v>
      </c>
      <c r="L354" s="39">
        <v>0</v>
      </c>
      <c r="M354" s="39">
        <v>0</v>
      </c>
      <c r="N354">
        <v>0</v>
      </c>
      <c r="O354" t="s">
        <v>384</v>
      </c>
      <c r="P354">
        <v>9</v>
      </c>
      <c r="Q354" t="s">
        <v>385</v>
      </c>
      <c r="R354">
        <v>0</v>
      </c>
      <c r="S354">
        <v>9</v>
      </c>
      <c r="T354" t="s">
        <v>455</v>
      </c>
      <c r="U354" t="s">
        <v>366</v>
      </c>
      <c r="V354" s="101">
        <v>46215</v>
      </c>
      <c r="W354">
        <v>0</v>
      </c>
      <c r="X354">
        <v>0</v>
      </c>
      <c r="Y354">
        <v>0</v>
      </c>
      <c r="Z354">
        <v>0</v>
      </c>
      <c r="AA354">
        <v>0</v>
      </c>
    </row>
    <row r="355" spans="1:27" x14ac:dyDescent="0.3">
      <c r="A355">
        <v>1014</v>
      </c>
      <c r="B355">
        <v>25.5</v>
      </c>
      <c r="C355">
        <v>1.5</v>
      </c>
      <c r="D355">
        <v>0</v>
      </c>
      <c r="E355">
        <v>0</v>
      </c>
      <c r="F355" t="s">
        <v>1126</v>
      </c>
      <c r="G355" s="101">
        <v>46216</v>
      </c>
      <c r="H355" t="s">
        <v>164</v>
      </c>
      <c r="I355" t="s">
        <v>445</v>
      </c>
      <c r="J355" t="s">
        <v>442</v>
      </c>
      <c r="K355" t="s">
        <v>382</v>
      </c>
      <c r="L355" s="39">
        <v>0.36585648148148148</v>
      </c>
      <c r="M355" s="39">
        <v>0.76905092592592594</v>
      </c>
      <c r="N355">
        <v>9.68</v>
      </c>
      <c r="O355" t="s">
        <v>1135</v>
      </c>
      <c r="P355">
        <v>0</v>
      </c>
      <c r="Q355" t="s">
        <v>1015</v>
      </c>
      <c r="R355">
        <v>0.96</v>
      </c>
      <c r="S355">
        <v>0.96</v>
      </c>
      <c r="T355" t="s">
        <v>455</v>
      </c>
      <c r="U355" t="s">
        <v>108</v>
      </c>
      <c r="V355" s="101">
        <v>46216</v>
      </c>
      <c r="W355">
        <v>1</v>
      </c>
      <c r="X355">
        <v>1</v>
      </c>
      <c r="Y355">
        <v>0</v>
      </c>
      <c r="Z355">
        <v>0</v>
      </c>
      <c r="AA355">
        <v>0</v>
      </c>
    </row>
    <row r="356" spans="1:27" x14ac:dyDescent="0.3">
      <c r="A356">
        <v>1014</v>
      </c>
      <c r="B356">
        <v>25.5</v>
      </c>
      <c r="C356">
        <v>1.5</v>
      </c>
      <c r="D356">
        <v>0</v>
      </c>
      <c r="E356">
        <v>0</v>
      </c>
      <c r="F356" t="s">
        <v>1126</v>
      </c>
      <c r="G356" s="101">
        <v>46217</v>
      </c>
      <c r="H356" t="s">
        <v>164</v>
      </c>
      <c r="I356" t="s">
        <v>445</v>
      </c>
      <c r="J356" t="s">
        <v>442</v>
      </c>
      <c r="K356" t="s">
        <v>382</v>
      </c>
      <c r="L356" s="39">
        <v>0.36813657407407407</v>
      </c>
      <c r="M356" s="39">
        <v>0.76857638888888891</v>
      </c>
      <c r="N356">
        <v>9.61</v>
      </c>
      <c r="O356" t="s">
        <v>617</v>
      </c>
      <c r="P356">
        <v>0</v>
      </c>
      <c r="Q356" t="s">
        <v>1136</v>
      </c>
      <c r="R356">
        <v>0.95</v>
      </c>
      <c r="S356">
        <v>0.95</v>
      </c>
      <c r="T356" t="s">
        <v>455</v>
      </c>
      <c r="U356" t="s">
        <v>108</v>
      </c>
      <c r="V356" s="101">
        <v>46217</v>
      </c>
      <c r="W356">
        <v>1</v>
      </c>
      <c r="X356">
        <v>1</v>
      </c>
      <c r="Y356">
        <v>0</v>
      </c>
      <c r="Z356">
        <v>0</v>
      </c>
      <c r="AA356">
        <v>0</v>
      </c>
    </row>
    <row r="357" spans="1:27" x14ac:dyDescent="0.3">
      <c r="A357">
        <v>1014</v>
      </c>
      <c r="B357">
        <v>25.5</v>
      </c>
      <c r="C357">
        <v>1.5</v>
      </c>
      <c r="D357">
        <v>0</v>
      </c>
      <c r="E357">
        <v>0</v>
      </c>
      <c r="F357" t="s">
        <v>1126</v>
      </c>
      <c r="G357" s="101">
        <v>46218</v>
      </c>
      <c r="H357" t="s">
        <v>164</v>
      </c>
      <c r="I357" t="s">
        <v>445</v>
      </c>
      <c r="J357" t="s">
        <v>442</v>
      </c>
      <c r="K357" t="s">
        <v>382</v>
      </c>
      <c r="L357" s="39">
        <v>0.37064814814814817</v>
      </c>
      <c r="M357" s="39">
        <v>0.7686574074074074</v>
      </c>
      <c r="N357">
        <v>9.5500000000000007</v>
      </c>
      <c r="O357" t="s">
        <v>1137</v>
      </c>
      <c r="P357">
        <v>0</v>
      </c>
      <c r="Q357" t="s">
        <v>1138</v>
      </c>
      <c r="R357">
        <v>0.95</v>
      </c>
      <c r="S357">
        <v>0.95</v>
      </c>
      <c r="T357" t="s">
        <v>455</v>
      </c>
      <c r="U357" t="s">
        <v>108</v>
      </c>
      <c r="V357" s="101">
        <v>46218</v>
      </c>
      <c r="W357">
        <v>1</v>
      </c>
      <c r="X357">
        <v>1</v>
      </c>
      <c r="Y357">
        <v>0</v>
      </c>
      <c r="Z357">
        <v>0</v>
      </c>
      <c r="AA357">
        <v>0</v>
      </c>
    </row>
    <row r="358" spans="1:27" x14ac:dyDescent="0.3">
      <c r="A358">
        <v>1014</v>
      </c>
      <c r="B358">
        <v>25.5</v>
      </c>
      <c r="C358">
        <v>1.5</v>
      </c>
      <c r="D358">
        <v>0</v>
      </c>
      <c r="E358">
        <v>0</v>
      </c>
      <c r="F358" t="s">
        <v>1126</v>
      </c>
      <c r="G358" s="101">
        <v>46219</v>
      </c>
      <c r="H358" t="s">
        <v>164</v>
      </c>
      <c r="I358" t="s">
        <v>445</v>
      </c>
      <c r="J358" t="s">
        <v>442</v>
      </c>
      <c r="K358" t="s">
        <v>383</v>
      </c>
      <c r="L358" s="39">
        <v>0</v>
      </c>
      <c r="M358" s="39">
        <v>0</v>
      </c>
      <c r="N358">
        <v>0</v>
      </c>
      <c r="O358" t="s">
        <v>384</v>
      </c>
      <c r="P358">
        <v>9</v>
      </c>
      <c r="Q358" t="s">
        <v>385</v>
      </c>
      <c r="R358">
        <v>0</v>
      </c>
      <c r="S358">
        <v>9</v>
      </c>
      <c r="T358" t="s">
        <v>455</v>
      </c>
      <c r="U358" t="s">
        <v>366</v>
      </c>
      <c r="V358" s="101">
        <v>46219</v>
      </c>
      <c r="W358">
        <v>0</v>
      </c>
      <c r="X358">
        <v>0</v>
      </c>
      <c r="Y358">
        <v>0</v>
      </c>
      <c r="Z358">
        <v>0</v>
      </c>
      <c r="AA358">
        <v>0</v>
      </c>
    </row>
    <row r="359" spans="1:27" x14ac:dyDescent="0.3">
      <c r="A359">
        <v>1014</v>
      </c>
      <c r="B359">
        <v>25.5</v>
      </c>
      <c r="C359">
        <v>1.5</v>
      </c>
      <c r="D359">
        <v>0</v>
      </c>
      <c r="E359">
        <v>0</v>
      </c>
      <c r="F359" t="s">
        <v>1126</v>
      </c>
      <c r="G359" s="101">
        <v>46220</v>
      </c>
      <c r="H359" t="s">
        <v>164</v>
      </c>
      <c r="I359" t="s">
        <v>445</v>
      </c>
      <c r="J359" t="s">
        <v>442</v>
      </c>
      <c r="K359" t="s">
        <v>382</v>
      </c>
      <c r="L359" s="39">
        <v>0.36803240740740739</v>
      </c>
      <c r="M359" s="39">
        <v>0.76849537037037041</v>
      </c>
      <c r="N359">
        <v>9.61</v>
      </c>
      <c r="O359" t="s">
        <v>1139</v>
      </c>
      <c r="P359">
        <v>0</v>
      </c>
      <c r="Q359" t="s">
        <v>1140</v>
      </c>
      <c r="R359">
        <v>0.94</v>
      </c>
      <c r="S359">
        <v>0.94</v>
      </c>
      <c r="T359" t="s">
        <v>455</v>
      </c>
      <c r="U359" t="s">
        <v>108</v>
      </c>
      <c r="V359" s="101">
        <v>46220</v>
      </c>
      <c r="W359">
        <v>1</v>
      </c>
      <c r="X359">
        <v>1</v>
      </c>
      <c r="Y359">
        <v>0</v>
      </c>
      <c r="Z359">
        <v>0</v>
      </c>
      <c r="AA359">
        <v>0</v>
      </c>
    </row>
    <row r="360" spans="1:27" x14ac:dyDescent="0.3">
      <c r="A360">
        <v>1014</v>
      </c>
      <c r="B360">
        <v>25.5</v>
      </c>
      <c r="C360">
        <v>1.5</v>
      </c>
      <c r="D360">
        <v>0</v>
      </c>
      <c r="E360">
        <v>0</v>
      </c>
      <c r="F360" t="s">
        <v>1126</v>
      </c>
      <c r="G360" s="101">
        <v>46221</v>
      </c>
      <c r="H360" t="s">
        <v>164</v>
      </c>
      <c r="I360" t="s">
        <v>445</v>
      </c>
      <c r="J360" t="s">
        <v>442</v>
      </c>
      <c r="K360" t="s">
        <v>382</v>
      </c>
      <c r="L360" s="39">
        <v>0.37085648148148148</v>
      </c>
      <c r="M360" s="39">
        <v>0.72879629629629628</v>
      </c>
      <c r="N360">
        <v>8.59</v>
      </c>
      <c r="O360" t="s">
        <v>664</v>
      </c>
      <c r="P360">
        <v>0</v>
      </c>
      <c r="Q360" t="s">
        <v>515</v>
      </c>
      <c r="R360">
        <v>0</v>
      </c>
      <c r="S360">
        <v>0</v>
      </c>
      <c r="T360" t="s">
        <v>455</v>
      </c>
      <c r="U360" t="s">
        <v>108</v>
      </c>
      <c r="V360" s="101">
        <v>46221</v>
      </c>
      <c r="W360">
        <v>1</v>
      </c>
      <c r="X360">
        <v>1</v>
      </c>
      <c r="Y360">
        <v>0</v>
      </c>
      <c r="Z360">
        <v>0</v>
      </c>
      <c r="AA360">
        <v>0</v>
      </c>
    </row>
    <row r="361" spans="1:27" x14ac:dyDescent="0.3">
      <c r="A361">
        <v>1014</v>
      </c>
      <c r="B361">
        <v>25.5</v>
      </c>
      <c r="C361">
        <v>1.5</v>
      </c>
      <c r="D361">
        <v>0</v>
      </c>
      <c r="E361">
        <v>0</v>
      </c>
      <c r="F361" t="s">
        <v>1126</v>
      </c>
      <c r="G361" s="101">
        <v>46222</v>
      </c>
      <c r="H361" t="s">
        <v>164</v>
      </c>
      <c r="I361" t="s">
        <v>445</v>
      </c>
      <c r="J361" t="s">
        <v>442</v>
      </c>
      <c r="K361" t="s">
        <v>383</v>
      </c>
      <c r="L361" s="39">
        <v>0</v>
      </c>
      <c r="M361" s="39">
        <v>0</v>
      </c>
      <c r="N361">
        <v>0</v>
      </c>
      <c r="O361" t="s">
        <v>384</v>
      </c>
      <c r="P361">
        <v>9</v>
      </c>
      <c r="Q361" t="s">
        <v>385</v>
      </c>
      <c r="R361">
        <v>0</v>
      </c>
      <c r="S361">
        <v>9</v>
      </c>
      <c r="T361" t="s">
        <v>455</v>
      </c>
      <c r="U361" t="s">
        <v>366</v>
      </c>
      <c r="V361" s="101">
        <v>46222</v>
      </c>
      <c r="W361">
        <v>0</v>
      </c>
      <c r="X361">
        <v>0</v>
      </c>
      <c r="Y361">
        <v>0</v>
      </c>
      <c r="Z361">
        <v>0</v>
      </c>
      <c r="AA361">
        <v>0</v>
      </c>
    </row>
    <row r="362" spans="1:27" x14ac:dyDescent="0.3">
      <c r="A362">
        <v>1014</v>
      </c>
      <c r="B362">
        <v>25.5</v>
      </c>
      <c r="C362">
        <v>1.5</v>
      </c>
      <c r="D362">
        <v>0</v>
      </c>
      <c r="E362">
        <v>0</v>
      </c>
      <c r="F362" t="s">
        <v>1126</v>
      </c>
      <c r="G362" s="101">
        <v>46223</v>
      </c>
      <c r="H362" t="s">
        <v>164</v>
      </c>
      <c r="I362" t="s">
        <v>445</v>
      </c>
      <c r="J362" t="s">
        <v>442</v>
      </c>
      <c r="K362" t="s">
        <v>382</v>
      </c>
      <c r="L362" s="39">
        <v>0.37089120370370371</v>
      </c>
      <c r="M362" s="39">
        <v>0.76888888888888884</v>
      </c>
      <c r="N362">
        <v>9.5500000000000007</v>
      </c>
      <c r="O362" t="s">
        <v>1141</v>
      </c>
      <c r="P362">
        <v>0</v>
      </c>
      <c r="Q362" t="s">
        <v>1035</v>
      </c>
      <c r="R362">
        <v>0.95</v>
      </c>
      <c r="S362">
        <v>0.95</v>
      </c>
      <c r="T362" t="s">
        <v>455</v>
      </c>
      <c r="U362" t="s">
        <v>108</v>
      </c>
      <c r="V362" s="101">
        <v>46223</v>
      </c>
      <c r="W362">
        <v>1</v>
      </c>
      <c r="X362">
        <v>1</v>
      </c>
      <c r="Y362">
        <v>0</v>
      </c>
      <c r="Z362">
        <v>0</v>
      </c>
      <c r="AA362">
        <v>0</v>
      </c>
    </row>
    <row r="363" spans="1:27" x14ac:dyDescent="0.3">
      <c r="A363">
        <v>1014</v>
      </c>
      <c r="B363">
        <v>25.5</v>
      </c>
      <c r="C363">
        <v>1.5</v>
      </c>
      <c r="D363">
        <v>0</v>
      </c>
      <c r="E363">
        <v>0</v>
      </c>
      <c r="F363" t="s">
        <v>1126</v>
      </c>
      <c r="G363" s="101">
        <v>46224</v>
      </c>
      <c r="H363" t="s">
        <v>164</v>
      </c>
      <c r="I363" t="s">
        <v>445</v>
      </c>
      <c r="J363" t="s">
        <v>442</v>
      </c>
      <c r="K363" t="s">
        <v>382</v>
      </c>
      <c r="L363" s="39">
        <v>0.37584490740740739</v>
      </c>
      <c r="M363" s="39">
        <v>0.7275462962962963</v>
      </c>
      <c r="N363">
        <v>8.44</v>
      </c>
      <c r="O363" t="s">
        <v>753</v>
      </c>
      <c r="P363">
        <v>0</v>
      </c>
      <c r="Q363" t="s">
        <v>1142</v>
      </c>
      <c r="R363">
        <v>0</v>
      </c>
      <c r="S363">
        <v>0</v>
      </c>
      <c r="T363" t="s">
        <v>455</v>
      </c>
      <c r="U363" t="s">
        <v>108</v>
      </c>
      <c r="V363" s="101">
        <v>46224</v>
      </c>
      <c r="W363">
        <v>1</v>
      </c>
      <c r="X363">
        <v>1</v>
      </c>
      <c r="Y363">
        <v>0</v>
      </c>
      <c r="Z363">
        <v>0</v>
      </c>
      <c r="AA363">
        <v>0</v>
      </c>
    </row>
    <row r="364" spans="1:27" x14ac:dyDescent="0.3">
      <c r="A364">
        <v>1014</v>
      </c>
      <c r="B364">
        <v>25.5</v>
      </c>
      <c r="C364">
        <v>1.5</v>
      </c>
      <c r="D364">
        <v>0</v>
      </c>
      <c r="E364">
        <v>0</v>
      </c>
      <c r="F364" t="s">
        <v>1126</v>
      </c>
      <c r="G364" s="101">
        <v>46225</v>
      </c>
      <c r="H364" t="s">
        <v>164</v>
      </c>
      <c r="I364" t="s">
        <v>445</v>
      </c>
      <c r="J364" t="s">
        <v>442</v>
      </c>
      <c r="K364" t="s">
        <v>382</v>
      </c>
      <c r="L364" s="39">
        <v>0.37350694444444443</v>
      </c>
      <c r="M364" s="39">
        <v>0.57847222222222228</v>
      </c>
      <c r="N364">
        <v>4.92</v>
      </c>
      <c r="O364" t="s">
        <v>550</v>
      </c>
      <c r="P364">
        <v>0</v>
      </c>
      <c r="Q364" t="s">
        <v>1143</v>
      </c>
      <c r="R364">
        <v>0</v>
      </c>
      <c r="S364">
        <v>0</v>
      </c>
      <c r="T364" t="s">
        <v>455</v>
      </c>
      <c r="U364" t="s">
        <v>314</v>
      </c>
      <c r="V364" s="101">
        <v>46225</v>
      </c>
      <c r="W364">
        <v>0.5</v>
      </c>
      <c r="X364">
        <v>0.5</v>
      </c>
      <c r="Y364">
        <v>0</v>
      </c>
      <c r="Z364">
        <v>0</v>
      </c>
      <c r="AA364">
        <v>0</v>
      </c>
    </row>
    <row r="365" spans="1:27" x14ac:dyDescent="0.3">
      <c r="A365">
        <v>1014</v>
      </c>
      <c r="B365">
        <v>25.5</v>
      </c>
      <c r="C365">
        <v>1.5</v>
      </c>
      <c r="D365">
        <v>0</v>
      </c>
      <c r="E365">
        <v>0</v>
      </c>
      <c r="F365" t="s">
        <v>1126</v>
      </c>
      <c r="G365" s="101">
        <v>46226</v>
      </c>
      <c r="H365" t="s">
        <v>164</v>
      </c>
      <c r="I365" t="s">
        <v>445</v>
      </c>
      <c r="J365" t="s">
        <v>442</v>
      </c>
      <c r="K365" t="s">
        <v>382</v>
      </c>
      <c r="L365" s="39">
        <v>0.36846064814814816</v>
      </c>
      <c r="M365" s="39">
        <v>0.76876157407407408</v>
      </c>
      <c r="N365">
        <v>9.61</v>
      </c>
      <c r="O365" t="s">
        <v>1144</v>
      </c>
      <c r="P365">
        <v>0</v>
      </c>
      <c r="Q365" t="s">
        <v>1145</v>
      </c>
      <c r="R365">
        <v>0.95</v>
      </c>
      <c r="S365">
        <v>0.95</v>
      </c>
      <c r="T365" t="s">
        <v>455</v>
      </c>
      <c r="U365" t="s">
        <v>108</v>
      </c>
      <c r="V365" s="101">
        <v>46226</v>
      </c>
      <c r="W365">
        <v>1</v>
      </c>
      <c r="X365">
        <v>1</v>
      </c>
      <c r="Y365">
        <v>0</v>
      </c>
      <c r="Z365">
        <v>0</v>
      </c>
      <c r="AA365">
        <v>0</v>
      </c>
    </row>
    <row r="366" spans="1:27" x14ac:dyDescent="0.3">
      <c r="A366">
        <v>1014</v>
      </c>
      <c r="B366">
        <v>25.5</v>
      </c>
      <c r="C366">
        <v>1.5</v>
      </c>
      <c r="D366">
        <v>0</v>
      </c>
      <c r="E366">
        <v>0</v>
      </c>
      <c r="F366" t="s">
        <v>1126</v>
      </c>
      <c r="G366" s="101">
        <v>46227</v>
      </c>
      <c r="H366" t="s">
        <v>164</v>
      </c>
      <c r="I366" t="s">
        <v>445</v>
      </c>
      <c r="J366" t="s">
        <v>442</v>
      </c>
      <c r="K366" t="s">
        <v>382</v>
      </c>
      <c r="L366" s="39">
        <v>0.36961805555555555</v>
      </c>
      <c r="M366" s="39">
        <v>0.76885416666666662</v>
      </c>
      <c r="N366">
        <v>9.58</v>
      </c>
      <c r="O366" t="s">
        <v>514</v>
      </c>
      <c r="P366">
        <v>0</v>
      </c>
      <c r="Q366" t="s">
        <v>1146</v>
      </c>
      <c r="R366">
        <v>0.95</v>
      </c>
      <c r="S366">
        <v>0.95</v>
      </c>
      <c r="T366" t="s">
        <v>455</v>
      </c>
      <c r="U366" t="s">
        <v>108</v>
      </c>
      <c r="V366" s="101">
        <v>46227</v>
      </c>
      <c r="W366">
        <v>1</v>
      </c>
      <c r="X366">
        <v>1</v>
      </c>
      <c r="Y366">
        <v>0</v>
      </c>
      <c r="Z366">
        <v>0</v>
      </c>
      <c r="AA366">
        <v>0</v>
      </c>
    </row>
    <row r="367" spans="1:27" x14ac:dyDescent="0.3">
      <c r="A367">
        <v>1014</v>
      </c>
      <c r="B367">
        <v>25.5</v>
      </c>
      <c r="C367">
        <v>1.5</v>
      </c>
      <c r="D367">
        <v>0</v>
      </c>
      <c r="E367">
        <v>0</v>
      </c>
      <c r="F367" t="s">
        <v>1126</v>
      </c>
      <c r="G367" s="101">
        <v>46228</v>
      </c>
      <c r="H367" t="s">
        <v>164</v>
      </c>
      <c r="I367" t="s">
        <v>445</v>
      </c>
      <c r="J367" t="s">
        <v>442</v>
      </c>
      <c r="K367" t="s">
        <v>382</v>
      </c>
      <c r="L367" s="39">
        <v>0.37001157407407409</v>
      </c>
      <c r="M367" s="39">
        <v>0.76849537037037041</v>
      </c>
      <c r="N367">
        <v>9.56</v>
      </c>
      <c r="O367" t="s">
        <v>564</v>
      </c>
      <c r="P367">
        <v>0</v>
      </c>
      <c r="Q367" t="s">
        <v>1140</v>
      </c>
      <c r="R367">
        <v>0.94</v>
      </c>
      <c r="S367">
        <v>0.94</v>
      </c>
      <c r="T367" t="s">
        <v>455</v>
      </c>
      <c r="U367" t="s">
        <v>108</v>
      </c>
      <c r="V367" s="101">
        <v>46228</v>
      </c>
      <c r="W367">
        <v>1</v>
      </c>
      <c r="X367">
        <v>1</v>
      </c>
      <c r="Y367">
        <v>0</v>
      </c>
      <c r="Z367">
        <v>0</v>
      </c>
      <c r="AA367">
        <v>0</v>
      </c>
    </row>
    <row r="368" spans="1:27" x14ac:dyDescent="0.3">
      <c r="A368">
        <v>1014</v>
      </c>
      <c r="B368">
        <v>25.5</v>
      </c>
      <c r="C368">
        <v>1.5</v>
      </c>
      <c r="D368">
        <v>0</v>
      </c>
      <c r="E368">
        <v>0</v>
      </c>
      <c r="F368" t="s">
        <v>1126</v>
      </c>
      <c r="G368" s="101">
        <v>46229</v>
      </c>
      <c r="H368" t="s">
        <v>164</v>
      </c>
      <c r="I368" t="s">
        <v>445</v>
      </c>
      <c r="J368" t="s">
        <v>442</v>
      </c>
      <c r="K368" t="s">
        <v>383</v>
      </c>
      <c r="L368" s="39">
        <v>0</v>
      </c>
      <c r="M368" s="39">
        <v>0</v>
      </c>
      <c r="N368">
        <v>0</v>
      </c>
      <c r="O368" t="s">
        <v>384</v>
      </c>
      <c r="P368">
        <v>9</v>
      </c>
      <c r="Q368" t="s">
        <v>385</v>
      </c>
      <c r="R368">
        <v>0</v>
      </c>
      <c r="S368">
        <v>9</v>
      </c>
      <c r="T368" t="s">
        <v>455</v>
      </c>
      <c r="U368" t="s">
        <v>366</v>
      </c>
      <c r="V368" s="101">
        <v>46229</v>
      </c>
      <c r="W368">
        <v>0</v>
      </c>
      <c r="X368">
        <v>0</v>
      </c>
      <c r="Y368">
        <v>0</v>
      </c>
      <c r="Z368">
        <v>0</v>
      </c>
      <c r="AA368">
        <v>0</v>
      </c>
    </row>
    <row r="369" spans="1:27" x14ac:dyDescent="0.3">
      <c r="A369">
        <v>1014</v>
      </c>
      <c r="B369">
        <v>25.5</v>
      </c>
      <c r="C369">
        <v>1.5</v>
      </c>
      <c r="D369">
        <v>0</v>
      </c>
      <c r="E369">
        <v>0</v>
      </c>
      <c r="F369" t="s">
        <v>1126</v>
      </c>
      <c r="G369" s="101">
        <v>46230</v>
      </c>
      <c r="H369" t="s">
        <v>164</v>
      </c>
      <c r="I369" t="s">
        <v>445</v>
      </c>
      <c r="J369" t="s">
        <v>442</v>
      </c>
      <c r="K369" t="s">
        <v>382</v>
      </c>
      <c r="L369" s="39">
        <v>0.3674074074074074</v>
      </c>
      <c r="M369" s="39">
        <v>0.76914351851851848</v>
      </c>
      <c r="N369">
        <v>9.64</v>
      </c>
      <c r="O369" t="s">
        <v>1147</v>
      </c>
      <c r="P369">
        <v>0</v>
      </c>
      <c r="Q369" t="s">
        <v>1148</v>
      </c>
      <c r="R369">
        <v>0.96</v>
      </c>
      <c r="S369">
        <v>0.96</v>
      </c>
      <c r="T369" t="s">
        <v>455</v>
      </c>
      <c r="U369" t="s">
        <v>108</v>
      </c>
      <c r="V369" s="101">
        <v>46230</v>
      </c>
      <c r="W369">
        <v>1</v>
      </c>
      <c r="X369">
        <v>1</v>
      </c>
      <c r="Y369">
        <v>0</v>
      </c>
      <c r="Z369">
        <v>0</v>
      </c>
      <c r="AA369">
        <v>0</v>
      </c>
    </row>
    <row r="370" spans="1:27" x14ac:dyDescent="0.3">
      <c r="A370">
        <v>1014</v>
      </c>
      <c r="B370">
        <v>25.5</v>
      </c>
      <c r="C370">
        <v>1.5</v>
      </c>
      <c r="D370">
        <v>0</v>
      </c>
      <c r="E370">
        <v>0</v>
      </c>
      <c r="F370" t="s">
        <v>1126</v>
      </c>
      <c r="G370" s="101">
        <v>46231</v>
      </c>
      <c r="H370" t="s">
        <v>164</v>
      </c>
      <c r="I370" t="s">
        <v>445</v>
      </c>
      <c r="J370" t="s">
        <v>442</v>
      </c>
      <c r="K370" t="s">
        <v>382</v>
      </c>
      <c r="L370" s="39">
        <v>0.36868055555555557</v>
      </c>
      <c r="M370" s="39">
        <v>0.68141203703703701</v>
      </c>
      <c r="N370">
        <v>7.51</v>
      </c>
      <c r="O370" t="s">
        <v>1075</v>
      </c>
      <c r="P370">
        <v>0</v>
      </c>
      <c r="Q370" t="s">
        <v>1149</v>
      </c>
      <c r="R370">
        <v>0</v>
      </c>
      <c r="S370">
        <v>0</v>
      </c>
      <c r="T370" t="s">
        <v>455</v>
      </c>
      <c r="U370" t="s">
        <v>108</v>
      </c>
      <c r="V370" s="101">
        <v>46231</v>
      </c>
      <c r="W370">
        <v>1</v>
      </c>
      <c r="X370">
        <v>1</v>
      </c>
      <c r="Y370">
        <v>0</v>
      </c>
      <c r="Z370">
        <v>0</v>
      </c>
      <c r="AA370">
        <v>0</v>
      </c>
    </row>
    <row r="371" spans="1:27" x14ac:dyDescent="0.3">
      <c r="A371">
        <v>1014</v>
      </c>
      <c r="B371">
        <v>25.5</v>
      </c>
      <c r="C371">
        <v>1.5</v>
      </c>
      <c r="D371">
        <v>0</v>
      </c>
      <c r="E371">
        <v>0</v>
      </c>
      <c r="F371" t="s">
        <v>1126</v>
      </c>
      <c r="G371" s="101">
        <v>46232</v>
      </c>
      <c r="H371" t="s">
        <v>164</v>
      </c>
      <c r="I371" t="s">
        <v>445</v>
      </c>
      <c r="J371" t="s">
        <v>442</v>
      </c>
      <c r="K371" t="s">
        <v>382</v>
      </c>
      <c r="L371" s="39">
        <v>0.43554398148148149</v>
      </c>
      <c r="M371" s="39">
        <v>0.76754629629629634</v>
      </c>
      <c r="N371">
        <v>7.97</v>
      </c>
      <c r="O371" t="s">
        <v>1150</v>
      </c>
      <c r="P371">
        <v>0</v>
      </c>
      <c r="Q371" t="s">
        <v>1151</v>
      </c>
      <c r="R371">
        <v>0.92</v>
      </c>
      <c r="S371">
        <v>0.92</v>
      </c>
      <c r="T371" t="s">
        <v>455</v>
      </c>
      <c r="U371" t="s">
        <v>108</v>
      </c>
      <c r="V371" s="101">
        <v>46232</v>
      </c>
      <c r="W371">
        <v>1</v>
      </c>
      <c r="X371">
        <v>1</v>
      </c>
      <c r="Y371">
        <v>0</v>
      </c>
      <c r="Z371">
        <v>0</v>
      </c>
      <c r="AA371">
        <v>0</v>
      </c>
    </row>
    <row r="372" spans="1:27" x14ac:dyDescent="0.3">
      <c r="A372">
        <v>1014</v>
      </c>
      <c r="B372">
        <v>25.5</v>
      </c>
      <c r="C372">
        <v>1.5</v>
      </c>
      <c r="D372">
        <v>0</v>
      </c>
      <c r="E372">
        <v>0</v>
      </c>
      <c r="F372" t="s">
        <v>1126</v>
      </c>
      <c r="G372" s="101">
        <v>46233</v>
      </c>
      <c r="H372" t="s">
        <v>164</v>
      </c>
      <c r="I372" t="s">
        <v>445</v>
      </c>
      <c r="J372" t="s">
        <v>442</v>
      </c>
      <c r="K372" t="s">
        <v>382</v>
      </c>
      <c r="L372" s="39">
        <v>0.3704513888888889</v>
      </c>
      <c r="M372" s="39">
        <v>0.76810185185185187</v>
      </c>
      <c r="N372">
        <v>9.5399999999999991</v>
      </c>
      <c r="O372" t="s">
        <v>756</v>
      </c>
      <c r="P372">
        <v>0</v>
      </c>
      <c r="Q372" t="s">
        <v>1033</v>
      </c>
      <c r="R372">
        <v>0.93</v>
      </c>
      <c r="S372">
        <v>0.93</v>
      </c>
      <c r="T372" t="s">
        <v>455</v>
      </c>
      <c r="U372" t="s">
        <v>108</v>
      </c>
      <c r="V372" s="101">
        <v>46233</v>
      </c>
      <c r="W372">
        <v>1</v>
      </c>
      <c r="X372">
        <v>1</v>
      </c>
      <c r="Y372">
        <v>0</v>
      </c>
      <c r="Z372">
        <v>0</v>
      </c>
      <c r="AA372">
        <v>0</v>
      </c>
    </row>
    <row r="373" spans="1:27" x14ac:dyDescent="0.3">
      <c r="A373">
        <v>1014</v>
      </c>
      <c r="B373">
        <v>25.5</v>
      </c>
      <c r="C373">
        <v>1.5</v>
      </c>
      <c r="D373">
        <v>0</v>
      </c>
      <c r="E373">
        <v>0</v>
      </c>
      <c r="F373" t="s">
        <v>1126</v>
      </c>
      <c r="G373" s="101">
        <v>46234</v>
      </c>
      <c r="H373" t="s">
        <v>164</v>
      </c>
      <c r="I373" t="s">
        <v>445</v>
      </c>
      <c r="J373" t="s">
        <v>442</v>
      </c>
      <c r="K373" t="s">
        <v>382</v>
      </c>
      <c r="L373" s="39">
        <v>0.3691550925925926</v>
      </c>
      <c r="M373" s="39">
        <v>0.76756944444444442</v>
      </c>
      <c r="N373">
        <v>9.56</v>
      </c>
      <c r="O373" t="s">
        <v>948</v>
      </c>
      <c r="P373">
        <v>0</v>
      </c>
      <c r="Q373" t="s">
        <v>1152</v>
      </c>
      <c r="R373">
        <v>0.92</v>
      </c>
      <c r="S373">
        <v>0.92</v>
      </c>
      <c r="T373" t="s">
        <v>455</v>
      </c>
      <c r="U373" t="s">
        <v>108</v>
      </c>
      <c r="V373" s="101">
        <v>46234</v>
      </c>
      <c r="W373">
        <v>1</v>
      </c>
      <c r="X373">
        <v>1</v>
      </c>
      <c r="Y373">
        <v>0</v>
      </c>
      <c r="Z373">
        <v>0</v>
      </c>
      <c r="AA373">
        <v>0</v>
      </c>
    </row>
    <row r="374" spans="1:27" x14ac:dyDescent="0.3">
      <c r="A374">
        <v>1021</v>
      </c>
      <c r="B374">
        <v>6</v>
      </c>
      <c r="C374">
        <v>21</v>
      </c>
      <c r="D374">
        <v>0</v>
      </c>
      <c r="E374">
        <v>0</v>
      </c>
      <c r="F374" t="s">
        <v>1153</v>
      </c>
      <c r="G374" s="101">
        <v>46204</v>
      </c>
      <c r="H374" t="s">
        <v>102</v>
      </c>
      <c r="I374" t="s">
        <v>445</v>
      </c>
      <c r="J374" t="s">
        <v>459</v>
      </c>
      <c r="K374" t="s">
        <v>382</v>
      </c>
      <c r="L374" s="39">
        <v>0.37387731481481479</v>
      </c>
      <c r="M374" s="39">
        <v>0.73142361111111109</v>
      </c>
      <c r="N374">
        <v>8.58</v>
      </c>
      <c r="O374" t="s">
        <v>642</v>
      </c>
      <c r="P374">
        <v>0</v>
      </c>
      <c r="Q374" t="s">
        <v>505</v>
      </c>
      <c r="R374">
        <v>0</v>
      </c>
      <c r="S374">
        <v>0</v>
      </c>
      <c r="T374" t="s">
        <v>460</v>
      </c>
      <c r="U374" t="s">
        <v>108</v>
      </c>
      <c r="V374" s="101">
        <v>46204</v>
      </c>
      <c r="W374">
        <v>1</v>
      </c>
      <c r="X374">
        <v>1</v>
      </c>
      <c r="Y374">
        <v>0</v>
      </c>
      <c r="Z374">
        <v>0</v>
      </c>
      <c r="AA374">
        <v>0</v>
      </c>
    </row>
    <row r="375" spans="1:27" x14ac:dyDescent="0.3">
      <c r="A375">
        <v>1021</v>
      </c>
      <c r="B375">
        <v>6</v>
      </c>
      <c r="C375">
        <v>21</v>
      </c>
      <c r="D375">
        <v>0</v>
      </c>
      <c r="E375">
        <v>0</v>
      </c>
      <c r="F375" t="s">
        <v>1153</v>
      </c>
      <c r="G375" s="101">
        <v>46205</v>
      </c>
      <c r="H375" t="s">
        <v>102</v>
      </c>
      <c r="I375" t="s">
        <v>445</v>
      </c>
      <c r="J375" t="s">
        <v>459</v>
      </c>
      <c r="K375" t="s">
        <v>382</v>
      </c>
      <c r="L375" s="39">
        <v>0.37732638888888886</v>
      </c>
      <c r="M375" s="39">
        <v>0.7300578703703704</v>
      </c>
      <c r="N375">
        <v>8.4700000000000006</v>
      </c>
      <c r="O375" t="s">
        <v>1154</v>
      </c>
      <c r="P375">
        <v>0</v>
      </c>
      <c r="Q375" t="s">
        <v>632</v>
      </c>
      <c r="R375">
        <v>0</v>
      </c>
      <c r="S375">
        <v>0</v>
      </c>
      <c r="T375" t="s">
        <v>460</v>
      </c>
      <c r="U375" t="s">
        <v>108</v>
      </c>
      <c r="V375" s="101">
        <v>46205</v>
      </c>
      <c r="W375">
        <v>1</v>
      </c>
      <c r="X375">
        <v>1</v>
      </c>
      <c r="Y375">
        <v>0</v>
      </c>
      <c r="Z375">
        <v>0</v>
      </c>
      <c r="AA375">
        <v>0</v>
      </c>
    </row>
    <row r="376" spans="1:27" x14ac:dyDescent="0.3">
      <c r="A376">
        <v>1021</v>
      </c>
      <c r="B376">
        <v>6</v>
      </c>
      <c r="C376">
        <v>21</v>
      </c>
      <c r="D376">
        <v>0</v>
      </c>
      <c r="E376">
        <v>0</v>
      </c>
      <c r="F376" t="s">
        <v>1153</v>
      </c>
      <c r="G376" s="101">
        <v>46206</v>
      </c>
      <c r="H376" t="s">
        <v>102</v>
      </c>
      <c r="I376" t="s">
        <v>445</v>
      </c>
      <c r="J376" t="s">
        <v>459</v>
      </c>
      <c r="K376" t="s">
        <v>382</v>
      </c>
      <c r="L376" s="39">
        <v>0.37700231481481483</v>
      </c>
      <c r="M376" s="39">
        <v>0.7318055555555556</v>
      </c>
      <c r="N376">
        <v>8.52</v>
      </c>
      <c r="O376" t="s">
        <v>676</v>
      </c>
      <c r="P376">
        <v>0</v>
      </c>
      <c r="Q376" t="s">
        <v>558</v>
      </c>
      <c r="R376">
        <v>0</v>
      </c>
      <c r="S376">
        <v>0</v>
      </c>
      <c r="T376" t="s">
        <v>460</v>
      </c>
      <c r="U376" t="s">
        <v>108</v>
      </c>
      <c r="V376" s="101">
        <v>46206</v>
      </c>
      <c r="W376">
        <v>1</v>
      </c>
      <c r="X376">
        <v>1</v>
      </c>
      <c r="Y376">
        <v>0</v>
      </c>
      <c r="Z376">
        <v>0</v>
      </c>
      <c r="AA376">
        <v>0</v>
      </c>
    </row>
    <row r="377" spans="1:27" x14ac:dyDescent="0.3">
      <c r="A377">
        <v>1021</v>
      </c>
      <c r="B377">
        <v>6</v>
      </c>
      <c r="C377">
        <v>21</v>
      </c>
      <c r="D377">
        <v>0</v>
      </c>
      <c r="E377">
        <v>0</v>
      </c>
      <c r="F377" t="s">
        <v>1153</v>
      </c>
      <c r="G377" s="101">
        <v>46207</v>
      </c>
      <c r="H377" t="s">
        <v>102</v>
      </c>
      <c r="I377" t="s">
        <v>445</v>
      </c>
      <c r="J377" t="s">
        <v>459</v>
      </c>
      <c r="K377" t="s">
        <v>382</v>
      </c>
      <c r="L377" s="39">
        <v>0.40292824074074074</v>
      </c>
      <c r="M377" s="39">
        <v>0.72991898148148149</v>
      </c>
      <c r="N377">
        <v>7.85</v>
      </c>
      <c r="O377" t="s">
        <v>1155</v>
      </c>
      <c r="P377">
        <v>0</v>
      </c>
      <c r="Q377" t="s">
        <v>717</v>
      </c>
      <c r="R377">
        <v>0</v>
      </c>
      <c r="S377">
        <v>0</v>
      </c>
      <c r="T377" t="s">
        <v>460</v>
      </c>
      <c r="U377" t="s">
        <v>108</v>
      </c>
      <c r="V377" s="101">
        <v>46207</v>
      </c>
      <c r="W377">
        <v>1</v>
      </c>
      <c r="X377">
        <v>1</v>
      </c>
      <c r="Y377">
        <v>0</v>
      </c>
      <c r="Z377">
        <v>0</v>
      </c>
      <c r="AA377">
        <v>0</v>
      </c>
    </row>
    <row r="378" spans="1:27" x14ac:dyDescent="0.3">
      <c r="A378">
        <v>1021</v>
      </c>
      <c r="B378">
        <v>6</v>
      </c>
      <c r="C378">
        <v>21</v>
      </c>
      <c r="D378">
        <v>0</v>
      </c>
      <c r="E378">
        <v>0</v>
      </c>
      <c r="F378" t="s">
        <v>1153</v>
      </c>
      <c r="G378" s="101">
        <v>46208</v>
      </c>
      <c r="H378" t="s">
        <v>102</v>
      </c>
      <c r="I378" t="s">
        <v>445</v>
      </c>
      <c r="J378" t="s">
        <v>459</v>
      </c>
      <c r="K378" t="s">
        <v>383</v>
      </c>
      <c r="L378" s="39">
        <v>0</v>
      </c>
      <c r="M378" s="39">
        <v>0</v>
      </c>
      <c r="N378">
        <v>0</v>
      </c>
      <c r="O378" t="s">
        <v>384</v>
      </c>
      <c r="P378">
        <v>9</v>
      </c>
      <c r="Q378" t="s">
        <v>385</v>
      </c>
      <c r="R378">
        <v>0</v>
      </c>
      <c r="S378">
        <v>9</v>
      </c>
      <c r="T378" t="s">
        <v>460</v>
      </c>
      <c r="U378" t="s">
        <v>366</v>
      </c>
      <c r="V378" s="101">
        <v>46208</v>
      </c>
      <c r="W378">
        <v>0</v>
      </c>
      <c r="X378">
        <v>0</v>
      </c>
      <c r="Y378">
        <v>0</v>
      </c>
      <c r="Z378">
        <v>0</v>
      </c>
      <c r="AA378">
        <v>0</v>
      </c>
    </row>
    <row r="379" spans="1:27" x14ac:dyDescent="0.3">
      <c r="A379">
        <v>1021</v>
      </c>
      <c r="B379">
        <v>6</v>
      </c>
      <c r="C379">
        <v>21</v>
      </c>
      <c r="D379">
        <v>0</v>
      </c>
      <c r="E379">
        <v>0</v>
      </c>
      <c r="F379" t="s">
        <v>1153</v>
      </c>
      <c r="G379" s="101">
        <v>46209</v>
      </c>
      <c r="H379" t="s">
        <v>102</v>
      </c>
      <c r="I379" t="s">
        <v>445</v>
      </c>
      <c r="J379" t="s">
        <v>459</v>
      </c>
      <c r="K379" t="s">
        <v>382</v>
      </c>
      <c r="L379" s="39">
        <v>0.37900462962962961</v>
      </c>
      <c r="M379" s="39">
        <v>0.77141203703703709</v>
      </c>
      <c r="N379">
        <v>9.42</v>
      </c>
      <c r="O379" t="s">
        <v>1156</v>
      </c>
      <c r="P379">
        <v>0</v>
      </c>
      <c r="Q379" t="s">
        <v>1157</v>
      </c>
      <c r="R379">
        <v>1.01</v>
      </c>
      <c r="S379">
        <v>1.01</v>
      </c>
      <c r="T379" t="s">
        <v>460</v>
      </c>
      <c r="U379" t="s">
        <v>108</v>
      </c>
      <c r="V379" s="101">
        <v>46209</v>
      </c>
      <c r="W379">
        <v>1</v>
      </c>
      <c r="X379">
        <v>1</v>
      </c>
      <c r="Y379">
        <v>0</v>
      </c>
      <c r="Z379">
        <v>0</v>
      </c>
      <c r="AA379">
        <v>0</v>
      </c>
    </row>
    <row r="380" spans="1:27" x14ac:dyDescent="0.3">
      <c r="A380">
        <v>1021</v>
      </c>
      <c r="B380">
        <v>6</v>
      </c>
      <c r="C380">
        <v>21</v>
      </c>
      <c r="D380">
        <v>0</v>
      </c>
      <c r="E380">
        <v>0</v>
      </c>
      <c r="F380" t="s">
        <v>1153</v>
      </c>
      <c r="G380" s="101">
        <v>46210</v>
      </c>
      <c r="H380" t="s">
        <v>102</v>
      </c>
      <c r="I380" t="s">
        <v>445</v>
      </c>
      <c r="J380" t="s">
        <v>459</v>
      </c>
      <c r="K380" t="s">
        <v>383</v>
      </c>
      <c r="L380" s="39">
        <v>0</v>
      </c>
      <c r="M380" s="39">
        <v>0</v>
      </c>
      <c r="N380">
        <v>0</v>
      </c>
      <c r="O380" t="s">
        <v>384</v>
      </c>
      <c r="P380">
        <v>9</v>
      </c>
      <c r="Q380" t="s">
        <v>385</v>
      </c>
      <c r="R380">
        <v>0</v>
      </c>
      <c r="S380">
        <v>9</v>
      </c>
      <c r="T380" t="s">
        <v>460</v>
      </c>
      <c r="U380" t="s">
        <v>366</v>
      </c>
      <c r="V380" s="101">
        <v>46210</v>
      </c>
      <c r="W380">
        <v>0</v>
      </c>
      <c r="X380">
        <v>0</v>
      </c>
      <c r="Y380">
        <v>0</v>
      </c>
      <c r="Z380">
        <v>0</v>
      </c>
      <c r="AA380">
        <v>0</v>
      </c>
    </row>
    <row r="381" spans="1:27" x14ac:dyDescent="0.3">
      <c r="A381">
        <v>1021</v>
      </c>
      <c r="B381">
        <v>6</v>
      </c>
      <c r="C381">
        <v>21</v>
      </c>
      <c r="D381">
        <v>0</v>
      </c>
      <c r="E381">
        <v>0</v>
      </c>
      <c r="F381" t="s">
        <v>1153</v>
      </c>
      <c r="G381" s="101">
        <v>46211</v>
      </c>
      <c r="H381" t="s">
        <v>102</v>
      </c>
      <c r="I381" t="s">
        <v>445</v>
      </c>
      <c r="J381" t="s">
        <v>459</v>
      </c>
      <c r="K381" t="s">
        <v>383</v>
      </c>
      <c r="L381" s="39">
        <v>0</v>
      </c>
      <c r="M381" s="39">
        <v>0</v>
      </c>
      <c r="N381">
        <v>0</v>
      </c>
      <c r="O381" t="s">
        <v>384</v>
      </c>
      <c r="P381">
        <v>9</v>
      </c>
      <c r="Q381" t="s">
        <v>385</v>
      </c>
      <c r="R381">
        <v>0</v>
      </c>
      <c r="S381">
        <v>9</v>
      </c>
      <c r="T381" t="s">
        <v>460</v>
      </c>
      <c r="U381" t="s">
        <v>366</v>
      </c>
      <c r="V381" s="101">
        <v>46211</v>
      </c>
      <c r="W381">
        <v>0</v>
      </c>
      <c r="X381">
        <v>0</v>
      </c>
      <c r="Y381">
        <v>0</v>
      </c>
      <c r="Z381">
        <v>0</v>
      </c>
      <c r="AA381">
        <v>0</v>
      </c>
    </row>
    <row r="382" spans="1:27" x14ac:dyDescent="0.3">
      <c r="A382">
        <v>1021</v>
      </c>
      <c r="B382">
        <v>6</v>
      </c>
      <c r="C382">
        <v>21</v>
      </c>
      <c r="D382">
        <v>0</v>
      </c>
      <c r="E382">
        <v>0</v>
      </c>
      <c r="F382" t="s">
        <v>1153</v>
      </c>
      <c r="G382" s="101">
        <v>46212</v>
      </c>
      <c r="H382" t="s">
        <v>102</v>
      </c>
      <c r="I382" t="s">
        <v>445</v>
      </c>
      <c r="J382" t="s">
        <v>459</v>
      </c>
      <c r="K382" t="s">
        <v>383</v>
      </c>
      <c r="L382" s="39">
        <v>0</v>
      </c>
      <c r="M382" s="39">
        <v>0</v>
      </c>
      <c r="N382">
        <v>0</v>
      </c>
      <c r="O382" t="s">
        <v>384</v>
      </c>
      <c r="P382">
        <v>9</v>
      </c>
      <c r="Q382" t="s">
        <v>385</v>
      </c>
      <c r="R382">
        <v>0</v>
      </c>
      <c r="S382">
        <v>9</v>
      </c>
      <c r="T382" t="s">
        <v>460</v>
      </c>
      <c r="U382" t="s">
        <v>366</v>
      </c>
      <c r="V382" s="101">
        <v>46212</v>
      </c>
      <c r="W382">
        <v>0</v>
      </c>
      <c r="X382">
        <v>0</v>
      </c>
      <c r="Y382">
        <v>0</v>
      </c>
      <c r="Z382">
        <v>0</v>
      </c>
      <c r="AA382">
        <v>0</v>
      </c>
    </row>
    <row r="383" spans="1:27" x14ac:dyDescent="0.3">
      <c r="A383">
        <v>1021</v>
      </c>
      <c r="B383">
        <v>6</v>
      </c>
      <c r="C383">
        <v>21</v>
      </c>
      <c r="D383">
        <v>0</v>
      </c>
      <c r="E383">
        <v>0</v>
      </c>
      <c r="F383" t="s">
        <v>1153</v>
      </c>
      <c r="G383" s="101">
        <v>46213</v>
      </c>
      <c r="H383" t="s">
        <v>102</v>
      </c>
      <c r="I383" t="s">
        <v>445</v>
      </c>
      <c r="J383" t="s">
        <v>459</v>
      </c>
      <c r="K383" t="s">
        <v>383</v>
      </c>
      <c r="L383" s="39">
        <v>0</v>
      </c>
      <c r="M383" s="39">
        <v>0</v>
      </c>
      <c r="N383">
        <v>0</v>
      </c>
      <c r="O383" t="s">
        <v>384</v>
      </c>
      <c r="P383">
        <v>9</v>
      </c>
      <c r="Q383" t="s">
        <v>385</v>
      </c>
      <c r="R383">
        <v>0</v>
      </c>
      <c r="S383">
        <v>9</v>
      </c>
      <c r="T383" t="s">
        <v>460</v>
      </c>
      <c r="U383" t="s">
        <v>366</v>
      </c>
      <c r="V383" s="101">
        <v>46213</v>
      </c>
      <c r="W383">
        <v>0</v>
      </c>
      <c r="X383">
        <v>0</v>
      </c>
      <c r="Y383">
        <v>0</v>
      </c>
      <c r="Z383">
        <v>0</v>
      </c>
      <c r="AA383">
        <v>0</v>
      </c>
    </row>
    <row r="384" spans="1:27" x14ac:dyDescent="0.3">
      <c r="A384">
        <v>1021</v>
      </c>
      <c r="B384">
        <v>6</v>
      </c>
      <c r="C384">
        <v>21</v>
      </c>
      <c r="D384">
        <v>0</v>
      </c>
      <c r="E384">
        <v>0</v>
      </c>
      <c r="F384" t="s">
        <v>1153</v>
      </c>
      <c r="G384" s="101">
        <v>46214</v>
      </c>
      <c r="H384" t="s">
        <v>102</v>
      </c>
      <c r="I384" t="s">
        <v>445</v>
      </c>
      <c r="J384" t="s">
        <v>459</v>
      </c>
      <c r="K384" t="s">
        <v>382</v>
      </c>
      <c r="L384" s="39">
        <v>0.37877314814814816</v>
      </c>
      <c r="M384" s="39">
        <v>0.77210648148148153</v>
      </c>
      <c r="N384">
        <v>9.44</v>
      </c>
      <c r="O384" t="s">
        <v>1158</v>
      </c>
      <c r="P384">
        <v>0</v>
      </c>
      <c r="Q384" t="s">
        <v>1159</v>
      </c>
      <c r="R384">
        <v>1.03</v>
      </c>
      <c r="S384">
        <v>1.03</v>
      </c>
      <c r="T384" t="s">
        <v>460</v>
      </c>
      <c r="U384" t="s">
        <v>108</v>
      </c>
      <c r="V384" s="101">
        <v>46214</v>
      </c>
      <c r="W384">
        <v>1</v>
      </c>
      <c r="X384">
        <v>1</v>
      </c>
      <c r="Y384">
        <v>0</v>
      </c>
      <c r="Z384">
        <v>0</v>
      </c>
      <c r="AA384">
        <v>0</v>
      </c>
    </row>
    <row r="385" spans="1:27" x14ac:dyDescent="0.3">
      <c r="A385">
        <v>1021</v>
      </c>
      <c r="B385">
        <v>6</v>
      </c>
      <c r="C385">
        <v>21</v>
      </c>
      <c r="D385">
        <v>0</v>
      </c>
      <c r="E385">
        <v>0</v>
      </c>
      <c r="F385" t="s">
        <v>1153</v>
      </c>
      <c r="G385" s="101">
        <v>46215</v>
      </c>
      <c r="H385" t="s">
        <v>102</v>
      </c>
      <c r="I385" t="s">
        <v>445</v>
      </c>
      <c r="J385" t="s">
        <v>459</v>
      </c>
      <c r="K385" t="s">
        <v>383</v>
      </c>
      <c r="L385" s="39">
        <v>0</v>
      </c>
      <c r="M385" s="39">
        <v>0</v>
      </c>
      <c r="N385">
        <v>0</v>
      </c>
      <c r="O385" t="s">
        <v>384</v>
      </c>
      <c r="P385">
        <v>9</v>
      </c>
      <c r="Q385" t="s">
        <v>385</v>
      </c>
      <c r="R385">
        <v>0</v>
      </c>
      <c r="S385">
        <v>9</v>
      </c>
      <c r="T385" t="s">
        <v>460</v>
      </c>
      <c r="U385" t="s">
        <v>366</v>
      </c>
      <c r="V385" s="101">
        <v>46215</v>
      </c>
      <c r="W385">
        <v>0</v>
      </c>
      <c r="X385">
        <v>0</v>
      </c>
      <c r="Y385">
        <v>0</v>
      </c>
      <c r="Z385">
        <v>0</v>
      </c>
      <c r="AA385">
        <v>0</v>
      </c>
    </row>
    <row r="386" spans="1:27" x14ac:dyDescent="0.3">
      <c r="A386">
        <v>1021</v>
      </c>
      <c r="B386">
        <v>6</v>
      </c>
      <c r="C386">
        <v>21</v>
      </c>
      <c r="D386">
        <v>0</v>
      </c>
      <c r="E386">
        <v>0</v>
      </c>
      <c r="F386" t="s">
        <v>1153</v>
      </c>
      <c r="G386" s="101">
        <v>46216</v>
      </c>
      <c r="H386" t="s">
        <v>102</v>
      </c>
      <c r="I386" t="s">
        <v>445</v>
      </c>
      <c r="J386" t="s">
        <v>459</v>
      </c>
      <c r="K386" t="s">
        <v>383</v>
      </c>
      <c r="L386" s="39">
        <v>0</v>
      </c>
      <c r="M386" s="39">
        <v>0</v>
      </c>
      <c r="N386">
        <v>0</v>
      </c>
      <c r="O386" t="s">
        <v>384</v>
      </c>
      <c r="P386">
        <v>9</v>
      </c>
      <c r="Q386" t="s">
        <v>385</v>
      </c>
      <c r="R386">
        <v>0</v>
      </c>
      <c r="S386">
        <v>9</v>
      </c>
      <c r="T386" t="s">
        <v>460</v>
      </c>
      <c r="U386" t="s">
        <v>366</v>
      </c>
      <c r="V386" s="101">
        <v>46216</v>
      </c>
      <c r="W386">
        <v>0</v>
      </c>
      <c r="X386">
        <v>0</v>
      </c>
      <c r="Y386">
        <v>0</v>
      </c>
      <c r="Z386">
        <v>0</v>
      </c>
      <c r="AA386">
        <v>0</v>
      </c>
    </row>
    <row r="387" spans="1:27" x14ac:dyDescent="0.3">
      <c r="A387">
        <v>1021</v>
      </c>
      <c r="B387">
        <v>6</v>
      </c>
      <c r="C387">
        <v>21</v>
      </c>
      <c r="D387">
        <v>0</v>
      </c>
      <c r="E387">
        <v>0</v>
      </c>
      <c r="F387" t="s">
        <v>1153</v>
      </c>
      <c r="G387" s="101">
        <v>46217</v>
      </c>
      <c r="H387" t="s">
        <v>102</v>
      </c>
      <c r="I387" t="s">
        <v>445</v>
      </c>
      <c r="J387" t="s">
        <v>459</v>
      </c>
      <c r="K387" t="s">
        <v>383</v>
      </c>
      <c r="L387" s="39">
        <v>0</v>
      </c>
      <c r="M387" s="39">
        <v>0</v>
      </c>
      <c r="N387">
        <v>0</v>
      </c>
      <c r="O387" t="s">
        <v>384</v>
      </c>
      <c r="P387">
        <v>9</v>
      </c>
      <c r="Q387" t="s">
        <v>385</v>
      </c>
      <c r="R387">
        <v>0</v>
      </c>
      <c r="S387">
        <v>9</v>
      </c>
      <c r="T387" t="s">
        <v>460</v>
      </c>
      <c r="U387" t="s">
        <v>366</v>
      </c>
      <c r="V387" s="101">
        <v>46217</v>
      </c>
      <c r="W387">
        <v>0</v>
      </c>
      <c r="X387">
        <v>0</v>
      </c>
      <c r="Y387">
        <v>0</v>
      </c>
      <c r="Z387">
        <v>0</v>
      </c>
      <c r="AA387">
        <v>0</v>
      </c>
    </row>
    <row r="388" spans="1:27" x14ac:dyDescent="0.3">
      <c r="A388">
        <v>1021</v>
      </c>
      <c r="B388">
        <v>6</v>
      </c>
      <c r="C388">
        <v>21</v>
      </c>
      <c r="D388">
        <v>0</v>
      </c>
      <c r="E388">
        <v>0</v>
      </c>
      <c r="F388" t="s">
        <v>1153</v>
      </c>
      <c r="G388" s="101">
        <v>46218</v>
      </c>
      <c r="H388" t="s">
        <v>102</v>
      </c>
      <c r="I388" t="s">
        <v>445</v>
      </c>
      <c r="J388" t="s">
        <v>459</v>
      </c>
      <c r="K388" t="s">
        <v>383</v>
      </c>
      <c r="L388" s="39">
        <v>0</v>
      </c>
      <c r="M388" s="39">
        <v>0</v>
      </c>
      <c r="N388">
        <v>0</v>
      </c>
      <c r="O388" t="s">
        <v>384</v>
      </c>
      <c r="P388">
        <v>9</v>
      </c>
      <c r="Q388" t="s">
        <v>385</v>
      </c>
      <c r="R388">
        <v>0</v>
      </c>
      <c r="S388">
        <v>9</v>
      </c>
      <c r="T388" t="s">
        <v>460</v>
      </c>
      <c r="U388" t="s">
        <v>366</v>
      </c>
      <c r="V388" s="101">
        <v>46218</v>
      </c>
      <c r="W388">
        <v>0</v>
      </c>
      <c r="X388">
        <v>0</v>
      </c>
      <c r="Y388">
        <v>0</v>
      </c>
      <c r="Z388">
        <v>0</v>
      </c>
      <c r="AA388">
        <v>0</v>
      </c>
    </row>
    <row r="389" spans="1:27" x14ac:dyDescent="0.3">
      <c r="A389">
        <v>1021</v>
      </c>
      <c r="B389">
        <v>6</v>
      </c>
      <c r="C389">
        <v>21</v>
      </c>
      <c r="D389">
        <v>0</v>
      </c>
      <c r="E389">
        <v>0</v>
      </c>
      <c r="F389" t="s">
        <v>1153</v>
      </c>
      <c r="G389" s="101">
        <v>46219</v>
      </c>
      <c r="H389" t="s">
        <v>102</v>
      </c>
      <c r="I389" t="s">
        <v>445</v>
      </c>
      <c r="J389" t="s">
        <v>459</v>
      </c>
      <c r="K389" t="s">
        <v>383</v>
      </c>
      <c r="L389" s="39">
        <v>0</v>
      </c>
      <c r="M389" s="39">
        <v>0</v>
      </c>
      <c r="N389">
        <v>0</v>
      </c>
      <c r="O389" t="s">
        <v>384</v>
      </c>
      <c r="P389">
        <v>9</v>
      </c>
      <c r="Q389" t="s">
        <v>385</v>
      </c>
      <c r="R389">
        <v>0</v>
      </c>
      <c r="S389">
        <v>9</v>
      </c>
      <c r="T389" t="s">
        <v>460</v>
      </c>
      <c r="U389" t="s">
        <v>366</v>
      </c>
      <c r="V389" s="101">
        <v>46219</v>
      </c>
      <c r="W389">
        <v>0</v>
      </c>
      <c r="X389">
        <v>0</v>
      </c>
      <c r="Y389">
        <v>0</v>
      </c>
      <c r="Z389">
        <v>0</v>
      </c>
      <c r="AA389">
        <v>0</v>
      </c>
    </row>
    <row r="390" spans="1:27" x14ac:dyDescent="0.3">
      <c r="A390">
        <v>1021</v>
      </c>
      <c r="B390">
        <v>6</v>
      </c>
      <c r="C390">
        <v>21</v>
      </c>
      <c r="D390">
        <v>0</v>
      </c>
      <c r="E390">
        <v>0</v>
      </c>
      <c r="F390" t="s">
        <v>1153</v>
      </c>
      <c r="G390" s="101">
        <v>46220</v>
      </c>
      <c r="H390" t="s">
        <v>102</v>
      </c>
      <c r="I390" t="s">
        <v>445</v>
      </c>
      <c r="J390" t="s">
        <v>459</v>
      </c>
      <c r="K390" t="s">
        <v>383</v>
      </c>
      <c r="L390" s="39">
        <v>0</v>
      </c>
      <c r="M390" s="39">
        <v>0</v>
      </c>
      <c r="N390">
        <v>0</v>
      </c>
      <c r="O390" t="s">
        <v>384</v>
      </c>
      <c r="P390">
        <v>9</v>
      </c>
      <c r="Q390" t="s">
        <v>385</v>
      </c>
      <c r="R390">
        <v>0</v>
      </c>
      <c r="S390">
        <v>9</v>
      </c>
      <c r="T390" t="s">
        <v>460</v>
      </c>
      <c r="U390" t="s">
        <v>366</v>
      </c>
      <c r="V390" s="101">
        <v>46220</v>
      </c>
      <c r="W390">
        <v>0</v>
      </c>
      <c r="X390">
        <v>0</v>
      </c>
      <c r="Y390">
        <v>0</v>
      </c>
      <c r="Z390">
        <v>0</v>
      </c>
      <c r="AA390">
        <v>0</v>
      </c>
    </row>
    <row r="391" spans="1:27" x14ac:dyDescent="0.3">
      <c r="A391">
        <v>1021</v>
      </c>
      <c r="B391">
        <v>6</v>
      </c>
      <c r="C391">
        <v>21</v>
      </c>
      <c r="D391">
        <v>0</v>
      </c>
      <c r="E391">
        <v>0</v>
      </c>
      <c r="F391" t="s">
        <v>1153</v>
      </c>
      <c r="G391" s="101">
        <v>46221</v>
      </c>
      <c r="H391" t="s">
        <v>102</v>
      </c>
      <c r="I391" t="s">
        <v>445</v>
      </c>
      <c r="J391" t="s">
        <v>459</v>
      </c>
      <c r="K391" t="s">
        <v>383</v>
      </c>
      <c r="L391" s="39">
        <v>0</v>
      </c>
      <c r="M391" s="39">
        <v>0</v>
      </c>
      <c r="N391">
        <v>0</v>
      </c>
      <c r="O391" t="s">
        <v>384</v>
      </c>
      <c r="P391">
        <v>9</v>
      </c>
      <c r="Q391" t="s">
        <v>385</v>
      </c>
      <c r="R391">
        <v>0</v>
      </c>
      <c r="S391">
        <v>9</v>
      </c>
      <c r="T391" t="s">
        <v>460</v>
      </c>
      <c r="U391" t="s">
        <v>366</v>
      </c>
      <c r="V391" s="101">
        <v>46221</v>
      </c>
      <c r="W391">
        <v>0</v>
      </c>
      <c r="X391">
        <v>0</v>
      </c>
      <c r="Y391">
        <v>0</v>
      </c>
      <c r="Z391">
        <v>0</v>
      </c>
      <c r="AA391">
        <v>0</v>
      </c>
    </row>
    <row r="392" spans="1:27" x14ac:dyDescent="0.3">
      <c r="A392">
        <v>1021</v>
      </c>
      <c r="B392">
        <v>6</v>
      </c>
      <c r="C392">
        <v>21</v>
      </c>
      <c r="D392">
        <v>0</v>
      </c>
      <c r="E392">
        <v>0</v>
      </c>
      <c r="F392" t="s">
        <v>1153</v>
      </c>
      <c r="G392" s="101">
        <v>46222</v>
      </c>
      <c r="H392" t="s">
        <v>102</v>
      </c>
      <c r="I392" t="s">
        <v>445</v>
      </c>
      <c r="J392" t="s">
        <v>459</v>
      </c>
      <c r="K392" t="s">
        <v>383</v>
      </c>
      <c r="L392" s="39">
        <v>0</v>
      </c>
      <c r="M392" s="39">
        <v>0</v>
      </c>
      <c r="N392">
        <v>0</v>
      </c>
      <c r="O392" t="s">
        <v>384</v>
      </c>
      <c r="P392">
        <v>9</v>
      </c>
      <c r="Q392" t="s">
        <v>385</v>
      </c>
      <c r="R392">
        <v>0</v>
      </c>
      <c r="S392">
        <v>9</v>
      </c>
      <c r="T392" t="s">
        <v>460</v>
      </c>
      <c r="U392" t="s">
        <v>366</v>
      </c>
      <c r="V392" s="101">
        <v>46222</v>
      </c>
      <c r="W392">
        <v>0</v>
      </c>
      <c r="X392">
        <v>0</v>
      </c>
      <c r="Y392">
        <v>0</v>
      </c>
      <c r="Z392">
        <v>0</v>
      </c>
      <c r="AA392">
        <v>0</v>
      </c>
    </row>
    <row r="393" spans="1:27" x14ac:dyDescent="0.3">
      <c r="A393">
        <v>1021</v>
      </c>
      <c r="B393">
        <v>6</v>
      </c>
      <c r="C393">
        <v>21</v>
      </c>
      <c r="D393">
        <v>0</v>
      </c>
      <c r="E393">
        <v>0</v>
      </c>
      <c r="F393" t="s">
        <v>1153</v>
      </c>
      <c r="G393" s="101">
        <v>46223</v>
      </c>
      <c r="H393" t="s">
        <v>102</v>
      </c>
      <c r="I393" t="s">
        <v>445</v>
      </c>
      <c r="J393" t="s">
        <v>459</v>
      </c>
      <c r="K393" t="s">
        <v>383</v>
      </c>
      <c r="L393" s="39">
        <v>0</v>
      </c>
      <c r="M393" s="39">
        <v>0</v>
      </c>
      <c r="N393">
        <v>0</v>
      </c>
      <c r="O393" t="s">
        <v>384</v>
      </c>
      <c r="P393">
        <v>9</v>
      </c>
      <c r="Q393" t="s">
        <v>385</v>
      </c>
      <c r="R393">
        <v>0</v>
      </c>
      <c r="S393">
        <v>9</v>
      </c>
      <c r="T393" t="s">
        <v>460</v>
      </c>
      <c r="U393" t="s">
        <v>366</v>
      </c>
      <c r="V393" s="101">
        <v>46223</v>
      </c>
      <c r="W393">
        <v>0</v>
      </c>
      <c r="X393">
        <v>0</v>
      </c>
      <c r="Y393">
        <v>0</v>
      </c>
      <c r="Z393">
        <v>0</v>
      </c>
      <c r="AA393">
        <v>0</v>
      </c>
    </row>
    <row r="394" spans="1:27" x14ac:dyDescent="0.3">
      <c r="A394">
        <v>1021</v>
      </c>
      <c r="B394">
        <v>6</v>
      </c>
      <c r="C394">
        <v>21</v>
      </c>
      <c r="D394">
        <v>0</v>
      </c>
      <c r="E394">
        <v>0</v>
      </c>
      <c r="F394" t="s">
        <v>1153</v>
      </c>
      <c r="G394" s="101">
        <v>46224</v>
      </c>
      <c r="H394" t="s">
        <v>102</v>
      </c>
      <c r="I394" t="s">
        <v>445</v>
      </c>
      <c r="J394" t="s">
        <v>459</v>
      </c>
      <c r="K394" t="s">
        <v>383</v>
      </c>
      <c r="L394" s="39">
        <v>0</v>
      </c>
      <c r="M394" s="39">
        <v>0</v>
      </c>
      <c r="N394">
        <v>0</v>
      </c>
      <c r="O394" t="s">
        <v>384</v>
      </c>
      <c r="P394">
        <v>9</v>
      </c>
      <c r="Q394" t="s">
        <v>385</v>
      </c>
      <c r="R394">
        <v>0</v>
      </c>
      <c r="S394">
        <v>9</v>
      </c>
      <c r="T394" t="s">
        <v>460</v>
      </c>
      <c r="U394" t="s">
        <v>366</v>
      </c>
      <c r="V394" s="101">
        <v>46224</v>
      </c>
      <c r="W394">
        <v>0</v>
      </c>
      <c r="X394">
        <v>0</v>
      </c>
      <c r="Y394">
        <v>0</v>
      </c>
      <c r="Z394">
        <v>0</v>
      </c>
      <c r="AA394">
        <v>0</v>
      </c>
    </row>
    <row r="395" spans="1:27" x14ac:dyDescent="0.3">
      <c r="A395">
        <v>1021</v>
      </c>
      <c r="B395">
        <v>6</v>
      </c>
      <c r="C395">
        <v>21</v>
      </c>
      <c r="D395">
        <v>0</v>
      </c>
      <c r="E395">
        <v>0</v>
      </c>
      <c r="F395" t="s">
        <v>1153</v>
      </c>
      <c r="G395" s="101">
        <v>46225</v>
      </c>
      <c r="H395" t="s">
        <v>102</v>
      </c>
      <c r="I395" t="s">
        <v>445</v>
      </c>
      <c r="J395" t="s">
        <v>459</v>
      </c>
      <c r="K395" t="s">
        <v>383</v>
      </c>
      <c r="L395" s="39">
        <v>0</v>
      </c>
      <c r="M395" s="39">
        <v>0</v>
      </c>
      <c r="N395">
        <v>0</v>
      </c>
      <c r="O395" t="s">
        <v>384</v>
      </c>
      <c r="P395">
        <v>9</v>
      </c>
      <c r="Q395" t="s">
        <v>385</v>
      </c>
      <c r="R395">
        <v>0</v>
      </c>
      <c r="S395">
        <v>9</v>
      </c>
      <c r="T395" t="s">
        <v>460</v>
      </c>
      <c r="U395" t="s">
        <v>366</v>
      </c>
      <c r="V395" s="101">
        <v>46225</v>
      </c>
      <c r="W395">
        <v>0</v>
      </c>
      <c r="X395">
        <v>0</v>
      </c>
      <c r="Y395">
        <v>0</v>
      </c>
      <c r="Z395">
        <v>0</v>
      </c>
      <c r="AA395">
        <v>0</v>
      </c>
    </row>
    <row r="396" spans="1:27" x14ac:dyDescent="0.3">
      <c r="A396">
        <v>1021</v>
      </c>
      <c r="B396">
        <v>6</v>
      </c>
      <c r="C396">
        <v>21</v>
      </c>
      <c r="D396">
        <v>0</v>
      </c>
      <c r="E396">
        <v>0</v>
      </c>
      <c r="F396" t="s">
        <v>1153</v>
      </c>
      <c r="G396" s="101">
        <v>46226</v>
      </c>
      <c r="H396" t="s">
        <v>102</v>
      </c>
      <c r="I396" t="s">
        <v>445</v>
      </c>
      <c r="J396" t="s">
        <v>459</v>
      </c>
      <c r="K396" t="s">
        <v>383</v>
      </c>
      <c r="L396" s="39">
        <v>0</v>
      </c>
      <c r="M396" s="39">
        <v>0</v>
      </c>
      <c r="N396">
        <v>0</v>
      </c>
      <c r="O396" t="s">
        <v>384</v>
      </c>
      <c r="P396">
        <v>9</v>
      </c>
      <c r="Q396" t="s">
        <v>385</v>
      </c>
      <c r="R396">
        <v>0</v>
      </c>
      <c r="S396">
        <v>9</v>
      </c>
      <c r="T396" t="s">
        <v>460</v>
      </c>
      <c r="U396" t="s">
        <v>366</v>
      </c>
      <c r="V396" s="101">
        <v>46226</v>
      </c>
      <c r="W396">
        <v>0</v>
      </c>
      <c r="X396">
        <v>0</v>
      </c>
      <c r="Y396">
        <v>0</v>
      </c>
      <c r="Z396">
        <v>0</v>
      </c>
      <c r="AA396">
        <v>0</v>
      </c>
    </row>
    <row r="397" spans="1:27" x14ac:dyDescent="0.3">
      <c r="A397">
        <v>1021</v>
      </c>
      <c r="B397">
        <v>6</v>
      </c>
      <c r="C397">
        <v>21</v>
      </c>
      <c r="D397">
        <v>0</v>
      </c>
      <c r="E397">
        <v>0</v>
      </c>
      <c r="F397" t="s">
        <v>1153</v>
      </c>
      <c r="G397" s="101">
        <v>46227</v>
      </c>
      <c r="H397" t="s">
        <v>102</v>
      </c>
      <c r="I397" t="s">
        <v>445</v>
      </c>
      <c r="J397" t="s">
        <v>459</v>
      </c>
      <c r="K397" t="s">
        <v>383</v>
      </c>
      <c r="L397" s="39">
        <v>0</v>
      </c>
      <c r="M397" s="39">
        <v>0</v>
      </c>
      <c r="N397">
        <v>0</v>
      </c>
      <c r="O397" t="s">
        <v>384</v>
      </c>
      <c r="P397">
        <v>9</v>
      </c>
      <c r="Q397" t="s">
        <v>385</v>
      </c>
      <c r="R397">
        <v>0</v>
      </c>
      <c r="S397">
        <v>9</v>
      </c>
      <c r="T397" t="s">
        <v>460</v>
      </c>
      <c r="U397" t="s">
        <v>366</v>
      </c>
      <c r="V397" s="101">
        <v>46227</v>
      </c>
      <c r="W397">
        <v>0</v>
      </c>
      <c r="X397">
        <v>0</v>
      </c>
      <c r="Y397">
        <v>0</v>
      </c>
      <c r="Z397">
        <v>0</v>
      </c>
      <c r="AA397">
        <v>0</v>
      </c>
    </row>
    <row r="398" spans="1:27" x14ac:dyDescent="0.3">
      <c r="A398">
        <v>1021</v>
      </c>
      <c r="B398">
        <v>6</v>
      </c>
      <c r="C398">
        <v>21</v>
      </c>
      <c r="D398">
        <v>0</v>
      </c>
      <c r="E398">
        <v>0</v>
      </c>
      <c r="F398" t="s">
        <v>1153</v>
      </c>
      <c r="G398" s="101">
        <v>46228</v>
      </c>
      <c r="H398" t="s">
        <v>102</v>
      </c>
      <c r="I398" t="s">
        <v>445</v>
      </c>
      <c r="J398" t="s">
        <v>459</v>
      </c>
      <c r="K398" t="s">
        <v>383</v>
      </c>
      <c r="L398" s="39">
        <v>0</v>
      </c>
      <c r="M398" s="39">
        <v>0</v>
      </c>
      <c r="N398">
        <v>0</v>
      </c>
      <c r="O398" t="s">
        <v>384</v>
      </c>
      <c r="P398">
        <v>9</v>
      </c>
      <c r="Q398" t="s">
        <v>385</v>
      </c>
      <c r="R398">
        <v>0</v>
      </c>
      <c r="S398">
        <v>9</v>
      </c>
      <c r="T398" t="s">
        <v>460</v>
      </c>
      <c r="U398" t="s">
        <v>366</v>
      </c>
      <c r="V398" s="101">
        <v>46228</v>
      </c>
      <c r="W398">
        <v>0</v>
      </c>
      <c r="X398">
        <v>0</v>
      </c>
      <c r="Y398">
        <v>0</v>
      </c>
      <c r="Z398">
        <v>0</v>
      </c>
      <c r="AA398">
        <v>0</v>
      </c>
    </row>
    <row r="399" spans="1:27" x14ac:dyDescent="0.3">
      <c r="A399">
        <v>1021</v>
      </c>
      <c r="B399">
        <v>6</v>
      </c>
      <c r="C399">
        <v>21</v>
      </c>
      <c r="D399">
        <v>0</v>
      </c>
      <c r="E399">
        <v>0</v>
      </c>
      <c r="F399" t="s">
        <v>1153</v>
      </c>
      <c r="G399" s="101">
        <v>46229</v>
      </c>
      <c r="H399" t="s">
        <v>102</v>
      </c>
      <c r="I399" t="s">
        <v>445</v>
      </c>
      <c r="J399" t="s">
        <v>459</v>
      </c>
      <c r="K399" t="s">
        <v>383</v>
      </c>
      <c r="L399" s="39">
        <v>0</v>
      </c>
      <c r="M399" s="39">
        <v>0</v>
      </c>
      <c r="N399">
        <v>0</v>
      </c>
      <c r="O399" t="s">
        <v>384</v>
      </c>
      <c r="P399">
        <v>9</v>
      </c>
      <c r="Q399" t="s">
        <v>385</v>
      </c>
      <c r="R399">
        <v>0</v>
      </c>
      <c r="S399">
        <v>9</v>
      </c>
      <c r="T399" t="s">
        <v>460</v>
      </c>
      <c r="U399" t="s">
        <v>366</v>
      </c>
      <c r="V399" s="101">
        <v>46229</v>
      </c>
      <c r="W399">
        <v>0</v>
      </c>
      <c r="X399">
        <v>0</v>
      </c>
      <c r="Y399">
        <v>0</v>
      </c>
      <c r="Z399">
        <v>0</v>
      </c>
      <c r="AA399">
        <v>0</v>
      </c>
    </row>
    <row r="400" spans="1:27" x14ac:dyDescent="0.3">
      <c r="A400">
        <v>1021</v>
      </c>
      <c r="B400">
        <v>6</v>
      </c>
      <c r="C400">
        <v>21</v>
      </c>
      <c r="D400">
        <v>0</v>
      </c>
      <c r="E400">
        <v>0</v>
      </c>
      <c r="F400" t="s">
        <v>1153</v>
      </c>
      <c r="G400" s="101">
        <v>46230</v>
      </c>
      <c r="H400" t="s">
        <v>102</v>
      </c>
      <c r="I400" t="s">
        <v>445</v>
      </c>
      <c r="J400" t="s">
        <v>459</v>
      </c>
      <c r="K400" t="s">
        <v>383</v>
      </c>
      <c r="L400" s="39">
        <v>0</v>
      </c>
      <c r="M400" s="39">
        <v>0</v>
      </c>
      <c r="N400">
        <v>0</v>
      </c>
      <c r="O400" t="s">
        <v>384</v>
      </c>
      <c r="P400">
        <v>9</v>
      </c>
      <c r="Q400" t="s">
        <v>385</v>
      </c>
      <c r="R400">
        <v>0</v>
      </c>
      <c r="S400">
        <v>9</v>
      </c>
      <c r="T400" t="s">
        <v>460</v>
      </c>
      <c r="U400" t="s">
        <v>366</v>
      </c>
      <c r="V400" s="101">
        <v>46230</v>
      </c>
      <c r="W400">
        <v>0</v>
      </c>
      <c r="X400">
        <v>0</v>
      </c>
      <c r="Y400">
        <v>0</v>
      </c>
      <c r="Z400">
        <v>0</v>
      </c>
      <c r="AA400">
        <v>0</v>
      </c>
    </row>
    <row r="401" spans="1:27" x14ac:dyDescent="0.3">
      <c r="A401">
        <v>1021</v>
      </c>
      <c r="B401">
        <v>6</v>
      </c>
      <c r="C401">
        <v>21</v>
      </c>
      <c r="D401">
        <v>0</v>
      </c>
      <c r="E401">
        <v>0</v>
      </c>
      <c r="F401" t="s">
        <v>1153</v>
      </c>
      <c r="G401" s="101">
        <v>46231</v>
      </c>
      <c r="H401" t="s">
        <v>102</v>
      </c>
      <c r="I401" t="s">
        <v>445</v>
      </c>
      <c r="J401" t="s">
        <v>459</v>
      </c>
      <c r="K401" t="s">
        <v>383</v>
      </c>
      <c r="L401" s="39">
        <v>0</v>
      </c>
      <c r="M401" s="39">
        <v>0</v>
      </c>
      <c r="N401">
        <v>0</v>
      </c>
      <c r="O401" t="s">
        <v>384</v>
      </c>
      <c r="P401">
        <v>9</v>
      </c>
      <c r="Q401" t="s">
        <v>385</v>
      </c>
      <c r="R401">
        <v>0</v>
      </c>
      <c r="S401">
        <v>9</v>
      </c>
      <c r="T401" t="s">
        <v>460</v>
      </c>
      <c r="U401" t="s">
        <v>366</v>
      </c>
      <c r="V401" s="101">
        <v>46231</v>
      </c>
      <c r="W401">
        <v>0</v>
      </c>
      <c r="X401">
        <v>0</v>
      </c>
      <c r="Y401">
        <v>0</v>
      </c>
      <c r="Z401">
        <v>0</v>
      </c>
      <c r="AA401">
        <v>0</v>
      </c>
    </row>
    <row r="402" spans="1:27" x14ac:dyDescent="0.3">
      <c r="A402">
        <v>1021</v>
      </c>
      <c r="B402">
        <v>6</v>
      </c>
      <c r="C402">
        <v>21</v>
      </c>
      <c r="D402">
        <v>0</v>
      </c>
      <c r="E402">
        <v>0</v>
      </c>
      <c r="F402" t="s">
        <v>1153</v>
      </c>
      <c r="G402" s="101">
        <v>46232</v>
      </c>
      <c r="H402" t="s">
        <v>102</v>
      </c>
      <c r="I402" t="s">
        <v>445</v>
      </c>
      <c r="J402" t="s">
        <v>459</v>
      </c>
      <c r="K402" t="s">
        <v>383</v>
      </c>
      <c r="L402" s="39">
        <v>0</v>
      </c>
      <c r="M402" s="39">
        <v>0</v>
      </c>
      <c r="N402">
        <v>0</v>
      </c>
      <c r="O402" t="s">
        <v>384</v>
      </c>
      <c r="P402">
        <v>9</v>
      </c>
      <c r="Q402" t="s">
        <v>385</v>
      </c>
      <c r="R402">
        <v>0</v>
      </c>
      <c r="S402">
        <v>9</v>
      </c>
      <c r="T402" t="s">
        <v>460</v>
      </c>
      <c r="U402" t="s">
        <v>366</v>
      </c>
      <c r="V402" s="101">
        <v>46232</v>
      </c>
      <c r="W402">
        <v>0</v>
      </c>
      <c r="X402">
        <v>0</v>
      </c>
      <c r="Y402">
        <v>0</v>
      </c>
      <c r="Z402">
        <v>0</v>
      </c>
      <c r="AA402">
        <v>0</v>
      </c>
    </row>
    <row r="403" spans="1:27" x14ac:dyDescent="0.3">
      <c r="A403">
        <v>1021</v>
      </c>
      <c r="B403">
        <v>6</v>
      </c>
      <c r="C403">
        <v>21</v>
      </c>
      <c r="D403">
        <v>0</v>
      </c>
      <c r="E403">
        <v>0</v>
      </c>
      <c r="F403" t="s">
        <v>1153</v>
      </c>
      <c r="G403" s="101">
        <v>46233</v>
      </c>
      <c r="H403" t="s">
        <v>102</v>
      </c>
      <c r="I403" t="s">
        <v>445</v>
      </c>
      <c r="J403" t="s">
        <v>459</v>
      </c>
      <c r="K403" t="s">
        <v>383</v>
      </c>
      <c r="L403" s="39">
        <v>0</v>
      </c>
      <c r="M403" s="39">
        <v>0</v>
      </c>
      <c r="N403">
        <v>0</v>
      </c>
      <c r="O403" t="s">
        <v>384</v>
      </c>
      <c r="P403">
        <v>9</v>
      </c>
      <c r="Q403" t="s">
        <v>385</v>
      </c>
      <c r="R403">
        <v>0</v>
      </c>
      <c r="S403">
        <v>9</v>
      </c>
      <c r="T403" t="s">
        <v>460</v>
      </c>
      <c r="U403" t="s">
        <v>366</v>
      </c>
      <c r="V403" s="101">
        <v>46233</v>
      </c>
      <c r="W403">
        <v>0</v>
      </c>
      <c r="X403">
        <v>0</v>
      </c>
      <c r="Y403">
        <v>0</v>
      </c>
      <c r="Z403">
        <v>0</v>
      </c>
      <c r="AA403">
        <v>0</v>
      </c>
    </row>
    <row r="404" spans="1:27" x14ac:dyDescent="0.3">
      <c r="A404">
        <v>1021</v>
      </c>
      <c r="B404">
        <v>6</v>
      </c>
      <c r="C404">
        <v>21</v>
      </c>
      <c r="D404">
        <v>0</v>
      </c>
      <c r="E404">
        <v>0</v>
      </c>
      <c r="F404" t="s">
        <v>1153</v>
      </c>
      <c r="G404" s="101">
        <v>46234</v>
      </c>
      <c r="H404" t="s">
        <v>102</v>
      </c>
      <c r="I404" t="s">
        <v>445</v>
      </c>
      <c r="J404" t="s">
        <v>459</v>
      </c>
      <c r="K404" t="s">
        <v>383</v>
      </c>
      <c r="L404" s="39">
        <v>0</v>
      </c>
      <c r="M404" s="39">
        <v>0</v>
      </c>
      <c r="N404">
        <v>0</v>
      </c>
      <c r="O404" t="s">
        <v>384</v>
      </c>
      <c r="P404">
        <v>9</v>
      </c>
      <c r="Q404" t="s">
        <v>385</v>
      </c>
      <c r="R404">
        <v>0</v>
      </c>
      <c r="S404">
        <v>9</v>
      </c>
      <c r="T404" t="s">
        <v>460</v>
      </c>
      <c r="U404" t="s">
        <v>366</v>
      </c>
      <c r="V404" s="101">
        <v>46234</v>
      </c>
      <c r="W404">
        <v>0</v>
      </c>
      <c r="X404">
        <v>0</v>
      </c>
      <c r="Y404">
        <v>0</v>
      </c>
      <c r="Z404">
        <v>0</v>
      </c>
      <c r="AA404">
        <v>0</v>
      </c>
    </row>
    <row r="405" spans="1:27" x14ac:dyDescent="0.3">
      <c r="A405">
        <v>1025</v>
      </c>
      <c r="B405">
        <v>25</v>
      </c>
      <c r="C405">
        <v>2</v>
      </c>
      <c r="D405">
        <v>0</v>
      </c>
      <c r="E405">
        <v>0</v>
      </c>
      <c r="F405" t="s">
        <v>1160</v>
      </c>
      <c r="G405" s="101">
        <v>46204</v>
      </c>
      <c r="H405" t="s">
        <v>69</v>
      </c>
      <c r="I405" t="s">
        <v>441</v>
      </c>
      <c r="J405" t="s">
        <v>459</v>
      </c>
      <c r="K405" t="s">
        <v>382</v>
      </c>
      <c r="L405" s="39">
        <v>0.37108796296296298</v>
      </c>
      <c r="M405" s="39">
        <v>0.72694444444444439</v>
      </c>
      <c r="N405">
        <v>8.5399999999999991</v>
      </c>
      <c r="O405" t="s">
        <v>438</v>
      </c>
      <c r="P405">
        <v>0</v>
      </c>
      <c r="Q405" t="s">
        <v>526</v>
      </c>
      <c r="R405">
        <v>0</v>
      </c>
      <c r="S405">
        <v>0</v>
      </c>
      <c r="T405" t="s">
        <v>462</v>
      </c>
      <c r="U405" t="s">
        <v>108</v>
      </c>
      <c r="V405" s="101">
        <v>46204</v>
      </c>
      <c r="W405">
        <v>1</v>
      </c>
      <c r="X405">
        <v>1</v>
      </c>
      <c r="Y405">
        <v>0</v>
      </c>
      <c r="Z405">
        <v>0</v>
      </c>
      <c r="AA405">
        <v>0</v>
      </c>
    </row>
    <row r="406" spans="1:27" x14ac:dyDescent="0.3">
      <c r="A406">
        <v>1025</v>
      </c>
      <c r="B406">
        <v>25</v>
      </c>
      <c r="C406">
        <v>2</v>
      </c>
      <c r="D406">
        <v>0</v>
      </c>
      <c r="E406">
        <v>0</v>
      </c>
      <c r="F406" t="s">
        <v>1160</v>
      </c>
      <c r="G406" s="101">
        <v>46205</v>
      </c>
      <c r="H406" t="s">
        <v>69</v>
      </c>
      <c r="I406" t="s">
        <v>441</v>
      </c>
      <c r="J406" t="s">
        <v>459</v>
      </c>
      <c r="K406" t="s">
        <v>382</v>
      </c>
      <c r="L406" s="39">
        <v>0.37437500000000001</v>
      </c>
      <c r="M406" s="39">
        <v>0.72628472222222218</v>
      </c>
      <c r="N406">
        <v>8.4499999999999993</v>
      </c>
      <c r="O406" t="s">
        <v>786</v>
      </c>
      <c r="P406">
        <v>0</v>
      </c>
      <c r="Q406" t="s">
        <v>735</v>
      </c>
      <c r="R406">
        <v>0</v>
      </c>
      <c r="S406">
        <v>0</v>
      </c>
      <c r="T406" t="s">
        <v>462</v>
      </c>
      <c r="U406" t="s">
        <v>108</v>
      </c>
      <c r="V406" s="101">
        <v>46205</v>
      </c>
      <c r="W406">
        <v>1</v>
      </c>
      <c r="X406">
        <v>1</v>
      </c>
      <c r="Y406">
        <v>0</v>
      </c>
      <c r="Z406">
        <v>0</v>
      </c>
      <c r="AA406">
        <v>0</v>
      </c>
    </row>
    <row r="407" spans="1:27" x14ac:dyDescent="0.3">
      <c r="A407">
        <v>1025</v>
      </c>
      <c r="B407">
        <v>25</v>
      </c>
      <c r="C407">
        <v>2</v>
      </c>
      <c r="D407">
        <v>0</v>
      </c>
      <c r="E407">
        <v>0</v>
      </c>
      <c r="F407" t="s">
        <v>1160</v>
      </c>
      <c r="G407" s="101">
        <v>46206</v>
      </c>
      <c r="H407" t="s">
        <v>69</v>
      </c>
      <c r="I407" t="s">
        <v>441</v>
      </c>
      <c r="J407" t="s">
        <v>459</v>
      </c>
      <c r="K407" t="s">
        <v>382</v>
      </c>
      <c r="L407" s="39">
        <v>0.37149305555555556</v>
      </c>
      <c r="M407" s="39">
        <v>0.72765046296296299</v>
      </c>
      <c r="N407">
        <v>8.5500000000000007</v>
      </c>
      <c r="O407" t="s">
        <v>609</v>
      </c>
      <c r="P407">
        <v>0</v>
      </c>
      <c r="Q407" t="s">
        <v>781</v>
      </c>
      <c r="R407">
        <v>0</v>
      </c>
      <c r="S407">
        <v>0</v>
      </c>
      <c r="T407" t="s">
        <v>462</v>
      </c>
      <c r="U407" t="s">
        <v>108</v>
      </c>
      <c r="V407" s="101">
        <v>46206</v>
      </c>
      <c r="W407">
        <v>1</v>
      </c>
      <c r="X407">
        <v>1</v>
      </c>
      <c r="Y407">
        <v>0</v>
      </c>
      <c r="Z407">
        <v>0</v>
      </c>
      <c r="AA407">
        <v>0</v>
      </c>
    </row>
    <row r="408" spans="1:27" x14ac:dyDescent="0.3">
      <c r="A408">
        <v>1025</v>
      </c>
      <c r="B408">
        <v>25</v>
      </c>
      <c r="C408">
        <v>2</v>
      </c>
      <c r="D408">
        <v>0</v>
      </c>
      <c r="E408">
        <v>0</v>
      </c>
      <c r="F408" t="s">
        <v>1160</v>
      </c>
      <c r="G408" s="101">
        <v>46207</v>
      </c>
      <c r="H408" t="s">
        <v>69</v>
      </c>
      <c r="I408" t="s">
        <v>441</v>
      </c>
      <c r="J408" t="s">
        <v>459</v>
      </c>
      <c r="K408" t="s">
        <v>382</v>
      </c>
      <c r="L408" s="39">
        <v>0.36961805555555555</v>
      </c>
      <c r="M408" s="39">
        <v>0.72618055555555561</v>
      </c>
      <c r="N408">
        <v>8.56</v>
      </c>
      <c r="O408" t="s">
        <v>514</v>
      </c>
      <c r="P408">
        <v>0</v>
      </c>
      <c r="Q408" t="s">
        <v>1161</v>
      </c>
      <c r="R408">
        <v>0</v>
      </c>
      <c r="S408">
        <v>0</v>
      </c>
      <c r="T408" t="s">
        <v>462</v>
      </c>
      <c r="U408" t="s">
        <v>108</v>
      </c>
      <c r="V408" s="101">
        <v>46207</v>
      </c>
      <c r="W408">
        <v>1</v>
      </c>
      <c r="X408">
        <v>1</v>
      </c>
      <c r="Y408">
        <v>0</v>
      </c>
      <c r="Z408">
        <v>0</v>
      </c>
      <c r="AA408">
        <v>0</v>
      </c>
    </row>
    <row r="409" spans="1:27" x14ac:dyDescent="0.3">
      <c r="A409">
        <v>1025</v>
      </c>
      <c r="B409">
        <v>25</v>
      </c>
      <c r="C409">
        <v>2</v>
      </c>
      <c r="D409">
        <v>0</v>
      </c>
      <c r="E409">
        <v>0</v>
      </c>
      <c r="F409" t="s">
        <v>1160</v>
      </c>
      <c r="G409" s="101">
        <v>46208</v>
      </c>
      <c r="H409" t="s">
        <v>69</v>
      </c>
      <c r="I409" t="s">
        <v>441</v>
      </c>
      <c r="J409" t="s">
        <v>459</v>
      </c>
      <c r="K409" t="s">
        <v>383</v>
      </c>
      <c r="L409" s="39">
        <v>0</v>
      </c>
      <c r="M409" s="39">
        <v>0</v>
      </c>
      <c r="N409">
        <v>0</v>
      </c>
      <c r="O409" t="s">
        <v>384</v>
      </c>
      <c r="P409">
        <v>9</v>
      </c>
      <c r="Q409" t="s">
        <v>385</v>
      </c>
      <c r="R409">
        <v>0</v>
      </c>
      <c r="S409">
        <v>9</v>
      </c>
      <c r="T409" t="s">
        <v>462</v>
      </c>
      <c r="U409" t="s">
        <v>366</v>
      </c>
      <c r="V409" s="101">
        <v>46208</v>
      </c>
      <c r="W409">
        <v>0</v>
      </c>
      <c r="X409">
        <v>0</v>
      </c>
      <c r="Y409">
        <v>0</v>
      </c>
      <c r="Z409">
        <v>0</v>
      </c>
      <c r="AA409">
        <v>0</v>
      </c>
    </row>
    <row r="410" spans="1:27" x14ac:dyDescent="0.3">
      <c r="A410">
        <v>1025</v>
      </c>
      <c r="B410">
        <v>25</v>
      </c>
      <c r="C410">
        <v>2</v>
      </c>
      <c r="D410">
        <v>0</v>
      </c>
      <c r="E410">
        <v>0</v>
      </c>
      <c r="F410" t="s">
        <v>1160</v>
      </c>
      <c r="G410" s="101">
        <v>46209</v>
      </c>
      <c r="H410" t="s">
        <v>69</v>
      </c>
      <c r="I410" t="s">
        <v>441</v>
      </c>
      <c r="J410" t="s">
        <v>459</v>
      </c>
      <c r="K410" t="s">
        <v>383</v>
      </c>
      <c r="L410" s="39">
        <v>0</v>
      </c>
      <c r="M410" s="39">
        <v>0</v>
      </c>
      <c r="N410">
        <v>0</v>
      </c>
      <c r="O410" t="s">
        <v>384</v>
      </c>
      <c r="P410">
        <v>9</v>
      </c>
      <c r="Q410" t="s">
        <v>385</v>
      </c>
      <c r="R410">
        <v>0</v>
      </c>
      <c r="S410">
        <v>9</v>
      </c>
      <c r="T410" t="s">
        <v>462</v>
      </c>
      <c r="U410" t="s">
        <v>366</v>
      </c>
      <c r="V410" s="101">
        <v>46209</v>
      </c>
      <c r="W410">
        <v>0</v>
      </c>
      <c r="X410">
        <v>0</v>
      </c>
      <c r="Y410">
        <v>0</v>
      </c>
      <c r="Z410">
        <v>0</v>
      </c>
      <c r="AA410">
        <v>0</v>
      </c>
    </row>
    <row r="411" spans="1:27" x14ac:dyDescent="0.3">
      <c r="A411">
        <v>1025</v>
      </c>
      <c r="B411">
        <v>25</v>
      </c>
      <c r="C411">
        <v>2</v>
      </c>
      <c r="D411">
        <v>0</v>
      </c>
      <c r="E411">
        <v>0</v>
      </c>
      <c r="F411" t="s">
        <v>1160</v>
      </c>
      <c r="G411" s="101">
        <v>46210</v>
      </c>
      <c r="H411" t="s">
        <v>69</v>
      </c>
      <c r="I411" t="s">
        <v>441</v>
      </c>
      <c r="J411" t="s">
        <v>459</v>
      </c>
      <c r="K411" t="s">
        <v>382</v>
      </c>
      <c r="L411" s="39">
        <v>0.38689814814814816</v>
      </c>
      <c r="M411" s="39">
        <v>0.76778935185185182</v>
      </c>
      <c r="N411">
        <v>9.14</v>
      </c>
      <c r="O411" t="s">
        <v>1162</v>
      </c>
      <c r="P411">
        <v>0</v>
      </c>
      <c r="Q411" t="s">
        <v>1163</v>
      </c>
      <c r="R411">
        <v>0.93</v>
      </c>
      <c r="S411">
        <v>0.93</v>
      </c>
      <c r="T411" t="s">
        <v>462</v>
      </c>
      <c r="U411" t="s">
        <v>108</v>
      </c>
      <c r="V411" s="101">
        <v>46210</v>
      </c>
      <c r="W411">
        <v>1</v>
      </c>
      <c r="X411">
        <v>1</v>
      </c>
      <c r="Y411">
        <v>0</v>
      </c>
      <c r="Z411">
        <v>0</v>
      </c>
      <c r="AA411">
        <v>0</v>
      </c>
    </row>
    <row r="412" spans="1:27" x14ac:dyDescent="0.3">
      <c r="A412">
        <v>1025</v>
      </c>
      <c r="B412">
        <v>25</v>
      </c>
      <c r="C412">
        <v>2</v>
      </c>
      <c r="D412">
        <v>0</v>
      </c>
      <c r="E412">
        <v>0</v>
      </c>
      <c r="F412" t="s">
        <v>1160</v>
      </c>
      <c r="G412" s="101">
        <v>46211</v>
      </c>
      <c r="H412" t="s">
        <v>69</v>
      </c>
      <c r="I412" t="s">
        <v>441</v>
      </c>
      <c r="J412" t="s">
        <v>459</v>
      </c>
      <c r="K412" t="s">
        <v>382</v>
      </c>
      <c r="L412" s="39">
        <v>0.37306712962962962</v>
      </c>
      <c r="M412" s="39">
        <v>0.76765046296296291</v>
      </c>
      <c r="N412">
        <v>9.4700000000000006</v>
      </c>
      <c r="O412" t="s">
        <v>628</v>
      </c>
      <c r="P412">
        <v>0</v>
      </c>
      <c r="Q412" t="s">
        <v>1037</v>
      </c>
      <c r="R412">
        <v>0.92</v>
      </c>
      <c r="S412">
        <v>0.92</v>
      </c>
      <c r="T412" t="s">
        <v>462</v>
      </c>
      <c r="U412" t="s">
        <v>108</v>
      </c>
      <c r="V412" s="101">
        <v>46211</v>
      </c>
      <c r="W412">
        <v>1</v>
      </c>
      <c r="X412">
        <v>1</v>
      </c>
      <c r="Y412">
        <v>0</v>
      </c>
      <c r="Z412">
        <v>0</v>
      </c>
      <c r="AA412">
        <v>0</v>
      </c>
    </row>
    <row r="413" spans="1:27" x14ac:dyDescent="0.3">
      <c r="A413">
        <v>1025</v>
      </c>
      <c r="B413">
        <v>25</v>
      </c>
      <c r="C413">
        <v>2</v>
      </c>
      <c r="D413">
        <v>0</v>
      </c>
      <c r="E413">
        <v>0</v>
      </c>
      <c r="F413" t="s">
        <v>1160</v>
      </c>
      <c r="G413" s="101">
        <v>46212</v>
      </c>
      <c r="H413" t="s">
        <v>69</v>
      </c>
      <c r="I413" t="s">
        <v>441</v>
      </c>
      <c r="J413" t="s">
        <v>459</v>
      </c>
      <c r="K413" t="s">
        <v>382</v>
      </c>
      <c r="L413" s="39">
        <v>0.37347222222222221</v>
      </c>
      <c r="M413" s="39">
        <v>0.76800925925925922</v>
      </c>
      <c r="N413">
        <v>9.4700000000000006</v>
      </c>
      <c r="O413" t="s">
        <v>1164</v>
      </c>
      <c r="P413">
        <v>0</v>
      </c>
      <c r="Q413" t="s">
        <v>1165</v>
      </c>
      <c r="R413">
        <v>0.93</v>
      </c>
      <c r="S413">
        <v>0.93</v>
      </c>
      <c r="T413" t="s">
        <v>462</v>
      </c>
      <c r="U413" t="s">
        <v>108</v>
      </c>
      <c r="V413" s="101">
        <v>46212</v>
      </c>
      <c r="W413">
        <v>1</v>
      </c>
      <c r="X413">
        <v>1</v>
      </c>
      <c r="Y413">
        <v>0</v>
      </c>
      <c r="Z413">
        <v>0</v>
      </c>
      <c r="AA413">
        <v>0</v>
      </c>
    </row>
    <row r="414" spans="1:27" x14ac:dyDescent="0.3">
      <c r="A414">
        <v>1025</v>
      </c>
      <c r="B414">
        <v>25</v>
      </c>
      <c r="C414">
        <v>2</v>
      </c>
      <c r="D414">
        <v>0</v>
      </c>
      <c r="E414">
        <v>0</v>
      </c>
      <c r="F414" t="s">
        <v>1160</v>
      </c>
      <c r="G414" s="101">
        <v>46213</v>
      </c>
      <c r="H414" t="s">
        <v>69</v>
      </c>
      <c r="I414" t="s">
        <v>441</v>
      </c>
      <c r="J414" t="s">
        <v>459</v>
      </c>
      <c r="K414" t="s">
        <v>382</v>
      </c>
      <c r="L414" s="39">
        <v>0.37464120370370368</v>
      </c>
      <c r="M414" s="39">
        <v>0.76780092592592597</v>
      </c>
      <c r="N414">
        <v>9.44</v>
      </c>
      <c r="O414" t="s">
        <v>1166</v>
      </c>
      <c r="P414">
        <v>0</v>
      </c>
      <c r="Q414" t="s">
        <v>1099</v>
      </c>
      <c r="R414">
        <v>0.93</v>
      </c>
      <c r="S414">
        <v>0.93</v>
      </c>
      <c r="T414" t="s">
        <v>462</v>
      </c>
      <c r="U414" t="s">
        <v>108</v>
      </c>
      <c r="V414" s="101">
        <v>46213</v>
      </c>
      <c r="W414">
        <v>1</v>
      </c>
      <c r="X414">
        <v>1</v>
      </c>
      <c r="Y414">
        <v>0</v>
      </c>
      <c r="Z414">
        <v>0</v>
      </c>
      <c r="AA414">
        <v>0</v>
      </c>
    </row>
    <row r="415" spans="1:27" x14ac:dyDescent="0.3">
      <c r="A415">
        <v>1025</v>
      </c>
      <c r="B415">
        <v>25</v>
      </c>
      <c r="C415">
        <v>2</v>
      </c>
      <c r="D415">
        <v>0</v>
      </c>
      <c r="E415">
        <v>0</v>
      </c>
      <c r="F415" t="s">
        <v>1160</v>
      </c>
      <c r="G415" s="101">
        <v>46214</v>
      </c>
      <c r="H415" t="s">
        <v>69</v>
      </c>
      <c r="I415" t="s">
        <v>441</v>
      </c>
      <c r="J415" t="s">
        <v>459</v>
      </c>
      <c r="K415" t="s">
        <v>382</v>
      </c>
      <c r="L415" s="39">
        <v>0.3699189814814815</v>
      </c>
      <c r="M415" s="39">
        <v>0.76791666666666669</v>
      </c>
      <c r="N415">
        <v>9.5500000000000007</v>
      </c>
      <c r="O415" t="s">
        <v>432</v>
      </c>
      <c r="P415">
        <v>0</v>
      </c>
      <c r="Q415" t="s">
        <v>1167</v>
      </c>
      <c r="R415">
        <v>0.93</v>
      </c>
      <c r="S415">
        <v>0.93</v>
      </c>
      <c r="T415" t="s">
        <v>462</v>
      </c>
      <c r="U415" t="s">
        <v>108</v>
      </c>
      <c r="V415" s="101">
        <v>46214</v>
      </c>
      <c r="W415">
        <v>1</v>
      </c>
      <c r="X415">
        <v>1</v>
      </c>
      <c r="Y415">
        <v>0</v>
      </c>
      <c r="Z415">
        <v>0</v>
      </c>
      <c r="AA415">
        <v>0</v>
      </c>
    </row>
    <row r="416" spans="1:27" x14ac:dyDescent="0.3">
      <c r="A416">
        <v>1025</v>
      </c>
      <c r="B416">
        <v>25</v>
      </c>
      <c r="C416">
        <v>2</v>
      </c>
      <c r="D416">
        <v>0</v>
      </c>
      <c r="E416">
        <v>0</v>
      </c>
      <c r="F416" t="s">
        <v>1160</v>
      </c>
      <c r="G416" s="101">
        <v>46215</v>
      </c>
      <c r="H416" t="s">
        <v>69</v>
      </c>
      <c r="I416" t="s">
        <v>441</v>
      </c>
      <c r="J416" t="s">
        <v>459</v>
      </c>
      <c r="K416" t="s">
        <v>383</v>
      </c>
      <c r="L416" s="39">
        <v>0</v>
      </c>
      <c r="M416" s="39">
        <v>0</v>
      </c>
      <c r="N416">
        <v>0</v>
      </c>
      <c r="O416" t="s">
        <v>384</v>
      </c>
      <c r="P416">
        <v>9</v>
      </c>
      <c r="Q416" t="s">
        <v>385</v>
      </c>
      <c r="R416">
        <v>0</v>
      </c>
      <c r="S416">
        <v>9</v>
      </c>
      <c r="T416" t="s">
        <v>462</v>
      </c>
      <c r="U416" t="s">
        <v>366</v>
      </c>
      <c r="V416" s="101">
        <v>46215</v>
      </c>
      <c r="W416">
        <v>0</v>
      </c>
      <c r="X416">
        <v>0</v>
      </c>
      <c r="Y416">
        <v>0</v>
      </c>
      <c r="Z416">
        <v>0</v>
      </c>
      <c r="AA416">
        <v>0</v>
      </c>
    </row>
    <row r="417" spans="1:27" x14ac:dyDescent="0.3">
      <c r="A417">
        <v>1025</v>
      </c>
      <c r="B417">
        <v>25</v>
      </c>
      <c r="C417">
        <v>2</v>
      </c>
      <c r="D417">
        <v>0</v>
      </c>
      <c r="E417">
        <v>0</v>
      </c>
      <c r="F417" t="s">
        <v>1160</v>
      </c>
      <c r="G417" s="101">
        <v>46216</v>
      </c>
      <c r="H417" t="s">
        <v>69</v>
      </c>
      <c r="I417" t="s">
        <v>441</v>
      </c>
      <c r="J417" t="s">
        <v>459</v>
      </c>
      <c r="K417" t="s">
        <v>382</v>
      </c>
      <c r="L417" s="39">
        <v>0.55857638888888894</v>
      </c>
      <c r="M417" s="39">
        <v>0.76811342592592591</v>
      </c>
      <c r="N417">
        <v>5.03</v>
      </c>
      <c r="O417" t="s">
        <v>1168</v>
      </c>
      <c r="P417">
        <v>0</v>
      </c>
      <c r="Q417" t="s">
        <v>583</v>
      </c>
      <c r="R417">
        <v>0.93</v>
      </c>
      <c r="S417">
        <v>0.93</v>
      </c>
      <c r="T417" t="s">
        <v>462</v>
      </c>
      <c r="U417" t="s">
        <v>314</v>
      </c>
      <c r="V417" s="101">
        <v>46216</v>
      </c>
      <c r="W417">
        <v>0.5</v>
      </c>
      <c r="X417">
        <v>0.5</v>
      </c>
      <c r="Y417">
        <v>0</v>
      </c>
      <c r="Z417">
        <v>0</v>
      </c>
      <c r="AA417">
        <v>0</v>
      </c>
    </row>
    <row r="418" spans="1:27" x14ac:dyDescent="0.3">
      <c r="A418">
        <v>1025</v>
      </c>
      <c r="B418">
        <v>25</v>
      </c>
      <c r="C418">
        <v>2</v>
      </c>
      <c r="D418">
        <v>0</v>
      </c>
      <c r="E418">
        <v>0</v>
      </c>
      <c r="F418" t="s">
        <v>1160</v>
      </c>
      <c r="G418" s="101">
        <v>46217</v>
      </c>
      <c r="H418" t="s">
        <v>69</v>
      </c>
      <c r="I418" t="s">
        <v>441</v>
      </c>
      <c r="J418" t="s">
        <v>459</v>
      </c>
      <c r="K418" t="s">
        <v>382</v>
      </c>
      <c r="L418" s="39">
        <v>0.36885416666666665</v>
      </c>
      <c r="M418" s="39">
        <v>0.76802083333333337</v>
      </c>
      <c r="N418">
        <v>9.58</v>
      </c>
      <c r="O418" t="s">
        <v>1169</v>
      </c>
      <c r="P418">
        <v>0</v>
      </c>
      <c r="Q418" t="s">
        <v>593</v>
      </c>
      <c r="R418">
        <v>0.93</v>
      </c>
      <c r="S418">
        <v>0.93</v>
      </c>
      <c r="T418" t="s">
        <v>462</v>
      </c>
      <c r="U418" t="s">
        <v>108</v>
      </c>
      <c r="V418" s="101">
        <v>46217</v>
      </c>
      <c r="W418">
        <v>1</v>
      </c>
      <c r="X418">
        <v>1</v>
      </c>
      <c r="Y418">
        <v>0</v>
      </c>
      <c r="Z418">
        <v>0</v>
      </c>
      <c r="AA418">
        <v>0</v>
      </c>
    </row>
    <row r="419" spans="1:27" x14ac:dyDescent="0.3">
      <c r="A419">
        <v>1025</v>
      </c>
      <c r="B419">
        <v>25</v>
      </c>
      <c r="C419">
        <v>2</v>
      </c>
      <c r="D419">
        <v>0</v>
      </c>
      <c r="E419">
        <v>0</v>
      </c>
      <c r="F419" t="s">
        <v>1160</v>
      </c>
      <c r="G419" s="101">
        <v>46218</v>
      </c>
      <c r="H419" t="s">
        <v>69</v>
      </c>
      <c r="I419" t="s">
        <v>441</v>
      </c>
      <c r="J419" t="s">
        <v>459</v>
      </c>
      <c r="K419" t="s">
        <v>382</v>
      </c>
      <c r="L419" s="39">
        <v>0.37149305555555556</v>
      </c>
      <c r="M419" s="39">
        <v>0.54166666666666663</v>
      </c>
      <c r="N419">
        <v>4.08</v>
      </c>
      <c r="O419" t="s">
        <v>609</v>
      </c>
      <c r="P419">
        <v>0</v>
      </c>
      <c r="Q419" t="s">
        <v>787</v>
      </c>
      <c r="R419">
        <v>0</v>
      </c>
      <c r="S419">
        <v>0</v>
      </c>
      <c r="T419" t="s">
        <v>462</v>
      </c>
      <c r="U419" t="s">
        <v>314</v>
      </c>
      <c r="V419" s="101">
        <v>46218</v>
      </c>
      <c r="W419">
        <v>0.5</v>
      </c>
      <c r="X419">
        <v>0.5</v>
      </c>
      <c r="Y419">
        <v>0</v>
      </c>
      <c r="Z419">
        <v>0</v>
      </c>
      <c r="AA419">
        <v>0</v>
      </c>
    </row>
    <row r="420" spans="1:27" x14ac:dyDescent="0.3">
      <c r="A420">
        <v>1025</v>
      </c>
      <c r="B420">
        <v>25</v>
      </c>
      <c r="C420">
        <v>2</v>
      </c>
      <c r="D420">
        <v>0</v>
      </c>
      <c r="E420">
        <v>0</v>
      </c>
      <c r="F420" t="s">
        <v>1160</v>
      </c>
      <c r="G420" s="101">
        <v>46219</v>
      </c>
      <c r="H420" t="s">
        <v>69</v>
      </c>
      <c r="I420" t="s">
        <v>441</v>
      </c>
      <c r="J420" t="s">
        <v>459</v>
      </c>
      <c r="K420" t="s">
        <v>382</v>
      </c>
      <c r="L420" s="39">
        <v>0.36875000000000002</v>
      </c>
      <c r="M420" s="39">
        <v>0.76807870370370368</v>
      </c>
      <c r="N420">
        <v>9.58</v>
      </c>
      <c r="O420" t="s">
        <v>610</v>
      </c>
      <c r="P420">
        <v>0</v>
      </c>
      <c r="Q420" t="s">
        <v>1170</v>
      </c>
      <c r="R420">
        <v>0.93</v>
      </c>
      <c r="S420">
        <v>0.93</v>
      </c>
      <c r="T420" t="s">
        <v>462</v>
      </c>
      <c r="U420" t="s">
        <v>108</v>
      </c>
      <c r="V420" s="101">
        <v>46219</v>
      </c>
      <c r="W420">
        <v>1</v>
      </c>
      <c r="X420">
        <v>1</v>
      </c>
      <c r="Y420">
        <v>0</v>
      </c>
      <c r="Z420">
        <v>0</v>
      </c>
      <c r="AA420">
        <v>0</v>
      </c>
    </row>
    <row r="421" spans="1:27" x14ac:dyDescent="0.3">
      <c r="A421">
        <v>1025</v>
      </c>
      <c r="B421">
        <v>25</v>
      </c>
      <c r="C421">
        <v>2</v>
      </c>
      <c r="D421">
        <v>0</v>
      </c>
      <c r="E421">
        <v>0</v>
      </c>
      <c r="F421" t="s">
        <v>1160</v>
      </c>
      <c r="G421" s="101">
        <v>46220</v>
      </c>
      <c r="H421" t="s">
        <v>69</v>
      </c>
      <c r="I421" t="s">
        <v>441</v>
      </c>
      <c r="J421" t="s">
        <v>459</v>
      </c>
      <c r="K421" t="s">
        <v>382</v>
      </c>
      <c r="L421" s="39">
        <v>0.3721875</v>
      </c>
      <c r="M421" s="39">
        <v>0.76798611111111115</v>
      </c>
      <c r="N421">
        <v>9.5</v>
      </c>
      <c r="O421" t="s">
        <v>565</v>
      </c>
      <c r="P421">
        <v>0</v>
      </c>
      <c r="Q421" t="s">
        <v>587</v>
      </c>
      <c r="R421">
        <v>0.93</v>
      </c>
      <c r="S421">
        <v>0.93</v>
      </c>
      <c r="T421" t="s">
        <v>462</v>
      </c>
      <c r="U421" t="s">
        <v>108</v>
      </c>
      <c r="V421" s="101">
        <v>46220</v>
      </c>
      <c r="W421">
        <v>1</v>
      </c>
      <c r="X421">
        <v>1</v>
      </c>
      <c r="Y421">
        <v>0</v>
      </c>
      <c r="Z421">
        <v>0</v>
      </c>
      <c r="AA421">
        <v>0</v>
      </c>
    </row>
    <row r="422" spans="1:27" x14ac:dyDescent="0.3">
      <c r="A422">
        <v>1025</v>
      </c>
      <c r="B422">
        <v>25</v>
      </c>
      <c r="C422">
        <v>2</v>
      </c>
      <c r="D422">
        <v>0</v>
      </c>
      <c r="E422">
        <v>0</v>
      </c>
      <c r="F422" t="s">
        <v>1160</v>
      </c>
      <c r="G422" s="101">
        <v>46221</v>
      </c>
      <c r="H422" t="s">
        <v>69</v>
      </c>
      <c r="I422" t="s">
        <v>441</v>
      </c>
      <c r="J422" t="s">
        <v>459</v>
      </c>
      <c r="K422" t="s">
        <v>382</v>
      </c>
      <c r="L422" s="39">
        <v>0.37122685185185184</v>
      </c>
      <c r="M422" s="39">
        <v>0.72793981481481485</v>
      </c>
      <c r="N422">
        <v>8.56</v>
      </c>
      <c r="O422" t="s">
        <v>1171</v>
      </c>
      <c r="P422">
        <v>0</v>
      </c>
      <c r="Q422" t="s">
        <v>720</v>
      </c>
      <c r="R422">
        <v>0</v>
      </c>
      <c r="S422">
        <v>0</v>
      </c>
      <c r="T422" t="s">
        <v>462</v>
      </c>
      <c r="U422" t="s">
        <v>108</v>
      </c>
      <c r="V422" s="101">
        <v>46221</v>
      </c>
      <c r="W422">
        <v>1</v>
      </c>
      <c r="X422">
        <v>1</v>
      </c>
      <c r="Y422">
        <v>0</v>
      </c>
      <c r="Z422">
        <v>0</v>
      </c>
      <c r="AA422">
        <v>0</v>
      </c>
    </row>
    <row r="423" spans="1:27" x14ac:dyDescent="0.3">
      <c r="A423">
        <v>1025</v>
      </c>
      <c r="B423">
        <v>25</v>
      </c>
      <c r="C423">
        <v>2</v>
      </c>
      <c r="D423">
        <v>0</v>
      </c>
      <c r="E423">
        <v>0</v>
      </c>
      <c r="F423" t="s">
        <v>1160</v>
      </c>
      <c r="G423" s="101">
        <v>46222</v>
      </c>
      <c r="H423" t="s">
        <v>69</v>
      </c>
      <c r="I423" t="s">
        <v>441</v>
      </c>
      <c r="J423" t="s">
        <v>459</v>
      </c>
      <c r="K423" t="s">
        <v>383</v>
      </c>
      <c r="L423" s="39">
        <v>0</v>
      </c>
      <c r="M423" s="39">
        <v>0</v>
      </c>
      <c r="N423">
        <v>0</v>
      </c>
      <c r="O423" t="s">
        <v>384</v>
      </c>
      <c r="P423">
        <v>9</v>
      </c>
      <c r="Q423" t="s">
        <v>385</v>
      </c>
      <c r="R423">
        <v>0</v>
      </c>
      <c r="S423">
        <v>9</v>
      </c>
      <c r="T423" t="s">
        <v>462</v>
      </c>
      <c r="U423" t="s">
        <v>366</v>
      </c>
      <c r="V423" s="101">
        <v>46222</v>
      </c>
      <c r="W423">
        <v>0</v>
      </c>
      <c r="X423">
        <v>0</v>
      </c>
      <c r="Y423">
        <v>0</v>
      </c>
      <c r="Z423">
        <v>0</v>
      </c>
      <c r="AA423">
        <v>0</v>
      </c>
    </row>
    <row r="424" spans="1:27" x14ac:dyDescent="0.3">
      <c r="A424">
        <v>1025</v>
      </c>
      <c r="B424">
        <v>25</v>
      </c>
      <c r="C424">
        <v>2</v>
      </c>
      <c r="D424">
        <v>0</v>
      </c>
      <c r="E424">
        <v>0</v>
      </c>
      <c r="F424" t="s">
        <v>1160</v>
      </c>
      <c r="G424" s="101">
        <v>46223</v>
      </c>
      <c r="H424" t="s">
        <v>69</v>
      </c>
      <c r="I424" t="s">
        <v>441</v>
      </c>
      <c r="J424" t="s">
        <v>459</v>
      </c>
      <c r="K424" t="s">
        <v>382</v>
      </c>
      <c r="L424" s="39">
        <v>0.37351851851851853</v>
      </c>
      <c r="M424" s="39">
        <v>0.76780092592592597</v>
      </c>
      <c r="N424">
        <v>9.4600000000000009</v>
      </c>
      <c r="O424" t="s">
        <v>867</v>
      </c>
      <c r="P424">
        <v>0</v>
      </c>
      <c r="Q424" t="s">
        <v>1099</v>
      </c>
      <c r="R424">
        <v>0.93</v>
      </c>
      <c r="S424">
        <v>0.93</v>
      </c>
      <c r="T424" t="s">
        <v>462</v>
      </c>
      <c r="U424" t="s">
        <v>108</v>
      </c>
      <c r="V424" s="101">
        <v>46223</v>
      </c>
      <c r="W424">
        <v>1</v>
      </c>
      <c r="X424">
        <v>1</v>
      </c>
      <c r="Y424">
        <v>0</v>
      </c>
      <c r="Z424">
        <v>0</v>
      </c>
      <c r="AA424">
        <v>0</v>
      </c>
    </row>
    <row r="425" spans="1:27" x14ac:dyDescent="0.3">
      <c r="A425">
        <v>1025</v>
      </c>
      <c r="B425">
        <v>25</v>
      </c>
      <c r="C425">
        <v>2</v>
      </c>
      <c r="D425">
        <v>0</v>
      </c>
      <c r="E425">
        <v>0</v>
      </c>
      <c r="F425" t="s">
        <v>1160</v>
      </c>
      <c r="G425" s="101">
        <v>46224</v>
      </c>
      <c r="H425" t="s">
        <v>69</v>
      </c>
      <c r="I425" t="s">
        <v>441</v>
      </c>
      <c r="J425" t="s">
        <v>459</v>
      </c>
      <c r="K425" t="s">
        <v>382</v>
      </c>
      <c r="L425" s="39">
        <v>0.37115740740740738</v>
      </c>
      <c r="M425" s="39">
        <v>0.72701388888888885</v>
      </c>
      <c r="N425">
        <v>8.5399999999999991</v>
      </c>
      <c r="O425" t="s">
        <v>1172</v>
      </c>
      <c r="P425">
        <v>0</v>
      </c>
      <c r="Q425" t="s">
        <v>419</v>
      </c>
      <c r="R425">
        <v>0</v>
      </c>
      <c r="S425">
        <v>0</v>
      </c>
      <c r="T425" t="s">
        <v>462</v>
      </c>
      <c r="U425" t="s">
        <v>108</v>
      </c>
      <c r="V425" s="101">
        <v>46224</v>
      </c>
      <c r="W425">
        <v>1</v>
      </c>
      <c r="X425">
        <v>1</v>
      </c>
      <c r="Y425">
        <v>0</v>
      </c>
      <c r="Z425">
        <v>0</v>
      </c>
      <c r="AA425">
        <v>0</v>
      </c>
    </row>
    <row r="426" spans="1:27" x14ac:dyDescent="0.3">
      <c r="A426">
        <v>1025</v>
      </c>
      <c r="B426">
        <v>25</v>
      </c>
      <c r="C426">
        <v>2</v>
      </c>
      <c r="D426">
        <v>0</v>
      </c>
      <c r="E426">
        <v>0</v>
      </c>
      <c r="F426" t="s">
        <v>1160</v>
      </c>
      <c r="G426" s="101">
        <v>46225</v>
      </c>
      <c r="H426" t="s">
        <v>69</v>
      </c>
      <c r="I426" t="s">
        <v>441</v>
      </c>
      <c r="J426" t="s">
        <v>459</v>
      </c>
      <c r="K426" t="s">
        <v>382</v>
      </c>
      <c r="L426" s="39">
        <v>0.36872685185185183</v>
      </c>
      <c r="M426" s="39">
        <v>0.76870370370370367</v>
      </c>
      <c r="N426">
        <v>9.6</v>
      </c>
      <c r="O426" t="s">
        <v>1173</v>
      </c>
      <c r="P426">
        <v>0</v>
      </c>
      <c r="Q426" t="s">
        <v>1174</v>
      </c>
      <c r="R426">
        <v>0.95</v>
      </c>
      <c r="S426">
        <v>0.95</v>
      </c>
      <c r="T426" t="s">
        <v>462</v>
      </c>
      <c r="U426" t="s">
        <v>108</v>
      </c>
      <c r="V426" s="101">
        <v>46225</v>
      </c>
      <c r="W426">
        <v>1</v>
      </c>
      <c r="X426">
        <v>1</v>
      </c>
      <c r="Y426">
        <v>0</v>
      </c>
      <c r="Z426">
        <v>0</v>
      </c>
      <c r="AA426">
        <v>0</v>
      </c>
    </row>
    <row r="427" spans="1:27" x14ac:dyDescent="0.3">
      <c r="A427">
        <v>1025</v>
      </c>
      <c r="B427">
        <v>25</v>
      </c>
      <c r="C427">
        <v>2</v>
      </c>
      <c r="D427">
        <v>0</v>
      </c>
      <c r="E427">
        <v>0</v>
      </c>
      <c r="F427" t="s">
        <v>1160</v>
      </c>
      <c r="G427" s="101">
        <v>46226</v>
      </c>
      <c r="H427" t="s">
        <v>69</v>
      </c>
      <c r="I427" t="s">
        <v>441</v>
      </c>
      <c r="J427" t="s">
        <v>459</v>
      </c>
      <c r="K427" t="s">
        <v>382</v>
      </c>
      <c r="L427" s="39">
        <v>0.36922453703703706</v>
      </c>
      <c r="M427" s="39">
        <v>0.76802083333333337</v>
      </c>
      <c r="N427">
        <v>9.57</v>
      </c>
      <c r="O427" t="s">
        <v>1175</v>
      </c>
      <c r="P427">
        <v>0</v>
      </c>
      <c r="Q427" t="s">
        <v>593</v>
      </c>
      <c r="R427">
        <v>0.93</v>
      </c>
      <c r="S427">
        <v>0.93</v>
      </c>
      <c r="T427" t="s">
        <v>462</v>
      </c>
      <c r="U427" t="s">
        <v>108</v>
      </c>
      <c r="V427" s="101">
        <v>46226</v>
      </c>
      <c r="W427">
        <v>1</v>
      </c>
      <c r="X427">
        <v>1</v>
      </c>
      <c r="Y427">
        <v>0</v>
      </c>
      <c r="Z427">
        <v>0</v>
      </c>
      <c r="AA427">
        <v>0</v>
      </c>
    </row>
    <row r="428" spans="1:27" x14ac:dyDescent="0.3">
      <c r="A428">
        <v>1025</v>
      </c>
      <c r="B428">
        <v>25</v>
      </c>
      <c r="C428">
        <v>2</v>
      </c>
      <c r="D428">
        <v>0</v>
      </c>
      <c r="E428">
        <v>0</v>
      </c>
      <c r="F428" t="s">
        <v>1160</v>
      </c>
      <c r="G428" s="101">
        <v>46227</v>
      </c>
      <c r="H428" t="s">
        <v>69</v>
      </c>
      <c r="I428" t="s">
        <v>441</v>
      </c>
      <c r="J428" t="s">
        <v>459</v>
      </c>
      <c r="K428" t="s">
        <v>382</v>
      </c>
      <c r="L428" s="39">
        <v>0.37260416666666668</v>
      </c>
      <c r="M428" s="39">
        <v>0.76850694444444445</v>
      </c>
      <c r="N428">
        <v>9.5</v>
      </c>
      <c r="O428" t="s">
        <v>416</v>
      </c>
      <c r="P428">
        <v>0</v>
      </c>
      <c r="Q428" t="s">
        <v>1132</v>
      </c>
      <c r="R428">
        <v>0.94</v>
      </c>
      <c r="S428">
        <v>0.94</v>
      </c>
      <c r="T428" t="s">
        <v>462</v>
      </c>
      <c r="U428" t="s">
        <v>108</v>
      </c>
      <c r="V428" s="101">
        <v>46227</v>
      </c>
      <c r="W428">
        <v>1</v>
      </c>
      <c r="X428">
        <v>1</v>
      </c>
      <c r="Y428">
        <v>0</v>
      </c>
      <c r="Z428">
        <v>0</v>
      </c>
      <c r="AA428">
        <v>0</v>
      </c>
    </row>
    <row r="429" spans="1:27" x14ac:dyDescent="0.3">
      <c r="A429">
        <v>1025</v>
      </c>
      <c r="B429">
        <v>25</v>
      </c>
      <c r="C429">
        <v>2</v>
      </c>
      <c r="D429">
        <v>0</v>
      </c>
      <c r="E429">
        <v>0</v>
      </c>
      <c r="F429" t="s">
        <v>1160</v>
      </c>
      <c r="G429" s="101">
        <v>46228</v>
      </c>
      <c r="H429" t="s">
        <v>69</v>
      </c>
      <c r="I429" t="s">
        <v>441</v>
      </c>
      <c r="J429" t="s">
        <v>459</v>
      </c>
      <c r="K429" t="s">
        <v>382</v>
      </c>
      <c r="L429" s="39">
        <v>0.36982638888888891</v>
      </c>
      <c r="M429" s="39">
        <v>0.76815972222222217</v>
      </c>
      <c r="N429">
        <v>9.56</v>
      </c>
      <c r="O429" t="s">
        <v>1176</v>
      </c>
      <c r="P429">
        <v>0</v>
      </c>
      <c r="Q429" t="s">
        <v>1081</v>
      </c>
      <c r="R429">
        <v>0.94</v>
      </c>
      <c r="S429">
        <v>0.94</v>
      </c>
      <c r="T429" t="s">
        <v>462</v>
      </c>
      <c r="U429" t="s">
        <v>108</v>
      </c>
      <c r="V429" s="101">
        <v>46228</v>
      </c>
      <c r="W429">
        <v>1</v>
      </c>
      <c r="X429">
        <v>1</v>
      </c>
      <c r="Y429">
        <v>0</v>
      </c>
      <c r="Z429">
        <v>0</v>
      </c>
      <c r="AA429">
        <v>0</v>
      </c>
    </row>
    <row r="430" spans="1:27" x14ac:dyDescent="0.3">
      <c r="A430">
        <v>1025</v>
      </c>
      <c r="B430">
        <v>25</v>
      </c>
      <c r="C430">
        <v>2</v>
      </c>
      <c r="D430">
        <v>0</v>
      </c>
      <c r="E430">
        <v>0</v>
      </c>
      <c r="F430" t="s">
        <v>1160</v>
      </c>
      <c r="G430" s="101">
        <v>46229</v>
      </c>
      <c r="H430" t="s">
        <v>69</v>
      </c>
      <c r="I430" t="s">
        <v>441</v>
      </c>
      <c r="J430" t="s">
        <v>459</v>
      </c>
      <c r="K430" t="s">
        <v>383</v>
      </c>
      <c r="L430" s="39">
        <v>0</v>
      </c>
      <c r="M430" s="39">
        <v>0</v>
      </c>
      <c r="N430">
        <v>0</v>
      </c>
      <c r="O430" t="s">
        <v>384</v>
      </c>
      <c r="P430">
        <v>9</v>
      </c>
      <c r="Q430" t="s">
        <v>385</v>
      </c>
      <c r="R430">
        <v>0</v>
      </c>
      <c r="S430">
        <v>9</v>
      </c>
      <c r="T430" t="s">
        <v>462</v>
      </c>
      <c r="U430" t="s">
        <v>366</v>
      </c>
      <c r="V430" s="101">
        <v>46229</v>
      </c>
      <c r="W430">
        <v>0</v>
      </c>
      <c r="X430">
        <v>0</v>
      </c>
      <c r="Y430">
        <v>0</v>
      </c>
      <c r="Z430">
        <v>0</v>
      </c>
      <c r="AA430">
        <v>0</v>
      </c>
    </row>
    <row r="431" spans="1:27" x14ac:dyDescent="0.3">
      <c r="A431">
        <v>1025</v>
      </c>
      <c r="B431">
        <v>25</v>
      </c>
      <c r="C431">
        <v>2</v>
      </c>
      <c r="D431">
        <v>0</v>
      </c>
      <c r="E431">
        <v>0</v>
      </c>
      <c r="F431" t="s">
        <v>1160</v>
      </c>
      <c r="G431" s="101">
        <v>46230</v>
      </c>
      <c r="H431" t="s">
        <v>69</v>
      </c>
      <c r="I431" t="s">
        <v>441</v>
      </c>
      <c r="J431" t="s">
        <v>459</v>
      </c>
      <c r="K431" t="s">
        <v>382</v>
      </c>
      <c r="L431" s="39">
        <v>0.36773148148148149</v>
      </c>
      <c r="M431" s="39">
        <v>0.76891203703703703</v>
      </c>
      <c r="N431">
        <v>9.6300000000000008</v>
      </c>
      <c r="O431" t="s">
        <v>640</v>
      </c>
      <c r="P431">
        <v>0</v>
      </c>
      <c r="Q431" t="s">
        <v>1177</v>
      </c>
      <c r="R431">
        <v>0.95</v>
      </c>
      <c r="S431">
        <v>0.95</v>
      </c>
      <c r="T431" t="s">
        <v>462</v>
      </c>
      <c r="U431" t="s">
        <v>108</v>
      </c>
      <c r="V431" s="101">
        <v>46230</v>
      </c>
      <c r="W431">
        <v>1</v>
      </c>
      <c r="X431">
        <v>1</v>
      </c>
      <c r="Y431">
        <v>0</v>
      </c>
      <c r="Z431">
        <v>0</v>
      </c>
      <c r="AA431">
        <v>0</v>
      </c>
    </row>
    <row r="432" spans="1:27" x14ac:dyDescent="0.3">
      <c r="A432">
        <v>1025</v>
      </c>
      <c r="B432">
        <v>25</v>
      </c>
      <c r="C432">
        <v>2</v>
      </c>
      <c r="D432">
        <v>0</v>
      </c>
      <c r="E432">
        <v>0</v>
      </c>
      <c r="F432" t="s">
        <v>1160</v>
      </c>
      <c r="G432" s="101">
        <v>46231</v>
      </c>
      <c r="H432" t="s">
        <v>69</v>
      </c>
      <c r="I432" t="s">
        <v>441</v>
      </c>
      <c r="J432" t="s">
        <v>459</v>
      </c>
      <c r="K432" t="s">
        <v>382</v>
      </c>
      <c r="L432" s="39">
        <v>0.36732638888888891</v>
      </c>
      <c r="M432" s="39">
        <v>0.76817129629629632</v>
      </c>
      <c r="N432">
        <v>9.6199999999999992</v>
      </c>
      <c r="O432" t="s">
        <v>1178</v>
      </c>
      <c r="P432">
        <v>0</v>
      </c>
      <c r="Q432" t="s">
        <v>1038</v>
      </c>
      <c r="R432">
        <v>0.94</v>
      </c>
      <c r="S432">
        <v>0.94</v>
      </c>
      <c r="T432" t="s">
        <v>462</v>
      </c>
      <c r="U432" t="s">
        <v>108</v>
      </c>
      <c r="V432" s="101">
        <v>46231</v>
      </c>
      <c r="W432">
        <v>1</v>
      </c>
      <c r="X432">
        <v>1</v>
      </c>
      <c r="Y432">
        <v>0</v>
      </c>
      <c r="Z432">
        <v>0</v>
      </c>
      <c r="AA432">
        <v>0</v>
      </c>
    </row>
    <row r="433" spans="1:27" x14ac:dyDescent="0.3">
      <c r="A433">
        <v>1025</v>
      </c>
      <c r="B433">
        <v>25</v>
      </c>
      <c r="C433">
        <v>2</v>
      </c>
      <c r="D433">
        <v>0</v>
      </c>
      <c r="E433">
        <v>0</v>
      </c>
      <c r="F433" t="s">
        <v>1160</v>
      </c>
      <c r="G433" s="101">
        <v>46232</v>
      </c>
      <c r="H433" t="s">
        <v>69</v>
      </c>
      <c r="I433" t="s">
        <v>441</v>
      </c>
      <c r="J433" t="s">
        <v>459</v>
      </c>
      <c r="K433" t="s">
        <v>382</v>
      </c>
      <c r="L433" s="39">
        <v>0.36886574074074074</v>
      </c>
      <c r="M433" s="39">
        <v>0.76770833333333333</v>
      </c>
      <c r="N433">
        <v>9.57</v>
      </c>
      <c r="O433" t="s">
        <v>645</v>
      </c>
      <c r="P433">
        <v>0</v>
      </c>
      <c r="Q433" t="s">
        <v>1179</v>
      </c>
      <c r="R433">
        <v>0.92</v>
      </c>
      <c r="S433">
        <v>0.92</v>
      </c>
      <c r="T433" t="s">
        <v>462</v>
      </c>
      <c r="U433" t="s">
        <v>108</v>
      </c>
      <c r="V433" s="101">
        <v>46232</v>
      </c>
      <c r="W433">
        <v>1</v>
      </c>
      <c r="X433">
        <v>1</v>
      </c>
      <c r="Y433">
        <v>0</v>
      </c>
      <c r="Z433">
        <v>0</v>
      </c>
      <c r="AA433">
        <v>0</v>
      </c>
    </row>
    <row r="434" spans="1:27" x14ac:dyDescent="0.3">
      <c r="A434">
        <v>1025</v>
      </c>
      <c r="B434">
        <v>25</v>
      </c>
      <c r="C434">
        <v>2</v>
      </c>
      <c r="D434">
        <v>0</v>
      </c>
      <c r="E434">
        <v>0</v>
      </c>
      <c r="F434" t="s">
        <v>1160</v>
      </c>
      <c r="G434" s="101">
        <v>46233</v>
      </c>
      <c r="H434" t="s">
        <v>69</v>
      </c>
      <c r="I434" t="s">
        <v>441</v>
      </c>
      <c r="J434" t="s">
        <v>459</v>
      </c>
      <c r="K434" t="s">
        <v>382</v>
      </c>
      <c r="L434" s="39">
        <v>0.37035879629629631</v>
      </c>
      <c r="M434" s="39">
        <v>0.76766203703703706</v>
      </c>
      <c r="N434">
        <v>9.5399999999999991</v>
      </c>
      <c r="O434" t="s">
        <v>498</v>
      </c>
      <c r="P434">
        <v>0</v>
      </c>
      <c r="Q434" t="s">
        <v>1180</v>
      </c>
      <c r="R434">
        <v>0.92</v>
      </c>
      <c r="S434">
        <v>0.92</v>
      </c>
      <c r="T434" t="s">
        <v>462</v>
      </c>
      <c r="U434" t="s">
        <v>108</v>
      </c>
      <c r="V434" s="101">
        <v>46233</v>
      </c>
      <c r="W434">
        <v>1</v>
      </c>
      <c r="X434">
        <v>1</v>
      </c>
      <c r="Y434">
        <v>0</v>
      </c>
      <c r="Z434">
        <v>0</v>
      </c>
      <c r="AA434">
        <v>0</v>
      </c>
    </row>
    <row r="435" spans="1:27" x14ac:dyDescent="0.3">
      <c r="A435">
        <v>1025</v>
      </c>
      <c r="B435">
        <v>25</v>
      </c>
      <c r="C435">
        <v>2</v>
      </c>
      <c r="D435">
        <v>0</v>
      </c>
      <c r="E435">
        <v>0</v>
      </c>
      <c r="F435" t="s">
        <v>1160</v>
      </c>
      <c r="G435" s="101">
        <v>46234</v>
      </c>
      <c r="H435" t="s">
        <v>69</v>
      </c>
      <c r="I435" t="s">
        <v>441</v>
      </c>
      <c r="J435" t="s">
        <v>459</v>
      </c>
      <c r="K435" t="s">
        <v>382</v>
      </c>
      <c r="L435" s="39">
        <v>0.36872685185185183</v>
      </c>
      <c r="M435" s="39">
        <v>0.76731481481481478</v>
      </c>
      <c r="N435">
        <v>9.57</v>
      </c>
      <c r="O435" t="s">
        <v>1173</v>
      </c>
      <c r="P435">
        <v>0</v>
      </c>
      <c r="Q435" t="s">
        <v>1181</v>
      </c>
      <c r="R435">
        <v>0.92</v>
      </c>
      <c r="S435">
        <v>0.92</v>
      </c>
      <c r="T435" t="s">
        <v>462</v>
      </c>
      <c r="U435" t="s">
        <v>108</v>
      </c>
      <c r="V435" s="101">
        <v>46234</v>
      </c>
      <c r="W435">
        <v>1</v>
      </c>
      <c r="X435">
        <v>1</v>
      </c>
      <c r="Y435">
        <v>0</v>
      </c>
      <c r="Z435">
        <v>0</v>
      </c>
      <c r="AA435">
        <v>0</v>
      </c>
    </row>
    <row r="436" spans="1:27" x14ac:dyDescent="0.3">
      <c r="A436">
        <v>1030</v>
      </c>
      <c r="B436">
        <v>25</v>
      </c>
      <c r="C436">
        <v>2</v>
      </c>
      <c r="D436">
        <v>0</v>
      </c>
      <c r="E436">
        <v>0</v>
      </c>
      <c r="F436" t="s">
        <v>1182</v>
      </c>
      <c r="G436" s="101">
        <v>46204</v>
      </c>
      <c r="H436" t="s">
        <v>167</v>
      </c>
      <c r="I436" t="s">
        <v>445</v>
      </c>
      <c r="J436" t="s">
        <v>442</v>
      </c>
      <c r="K436" t="s">
        <v>382</v>
      </c>
      <c r="L436" s="39">
        <v>0.3732638888888889</v>
      </c>
      <c r="M436" s="39">
        <v>0.72711805555555553</v>
      </c>
      <c r="N436">
        <v>8.49</v>
      </c>
      <c r="O436" t="s">
        <v>502</v>
      </c>
      <c r="P436">
        <v>0</v>
      </c>
      <c r="Q436" t="s">
        <v>428</v>
      </c>
      <c r="R436">
        <v>0</v>
      </c>
      <c r="S436">
        <v>0</v>
      </c>
      <c r="T436" t="s">
        <v>465</v>
      </c>
      <c r="U436" t="s">
        <v>108</v>
      </c>
      <c r="V436" s="101">
        <v>46204</v>
      </c>
      <c r="W436">
        <v>1</v>
      </c>
      <c r="X436">
        <v>1</v>
      </c>
      <c r="Y436">
        <v>0</v>
      </c>
      <c r="Z436">
        <v>0</v>
      </c>
      <c r="AA436">
        <v>0</v>
      </c>
    </row>
    <row r="437" spans="1:27" x14ac:dyDescent="0.3">
      <c r="A437">
        <v>1030</v>
      </c>
      <c r="B437">
        <v>25</v>
      </c>
      <c r="C437">
        <v>2</v>
      </c>
      <c r="D437">
        <v>0</v>
      </c>
      <c r="E437">
        <v>0</v>
      </c>
      <c r="F437" t="s">
        <v>1182</v>
      </c>
      <c r="G437" s="101">
        <v>46205</v>
      </c>
      <c r="H437" t="s">
        <v>167</v>
      </c>
      <c r="I437" t="s">
        <v>445</v>
      </c>
      <c r="J437" t="s">
        <v>442</v>
      </c>
      <c r="K437" t="s">
        <v>382</v>
      </c>
      <c r="L437" s="39">
        <v>0.3740162037037037</v>
      </c>
      <c r="M437" s="39">
        <v>0.72630787037037037</v>
      </c>
      <c r="N437">
        <v>8.4600000000000009</v>
      </c>
      <c r="O437" t="s">
        <v>757</v>
      </c>
      <c r="P437">
        <v>0</v>
      </c>
      <c r="Q437" t="s">
        <v>625</v>
      </c>
      <c r="R437">
        <v>0</v>
      </c>
      <c r="S437">
        <v>0</v>
      </c>
      <c r="T437" t="s">
        <v>465</v>
      </c>
      <c r="U437" t="s">
        <v>108</v>
      </c>
      <c r="V437" s="101">
        <v>46205</v>
      </c>
      <c r="W437">
        <v>1</v>
      </c>
      <c r="X437">
        <v>1</v>
      </c>
      <c r="Y437">
        <v>0</v>
      </c>
      <c r="Z437">
        <v>0</v>
      </c>
      <c r="AA437">
        <v>0</v>
      </c>
    </row>
    <row r="438" spans="1:27" x14ac:dyDescent="0.3">
      <c r="A438">
        <v>1030</v>
      </c>
      <c r="B438">
        <v>25</v>
      </c>
      <c r="C438">
        <v>2</v>
      </c>
      <c r="D438">
        <v>0</v>
      </c>
      <c r="E438">
        <v>0</v>
      </c>
      <c r="F438" t="s">
        <v>1182</v>
      </c>
      <c r="G438" s="101">
        <v>46206</v>
      </c>
      <c r="H438" t="s">
        <v>167</v>
      </c>
      <c r="I438" t="s">
        <v>445</v>
      </c>
      <c r="J438" t="s">
        <v>442</v>
      </c>
      <c r="K438" t="s">
        <v>382</v>
      </c>
      <c r="L438" s="39">
        <v>0.37770833333333331</v>
      </c>
      <c r="M438" s="39">
        <v>0.72812500000000002</v>
      </c>
      <c r="N438">
        <v>8.41</v>
      </c>
      <c r="O438" t="s">
        <v>1183</v>
      </c>
      <c r="P438">
        <v>0</v>
      </c>
      <c r="Q438" t="s">
        <v>468</v>
      </c>
      <c r="R438">
        <v>0</v>
      </c>
      <c r="S438">
        <v>0</v>
      </c>
      <c r="T438" t="s">
        <v>465</v>
      </c>
      <c r="U438" t="s">
        <v>108</v>
      </c>
      <c r="V438" s="101">
        <v>46206</v>
      </c>
      <c r="W438">
        <v>1</v>
      </c>
      <c r="X438">
        <v>1</v>
      </c>
      <c r="Y438">
        <v>0</v>
      </c>
      <c r="Z438">
        <v>0</v>
      </c>
      <c r="AA438">
        <v>0</v>
      </c>
    </row>
    <row r="439" spans="1:27" x14ac:dyDescent="0.3">
      <c r="A439">
        <v>1030</v>
      </c>
      <c r="B439">
        <v>25</v>
      </c>
      <c r="C439">
        <v>2</v>
      </c>
      <c r="D439">
        <v>0</v>
      </c>
      <c r="E439">
        <v>0</v>
      </c>
      <c r="F439" t="s">
        <v>1182</v>
      </c>
      <c r="G439" s="101">
        <v>46207</v>
      </c>
      <c r="H439" t="s">
        <v>167</v>
      </c>
      <c r="I439" t="s">
        <v>445</v>
      </c>
      <c r="J439" t="s">
        <v>442</v>
      </c>
      <c r="K439" t="s">
        <v>382</v>
      </c>
      <c r="L439" s="39">
        <v>0.37643518518518521</v>
      </c>
      <c r="M439" s="39">
        <v>0.72630787037037037</v>
      </c>
      <c r="N439">
        <v>8.4</v>
      </c>
      <c r="O439" t="s">
        <v>780</v>
      </c>
      <c r="P439">
        <v>0</v>
      </c>
      <c r="Q439" t="s">
        <v>625</v>
      </c>
      <c r="R439">
        <v>0</v>
      </c>
      <c r="S439">
        <v>0</v>
      </c>
      <c r="T439" t="s">
        <v>465</v>
      </c>
      <c r="U439" t="s">
        <v>108</v>
      </c>
      <c r="V439" s="101">
        <v>46207</v>
      </c>
      <c r="W439">
        <v>1</v>
      </c>
      <c r="X439">
        <v>1</v>
      </c>
      <c r="Y439">
        <v>0</v>
      </c>
      <c r="Z439">
        <v>0</v>
      </c>
      <c r="AA439">
        <v>0</v>
      </c>
    </row>
    <row r="440" spans="1:27" x14ac:dyDescent="0.3">
      <c r="A440">
        <v>1030</v>
      </c>
      <c r="B440">
        <v>25</v>
      </c>
      <c r="C440">
        <v>2</v>
      </c>
      <c r="D440">
        <v>0</v>
      </c>
      <c r="E440">
        <v>0</v>
      </c>
      <c r="F440" t="s">
        <v>1182</v>
      </c>
      <c r="G440" s="101">
        <v>46208</v>
      </c>
      <c r="H440" t="s">
        <v>167</v>
      </c>
      <c r="I440" t="s">
        <v>445</v>
      </c>
      <c r="J440" t="s">
        <v>442</v>
      </c>
      <c r="K440" t="s">
        <v>383</v>
      </c>
      <c r="L440" s="39">
        <v>0</v>
      </c>
      <c r="M440" s="39">
        <v>0</v>
      </c>
      <c r="N440">
        <v>0</v>
      </c>
      <c r="O440" t="s">
        <v>384</v>
      </c>
      <c r="P440">
        <v>9</v>
      </c>
      <c r="Q440" t="s">
        <v>385</v>
      </c>
      <c r="R440">
        <v>0</v>
      </c>
      <c r="S440">
        <v>9</v>
      </c>
      <c r="T440" t="s">
        <v>465</v>
      </c>
      <c r="U440" t="s">
        <v>366</v>
      </c>
      <c r="V440" s="101">
        <v>46208</v>
      </c>
      <c r="W440">
        <v>0</v>
      </c>
      <c r="X440">
        <v>0</v>
      </c>
      <c r="Y440">
        <v>0</v>
      </c>
      <c r="Z440">
        <v>0</v>
      </c>
      <c r="AA440">
        <v>0</v>
      </c>
    </row>
    <row r="441" spans="1:27" x14ac:dyDescent="0.3">
      <c r="A441">
        <v>1030</v>
      </c>
      <c r="B441">
        <v>25</v>
      </c>
      <c r="C441">
        <v>2</v>
      </c>
      <c r="D441">
        <v>0</v>
      </c>
      <c r="E441">
        <v>0</v>
      </c>
      <c r="F441" t="s">
        <v>1182</v>
      </c>
      <c r="G441" s="101">
        <v>46209</v>
      </c>
      <c r="H441" t="s">
        <v>167</v>
      </c>
      <c r="I441" t="s">
        <v>445</v>
      </c>
      <c r="J441" t="s">
        <v>442</v>
      </c>
      <c r="K441" t="s">
        <v>382</v>
      </c>
      <c r="L441" s="39">
        <v>0.37412037037037038</v>
      </c>
      <c r="M441" s="39">
        <v>0.72734953703703709</v>
      </c>
      <c r="N441">
        <v>8.48</v>
      </c>
      <c r="O441" t="s">
        <v>1184</v>
      </c>
      <c r="P441">
        <v>0</v>
      </c>
      <c r="Q441" t="s">
        <v>697</v>
      </c>
      <c r="R441">
        <v>0</v>
      </c>
      <c r="S441">
        <v>0</v>
      </c>
      <c r="T441" t="s">
        <v>465</v>
      </c>
      <c r="U441" t="s">
        <v>108</v>
      </c>
      <c r="V441" s="101">
        <v>46209</v>
      </c>
      <c r="W441">
        <v>1</v>
      </c>
      <c r="X441">
        <v>1</v>
      </c>
      <c r="Y441">
        <v>0</v>
      </c>
      <c r="Z441">
        <v>0</v>
      </c>
      <c r="AA441">
        <v>0</v>
      </c>
    </row>
    <row r="442" spans="1:27" x14ac:dyDescent="0.3">
      <c r="A442">
        <v>1030</v>
      </c>
      <c r="B442">
        <v>25</v>
      </c>
      <c r="C442">
        <v>2</v>
      </c>
      <c r="D442">
        <v>0</v>
      </c>
      <c r="E442">
        <v>0</v>
      </c>
      <c r="F442" t="s">
        <v>1182</v>
      </c>
      <c r="G442" s="101">
        <v>46210</v>
      </c>
      <c r="H442" t="s">
        <v>167</v>
      </c>
      <c r="I442" t="s">
        <v>445</v>
      </c>
      <c r="J442" t="s">
        <v>442</v>
      </c>
      <c r="K442" t="s">
        <v>382</v>
      </c>
      <c r="L442" s="39">
        <v>0.3729513888888889</v>
      </c>
      <c r="M442" s="39">
        <v>0.72871527777777778</v>
      </c>
      <c r="N442">
        <v>8.5399999999999991</v>
      </c>
      <c r="O442" t="s">
        <v>581</v>
      </c>
      <c r="P442">
        <v>0</v>
      </c>
      <c r="Q442" t="s">
        <v>518</v>
      </c>
      <c r="R442">
        <v>0</v>
      </c>
      <c r="S442">
        <v>0</v>
      </c>
      <c r="T442" t="s">
        <v>465</v>
      </c>
      <c r="U442" t="s">
        <v>108</v>
      </c>
      <c r="V442" s="101">
        <v>46210</v>
      </c>
      <c r="W442">
        <v>1</v>
      </c>
      <c r="X442">
        <v>1</v>
      </c>
      <c r="Y442">
        <v>0</v>
      </c>
      <c r="Z442">
        <v>0</v>
      </c>
      <c r="AA442">
        <v>0</v>
      </c>
    </row>
    <row r="443" spans="1:27" x14ac:dyDescent="0.3">
      <c r="A443">
        <v>1030</v>
      </c>
      <c r="B443">
        <v>25</v>
      </c>
      <c r="C443">
        <v>2</v>
      </c>
      <c r="D443">
        <v>0</v>
      </c>
      <c r="E443">
        <v>0</v>
      </c>
      <c r="F443" t="s">
        <v>1182</v>
      </c>
      <c r="G443" s="101">
        <v>46211</v>
      </c>
      <c r="H443" t="s">
        <v>167</v>
      </c>
      <c r="I443" t="s">
        <v>445</v>
      </c>
      <c r="J443" t="s">
        <v>442</v>
      </c>
      <c r="K443" t="s">
        <v>382</v>
      </c>
      <c r="L443" s="39">
        <v>0.38226851851851851</v>
      </c>
      <c r="M443" s="39">
        <v>0.72939814814814818</v>
      </c>
      <c r="N443">
        <v>8.33</v>
      </c>
      <c r="O443" t="s">
        <v>1185</v>
      </c>
      <c r="P443">
        <v>0</v>
      </c>
      <c r="Q443" t="s">
        <v>1073</v>
      </c>
      <c r="R443">
        <v>0</v>
      </c>
      <c r="S443">
        <v>0</v>
      </c>
      <c r="T443" t="s">
        <v>465</v>
      </c>
      <c r="U443" t="s">
        <v>108</v>
      </c>
      <c r="V443" s="101">
        <v>46211</v>
      </c>
      <c r="W443">
        <v>1</v>
      </c>
      <c r="X443">
        <v>1</v>
      </c>
      <c r="Y443">
        <v>0</v>
      </c>
      <c r="Z443">
        <v>0</v>
      </c>
      <c r="AA443">
        <v>0</v>
      </c>
    </row>
    <row r="444" spans="1:27" x14ac:dyDescent="0.3">
      <c r="A444">
        <v>1030</v>
      </c>
      <c r="B444">
        <v>25</v>
      </c>
      <c r="C444">
        <v>2</v>
      </c>
      <c r="D444">
        <v>0</v>
      </c>
      <c r="E444">
        <v>0</v>
      </c>
      <c r="F444" t="s">
        <v>1182</v>
      </c>
      <c r="G444" s="101">
        <v>46212</v>
      </c>
      <c r="H444" t="s">
        <v>167</v>
      </c>
      <c r="I444" t="s">
        <v>445</v>
      </c>
      <c r="J444" t="s">
        <v>442</v>
      </c>
      <c r="K444" t="s">
        <v>382</v>
      </c>
      <c r="L444" s="39">
        <v>0.36947916666666669</v>
      </c>
      <c r="M444" s="39">
        <v>0.72888888888888892</v>
      </c>
      <c r="N444">
        <v>8.6300000000000008</v>
      </c>
      <c r="O444" t="s">
        <v>1186</v>
      </c>
      <c r="P444">
        <v>0</v>
      </c>
      <c r="Q444" t="s">
        <v>943</v>
      </c>
      <c r="R444">
        <v>0</v>
      </c>
      <c r="S444">
        <v>0</v>
      </c>
      <c r="T444" t="s">
        <v>465</v>
      </c>
      <c r="U444" t="s">
        <v>108</v>
      </c>
      <c r="V444" s="101">
        <v>46212</v>
      </c>
      <c r="W444">
        <v>1</v>
      </c>
      <c r="X444">
        <v>1</v>
      </c>
      <c r="Y444">
        <v>0</v>
      </c>
      <c r="Z444">
        <v>0</v>
      </c>
      <c r="AA444">
        <v>0</v>
      </c>
    </row>
    <row r="445" spans="1:27" x14ac:dyDescent="0.3">
      <c r="A445">
        <v>1030</v>
      </c>
      <c r="B445">
        <v>25</v>
      </c>
      <c r="C445">
        <v>2</v>
      </c>
      <c r="D445">
        <v>0</v>
      </c>
      <c r="E445">
        <v>0</v>
      </c>
      <c r="F445" t="s">
        <v>1182</v>
      </c>
      <c r="G445" s="101">
        <v>46213</v>
      </c>
      <c r="H445" t="s">
        <v>167</v>
      </c>
      <c r="I445" t="s">
        <v>445</v>
      </c>
      <c r="J445" t="s">
        <v>442</v>
      </c>
      <c r="K445" t="s">
        <v>383</v>
      </c>
      <c r="L445" s="39">
        <v>0</v>
      </c>
      <c r="M445" s="39">
        <v>0</v>
      </c>
      <c r="N445">
        <v>0</v>
      </c>
      <c r="O445" t="s">
        <v>384</v>
      </c>
      <c r="P445">
        <v>9</v>
      </c>
      <c r="Q445" t="s">
        <v>385</v>
      </c>
      <c r="R445">
        <v>0</v>
      </c>
      <c r="S445">
        <v>9</v>
      </c>
      <c r="T445" t="s">
        <v>465</v>
      </c>
      <c r="U445" t="s">
        <v>366</v>
      </c>
      <c r="V445" s="101">
        <v>46213</v>
      </c>
      <c r="W445">
        <v>0</v>
      </c>
      <c r="X445">
        <v>0</v>
      </c>
      <c r="Y445">
        <v>0</v>
      </c>
      <c r="Z445">
        <v>0</v>
      </c>
      <c r="AA445">
        <v>0</v>
      </c>
    </row>
    <row r="446" spans="1:27" x14ac:dyDescent="0.3">
      <c r="A446">
        <v>1030</v>
      </c>
      <c r="B446">
        <v>25</v>
      </c>
      <c r="C446">
        <v>2</v>
      </c>
      <c r="D446">
        <v>0</v>
      </c>
      <c r="E446">
        <v>0</v>
      </c>
      <c r="F446" t="s">
        <v>1182</v>
      </c>
      <c r="G446" s="101">
        <v>46214</v>
      </c>
      <c r="H446" t="s">
        <v>167</v>
      </c>
      <c r="I446" t="s">
        <v>445</v>
      </c>
      <c r="J446" t="s">
        <v>442</v>
      </c>
      <c r="K446" t="s">
        <v>382</v>
      </c>
      <c r="L446" s="39">
        <v>0.37928240740740743</v>
      </c>
      <c r="M446" s="39">
        <v>0.72920138888888886</v>
      </c>
      <c r="N446">
        <v>8.4</v>
      </c>
      <c r="O446" t="s">
        <v>1187</v>
      </c>
      <c r="P446">
        <v>0</v>
      </c>
      <c r="Q446" t="s">
        <v>1188</v>
      </c>
      <c r="R446">
        <v>0</v>
      </c>
      <c r="S446">
        <v>0</v>
      </c>
      <c r="T446" t="s">
        <v>465</v>
      </c>
      <c r="U446" t="s">
        <v>108</v>
      </c>
      <c r="V446" s="101">
        <v>46214</v>
      </c>
      <c r="W446">
        <v>1</v>
      </c>
      <c r="X446">
        <v>1</v>
      </c>
      <c r="Y446">
        <v>0</v>
      </c>
      <c r="Z446">
        <v>0</v>
      </c>
      <c r="AA446">
        <v>0</v>
      </c>
    </row>
    <row r="447" spans="1:27" x14ac:dyDescent="0.3">
      <c r="A447">
        <v>1030</v>
      </c>
      <c r="B447">
        <v>25</v>
      </c>
      <c r="C447">
        <v>2</v>
      </c>
      <c r="D447">
        <v>0</v>
      </c>
      <c r="E447">
        <v>0</v>
      </c>
      <c r="F447" t="s">
        <v>1182</v>
      </c>
      <c r="G447" s="101">
        <v>46215</v>
      </c>
      <c r="H447" t="s">
        <v>167</v>
      </c>
      <c r="I447" t="s">
        <v>445</v>
      </c>
      <c r="J447" t="s">
        <v>442</v>
      </c>
      <c r="K447" t="s">
        <v>383</v>
      </c>
      <c r="L447" s="39">
        <v>0</v>
      </c>
      <c r="M447" s="39">
        <v>0</v>
      </c>
      <c r="N447">
        <v>0</v>
      </c>
      <c r="O447" t="s">
        <v>384</v>
      </c>
      <c r="P447">
        <v>9</v>
      </c>
      <c r="Q447" t="s">
        <v>385</v>
      </c>
      <c r="R447">
        <v>0</v>
      </c>
      <c r="S447">
        <v>9</v>
      </c>
      <c r="T447" t="s">
        <v>465</v>
      </c>
      <c r="U447" t="s">
        <v>366</v>
      </c>
      <c r="V447" s="101">
        <v>46215</v>
      </c>
      <c r="W447">
        <v>0</v>
      </c>
      <c r="X447">
        <v>0</v>
      </c>
      <c r="Y447">
        <v>0</v>
      </c>
      <c r="Z447">
        <v>0</v>
      </c>
      <c r="AA447">
        <v>0</v>
      </c>
    </row>
    <row r="448" spans="1:27" x14ac:dyDescent="0.3">
      <c r="A448">
        <v>1030</v>
      </c>
      <c r="B448">
        <v>25</v>
      </c>
      <c r="C448">
        <v>2</v>
      </c>
      <c r="D448">
        <v>0</v>
      </c>
      <c r="E448">
        <v>0</v>
      </c>
      <c r="F448" t="s">
        <v>1182</v>
      </c>
      <c r="G448" s="101">
        <v>46216</v>
      </c>
      <c r="H448" t="s">
        <v>167</v>
      </c>
      <c r="I448" t="s">
        <v>445</v>
      </c>
      <c r="J448" t="s">
        <v>442</v>
      </c>
      <c r="K448" t="s">
        <v>382</v>
      </c>
      <c r="L448" s="39">
        <v>0.37556712962962963</v>
      </c>
      <c r="M448" s="39">
        <v>0.72869212962962959</v>
      </c>
      <c r="N448">
        <v>8.48</v>
      </c>
      <c r="O448" t="s">
        <v>454</v>
      </c>
      <c r="P448">
        <v>0</v>
      </c>
      <c r="Q448" t="s">
        <v>1189</v>
      </c>
      <c r="R448">
        <v>0</v>
      </c>
      <c r="S448">
        <v>0</v>
      </c>
      <c r="T448" t="s">
        <v>465</v>
      </c>
      <c r="U448" t="s">
        <v>108</v>
      </c>
      <c r="V448" s="101">
        <v>46216</v>
      </c>
      <c r="W448">
        <v>1</v>
      </c>
      <c r="X448">
        <v>1</v>
      </c>
      <c r="Y448">
        <v>0</v>
      </c>
      <c r="Z448">
        <v>0</v>
      </c>
      <c r="AA448">
        <v>0</v>
      </c>
    </row>
    <row r="449" spans="1:27" x14ac:dyDescent="0.3">
      <c r="A449">
        <v>1030</v>
      </c>
      <c r="B449">
        <v>25</v>
      </c>
      <c r="C449">
        <v>2</v>
      </c>
      <c r="D449">
        <v>0</v>
      </c>
      <c r="E449">
        <v>0</v>
      </c>
      <c r="F449" t="s">
        <v>1182</v>
      </c>
      <c r="G449" s="101">
        <v>46217</v>
      </c>
      <c r="H449" t="s">
        <v>167</v>
      </c>
      <c r="I449" t="s">
        <v>445</v>
      </c>
      <c r="J449" t="s">
        <v>442</v>
      </c>
      <c r="K449" t="s">
        <v>382</v>
      </c>
      <c r="L449" s="39">
        <v>0.37280092592592595</v>
      </c>
      <c r="M449" s="39">
        <v>0.732025462962963</v>
      </c>
      <c r="N449">
        <v>8.6199999999999992</v>
      </c>
      <c r="O449" t="s">
        <v>695</v>
      </c>
      <c r="P449">
        <v>0</v>
      </c>
      <c r="Q449" t="s">
        <v>662</v>
      </c>
      <c r="R449">
        <v>0</v>
      </c>
      <c r="S449">
        <v>0</v>
      </c>
      <c r="T449" t="s">
        <v>465</v>
      </c>
      <c r="U449" t="s">
        <v>108</v>
      </c>
      <c r="V449" s="101">
        <v>46217</v>
      </c>
      <c r="W449">
        <v>1</v>
      </c>
      <c r="X449">
        <v>1</v>
      </c>
      <c r="Y449">
        <v>0</v>
      </c>
      <c r="Z449">
        <v>0</v>
      </c>
      <c r="AA449">
        <v>0</v>
      </c>
    </row>
    <row r="450" spans="1:27" x14ac:dyDescent="0.3">
      <c r="A450">
        <v>1030</v>
      </c>
      <c r="B450">
        <v>25</v>
      </c>
      <c r="C450">
        <v>2</v>
      </c>
      <c r="D450">
        <v>0</v>
      </c>
      <c r="E450">
        <v>0</v>
      </c>
      <c r="F450" t="s">
        <v>1182</v>
      </c>
      <c r="G450" s="101">
        <v>46218</v>
      </c>
      <c r="H450" t="s">
        <v>167</v>
      </c>
      <c r="I450" t="s">
        <v>445</v>
      </c>
      <c r="J450" t="s">
        <v>442</v>
      </c>
      <c r="K450" t="s">
        <v>382</v>
      </c>
      <c r="L450" s="39">
        <v>0.37383101851851852</v>
      </c>
      <c r="M450" s="39">
        <v>0.73081018518518515</v>
      </c>
      <c r="N450">
        <v>8.57</v>
      </c>
      <c r="O450" t="s">
        <v>1190</v>
      </c>
      <c r="P450">
        <v>0</v>
      </c>
      <c r="Q450" t="s">
        <v>1191</v>
      </c>
      <c r="R450">
        <v>0</v>
      </c>
      <c r="S450">
        <v>0</v>
      </c>
      <c r="T450" t="s">
        <v>465</v>
      </c>
      <c r="U450" t="s">
        <v>108</v>
      </c>
      <c r="V450" s="101">
        <v>46218</v>
      </c>
      <c r="W450">
        <v>1</v>
      </c>
      <c r="X450">
        <v>1</v>
      </c>
      <c r="Y450">
        <v>0</v>
      </c>
      <c r="Z450">
        <v>0</v>
      </c>
      <c r="AA450">
        <v>0</v>
      </c>
    </row>
    <row r="451" spans="1:27" x14ac:dyDescent="0.3">
      <c r="A451">
        <v>1030</v>
      </c>
      <c r="B451">
        <v>25</v>
      </c>
      <c r="C451">
        <v>2</v>
      </c>
      <c r="D451">
        <v>0</v>
      </c>
      <c r="E451">
        <v>0</v>
      </c>
      <c r="F451" t="s">
        <v>1182</v>
      </c>
      <c r="G451" s="101">
        <v>46219</v>
      </c>
      <c r="H451" t="s">
        <v>167</v>
      </c>
      <c r="I451" t="s">
        <v>445</v>
      </c>
      <c r="J451" t="s">
        <v>442</v>
      </c>
      <c r="K451" t="s">
        <v>382</v>
      </c>
      <c r="L451" s="39">
        <v>0.37586805555555558</v>
      </c>
      <c r="M451" s="39">
        <v>0.7308217592592593</v>
      </c>
      <c r="N451">
        <v>8.52</v>
      </c>
      <c r="O451" t="s">
        <v>614</v>
      </c>
      <c r="P451">
        <v>0</v>
      </c>
      <c r="Q451" t="s">
        <v>582</v>
      </c>
      <c r="R451">
        <v>0</v>
      </c>
      <c r="S451">
        <v>0</v>
      </c>
      <c r="T451" t="s">
        <v>465</v>
      </c>
      <c r="U451" t="s">
        <v>108</v>
      </c>
      <c r="V451" s="101">
        <v>46219</v>
      </c>
      <c r="W451">
        <v>1</v>
      </c>
      <c r="X451">
        <v>1</v>
      </c>
      <c r="Y451">
        <v>0</v>
      </c>
      <c r="Z451">
        <v>0</v>
      </c>
      <c r="AA451">
        <v>0</v>
      </c>
    </row>
    <row r="452" spans="1:27" x14ac:dyDescent="0.3">
      <c r="A452">
        <v>1030</v>
      </c>
      <c r="B452">
        <v>25</v>
      </c>
      <c r="C452">
        <v>2</v>
      </c>
      <c r="D452">
        <v>0</v>
      </c>
      <c r="E452">
        <v>0</v>
      </c>
      <c r="F452" t="s">
        <v>1182</v>
      </c>
      <c r="G452" s="101">
        <v>46220</v>
      </c>
      <c r="H452" t="s">
        <v>167</v>
      </c>
      <c r="I452" t="s">
        <v>445</v>
      </c>
      <c r="J452" t="s">
        <v>442</v>
      </c>
      <c r="K452" t="s">
        <v>382</v>
      </c>
      <c r="L452" s="39">
        <v>0.3805439814814815</v>
      </c>
      <c r="M452" s="39">
        <v>0.73081018518518515</v>
      </c>
      <c r="N452">
        <v>8.41</v>
      </c>
      <c r="O452" t="s">
        <v>1192</v>
      </c>
      <c r="P452">
        <v>0</v>
      </c>
      <c r="Q452" t="s">
        <v>1191</v>
      </c>
      <c r="R452">
        <v>0</v>
      </c>
      <c r="S452">
        <v>0</v>
      </c>
      <c r="T452" t="s">
        <v>465</v>
      </c>
      <c r="U452" t="s">
        <v>108</v>
      </c>
      <c r="V452" s="101">
        <v>46220</v>
      </c>
      <c r="W452">
        <v>1</v>
      </c>
      <c r="X452">
        <v>1</v>
      </c>
      <c r="Y452">
        <v>0</v>
      </c>
      <c r="Z452">
        <v>0</v>
      </c>
      <c r="AA452">
        <v>0</v>
      </c>
    </row>
    <row r="453" spans="1:27" x14ac:dyDescent="0.3">
      <c r="A453">
        <v>1030</v>
      </c>
      <c r="B453">
        <v>25</v>
      </c>
      <c r="C453">
        <v>2</v>
      </c>
      <c r="D453">
        <v>0</v>
      </c>
      <c r="E453">
        <v>0</v>
      </c>
      <c r="F453" t="s">
        <v>1182</v>
      </c>
      <c r="G453" s="101">
        <v>46221</v>
      </c>
      <c r="H453" t="s">
        <v>167</v>
      </c>
      <c r="I453" t="s">
        <v>445</v>
      </c>
      <c r="J453" t="s">
        <v>442</v>
      </c>
      <c r="K453" t="s">
        <v>382</v>
      </c>
      <c r="L453" s="39">
        <v>0.3883564814814815</v>
      </c>
      <c r="M453" s="39">
        <v>0.73175925925925922</v>
      </c>
      <c r="N453">
        <v>8.24</v>
      </c>
      <c r="O453" t="s">
        <v>1193</v>
      </c>
      <c r="P453">
        <v>0</v>
      </c>
      <c r="Q453" t="s">
        <v>520</v>
      </c>
      <c r="R453">
        <v>0</v>
      </c>
      <c r="S453">
        <v>0</v>
      </c>
      <c r="T453" t="s">
        <v>465</v>
      </c>
      <c r="U453" t="s">
        <v>108</v>
      </c>
      <c r="V453" s="101">
        <v>46221</v>
      </c>
      <c r="W453">
        <v>1</v>
      </c>
      <c r="X453">
        <v>1</v>
      </c>
      <c r="Y453">
        <v>0</v>
      </c>
      <c r="Z453">
        <v>0</v>
      </c>
      <c r="AA453">
        <v>0</v>
      </c>
    </row>
    <row r="454" spans="1:27" x14ac:dyDescent="0.3">
      <c r="A454">
        <v>1030</v>
      </c>
      <c r="B454">
        <v>25</v>
      </c>
      <c r="C454">
        <v>2</v>
      </c>
      <c r="D454">
        <v>0</v>
      </c>
      <c r="E454">
        <v>0</v>
      </c>
      <c r="F454" t="s">
        <v>1182</v>
      </c>
      <c r="G454" s="101">
        <v>46222</v>
      </c>
      <c r="H454" t="s">
        <v>167</v>
      </c>
      <c r="I454" t="s">
        <v>445</v>
      </c>
      <c r="J454" t="s">
        <v>442</v>
      </c>
      <c r="K454" t="s">
        <v>383</v>
      </c>
      <c r="L454" s="39">
        <v>0</v>
      </c>
      <c r="M454" s="39">
        <v>0</v>
      </c>
      <c r="N454">
        <v>0</v>
      </c>
      <c r="O454" t="s">
        <v>384</v>
      </c>
      <c r="P454">
        <v>9</v>
      </c>
      <c r="Q454" t="s">
        <v>385</v>
      </c>
      <c r="R454">
        <v>0</v>
      </c>
      <c r="S454">
        <v>9</v>
      </c>
      <c r="T454" t="s">
        <v>465</v>
      </c>
      <c r="U454" t="s">
        <v>366</v>
      </c>
      <c r="V454" s="101">
        <v>46222</v>
      </c>
      <c r="W454">
        <v>0</v>
      </c>
      <c r="X454">
        <v>0</v>
      </c>
      <c r="Y454">
        <v>0</v>
      </c>
      <c r="Z454">
        <v>0</v>
      </c>
      <c r="AA454">
        <v>0</v>
      </c>
    </row>
    <row r="455" spans="1:27" x14ac:dyDescent="0.3">
      <c r="A455">
        <v>1030</v>
      </c>
      <c r="B455">
        <v>25</v>
      </c>
      <c r="C455">
        <v>2</v>
      </c>
      <c r="D455">
        <v>0</v>
      </c>
      <c r="E455">
        <v>0</v>
      </c>
      <c r="F455" t="s">
        <v>1182</v>
      </c>
      <c r="G455" s="101">
        <v>46223</v>
      </c>
      <c r="H455" t="s">
        <v>167</v>
      </c>
      <c r="I455" t="s">
        <v>445</v>
      </c>
      <c r="J455" t="s">
        <v>442</v>
      </c>
      <c r="K455" t="s">
        <v>382</v>
      </c>
      <c r="L455" s="39">
        <v>0.37817129629629631</v>
      </c>
      <c r="M455" s="39">
        <v>0.7315625</v>
      </c>
      <c r="N455">
        <v>8.48</v>
      </c>
      <c r="O455" t="s">
        <v>1194</v>
      </c>
      <c r="P455">
        <v>0</v>
      </c>
      <c r="Q455" t="s">
        <v>416</v>
      </c>
      <c r="R455">
        <v>0</v>
      </c>
      <c r="S455">
        <v>0</v>
      </c>
      <c r="T455" t="s">
        <v>465</v>
      </c>
      <c r="U455" t="s">
        <v>108</v>
      </c>
      <c r="V455" s="101">
        <v>46223</v>
      </c>
      <c r="W455">
        <v>1</v>
      </c>
      <c r="X455">
        <v>1</v>
      </c>
      <c r="Y455">
        <v>0</v>
      </c>
      <c r="Z455">
        <v>0</v>
      </c>
      <c r="AA455">
        <v>0</v>
      </c>
    </row>
    <row r="456" spans="1:27" x14ac:dyDescent="0.3">
      <c r="A456">
        <v>1030</v>
      </c>
      <c r="B456">
        <v>25</v>
      </c>
      <c r="C456">
        <v>2</v>
      </c>
      <c r="D456">
        <v>0</v>
      </c>
      <c r="E456">
        <v>0</v>
      </c>
      <c r="F456" t="s">
        <v>1182</v>
      </c>
      <c r="G456" s="101">
        <v>46224</v>
      </c>
      <c r="H456" t="s">
        <v>167</v>
      </c>
      <c r="I456" t="s">
        <v>445</v>
      </c>
      <c r="J456" t="s">
        <v>442</v>
      </c>
      <c r="K456" t="s">
        <v>382</v>
      </c>
      <c r="L456" s="39">
        <v>0.38075231481481481</v>
      </c>
      <c r="M456" s="39">
        <v>0.73091435185185183</v>
      </c>
      <c r="N456">
        <v>8.4</v>
      </c>
      <c r="O456" t="s">
        <v>1195</v>
      </c>
      <c r="P456">
        <v>0</v>
      </c>
      <c r="Q456" t="s">
        <v>1196</v>
      </c>
      <c r="R456">
        <v>0</v>
      </c>
      <c r="S456">
        <v>0</v>
      </c>
      <c r="T456" t="s">
        <v>465</v>
      </c>
      <c r="U456" t="s">
        <v>108</v>
      </c>
      <c r="V456" s="101">
        <v>46224</v>
      </c>
      <c r="W456">
        <v>1</v>
      </c>
      <c r="X456">
        <v>1</v>
      </c>
      <c r="Y456">
        <v>0</v>
      </c>
      <c r="Z456">
        <v>0</v>
      </c>
      <c r="AA456">
        <v>0</v>
      </c>
    </row>
    <row r="457" spans="1:27" x14ac:dyDescent="0.3">
      <c r="A457">
        <v>1030</v>
      </c>
      <c r="B457">
        <v>25</v>
      </c>
      <c r="C457">
        <v>2</v>
      </c>
      <c r="D457">
        <v>0</v>
      </c>
      <c r="E457">
        <v>0</v>
      </c>
      <c r="F457" t="s">
        <v>1182</v>
      </c>
      <c r="G457" s="101">
        <v>46225</v>
      </c>
      <c r="H457" t="s">
        <v>167</v>
      </c>
      <c r="I457" t="s">
        <v>445</v>
      </c>
      <c r="J457" t="s">
        <v>442</v>
      </c>
      <c r="K457" t="s">
        <v>382</v>
      </c>
      <c r="L457" s="39">
        <v>0.37774305555555554</v>
      </c>
      <c r="M457" s="39">
        <v>0.73098379629629628</v>
      </c>
      <c r="N457">
        <v>8.48</v>
      </c>
      <c r="O457" t="s">
        <v>1197</v>
      </c>
      <c r="P457">
        <v>0</v>
      </c>
      <c r="Q457" t="s">
        <v>425</v>
      </c>
      <c r="R457">
        <v>0</v>
      </c>
      <c r="S457">
        <v>0</v>
      </c>
      <c r="T457" t="s">
        <v>465</v>
      </c>
      <c r="U457" t="s">
        <v>108</v>
      </c>
      <c r="V457" s="101">
        <v>46225</v>
      </c>
      <c r="W457">
        <v>1</v>
      </c>
      <c r="X457">
        <v>1</v>
      </c>
      <c r="Y457">
        <v>0</v>
      </c>
      <c r="Z457">
        <v>0</v>
      </c>
      <c r="AA457">
        <v>0</v>
      </c>
    </row>
    <row r="458" spans="1:27" x14ac:dyDescent="0.3">
      <c r="A458">
        <v>1030</v>
      </c>
      <c r="B458">
        <v>25</v>
      </c>
      <c r="C458">
        <v>2</v>
      </c>
      <c r="D458">
        <v>0</v>
      </c>
      <c r="E458">
        <v>0</v>
      </c>
      <c r="F458" t="s">
        <v>1182</v>
      </c>
      <c r="G458" s="101">
        <v>46226</v>
      </c>
      <c r="H458" t="s">
        <v>167</v>
      </c>
      <c r="I458" t="s">
        <v>445</v>
      </c>
      <c r="J458" t="s">
        <v>442</v>
      </c>
      <c r="K458" t="s">
        <v>382</v>
      </c>
      <c r="L458" s="39">
        <v>0.37900462962962961</v>
      </c>
      <c r="M458" s="39">
        <v>0.73218749999999999</v>
      </c>
      <c r="N458">
        <v>8.48</v>
      </c>
      <c r="O458" t="s">
        <v>1156</v>
      </c>
      <c r="P458">
        <v>0</v>
      </c>
      <c r="Q458" t="s">
        <v>1198</v>
      </c>
      <c r="R458">
        <v>0</v>
      </c>
      <c r="S458">
        <v>0</v>
      </c>
      <c r="T458" t="s">
        <v>465</v>
      </c>
      <c r="U458" t="s">
        <v>108</v>
      </c>
      <c r="V458" s="101">
        <v>46226</v>
      </c>
      <c r="W458">
        <v>1</v>
      </c>
      <c r="X458">
        <v>1</v>
      </c>
      <c r="Y458">
        <v>0</v>
      </c>
      <c r="Z458">
        <v>0</v>
      </c>
      <c r="AA458">
        <v>0</v>
      </c>
    </row>
    <row r="459" spans="1:27" x14ac:dyDescent="0.3">
      <c r="A459">
        <v>1030</v>
      </c>
      <c r="B459">
        <v>25</v>
      </c>
      <c r="C459">
        <v>2</v>
      </c>
      <c r="D459">
        <v>0</v>
      </c>
      <c r="E459">
        <v>0</v>
      </c>
      <c r="F459" t="s">
        <v>1182</v>
      </c>
      <c r="G459" s="101">
        <v>46227</v>
      </c>
      <c r="H459" t="s">
        <v>167</v>
      </c>
      <c r="I459" t="s">
        <v>445</v>
      </c>
      <c r="J459" t="s">
        <v>442</v>
      </c>
      <c r="K459" t="s">
        <v>382</v>
      </c>
      <c r="L459" s="39">
        <v>0.38253472222222223</v>
      </c>
      <c r="M459" s="39">
        <v>0.73266203703703703</v>
      </c>
      <c r="N459">
        <v>8.4</v>
      </c>
      <c r="O459" t="s">
        <v>1199</v>
      </c>
      <c r="P459">
        <v>0</v>
      </c>
      <c r="Q459" t="s">
        <v>721</v>
      </c>
      <c r="R459">
        <v>0</v>
      </c>
      <c r="S459">
        <v>0</v>
      </c>
      <c r="T459" t="s">
        <v>465</v>
      </c>
      <c r="U459" t="s">
        <v>108</v>
      </c>
      <c r="V459" s="101">
        <v>46227</v>
      </c>
      <c r="W459">
        <v>1</v>
      </c>
      <c r="X459">
        <v>1</v>
      </c>
      <c r="Y459">
        <v>0</v>
      </c>
      <c r="Z459">
        <v>0</v>
      </c>
      <c r="AA459">
        <v>0</v>
      </c>
    </row>
    <row r="460" spans="1:27" x14ac:dyDescent="0.3">
      <c r="A460">
        <v>1030</v>
      </c>
      <c r="B460">
        <v>25</v>
      </c>
      <c r="C460">
        <v>2</v>
      </c>
      <c r="D460">
        <v>0</v>
      </c>
      <c r="E460">
        <v>0</v>
      </c>
      <c r="F460" t="s">
        <v>1182</v>
      </c>
      <c r="G460" s="101">
        <v>46228</v>
      </c>
      <c r="H460" t="s">
        <v>167</v>
      </c>
      <c r="I460" t="s">
        <v>445</v>
      </c>
      <c r="J460" t="s">
        <v>442</v>
      </c>
      <c r="K460" t="s">
        <v>382</v>
      </c>
      <c r="L460" s="39">
        <v>0.38271990740740741</v>
      </c>
      <c r="M460" s="39">
        <v>0.72780092592592593</v>
      </c>
      <c r="N460">
        <v>8.2799999999999994</v>
      </c>
      <c r="O460" t="s">
        <v>1200</v>
      </c>
      <c r="P460">
        <v>0</v>
      </c>
      <c r="Q460" t="s">
        <v>668</v>
      </c>
      <c r="R460">
        <v>0</v>
      </c>
      <c r="S460">
        <v>0</v>
      </c>
      <c r="T460" t="s">
        <v>465</v>
      </c>
      <c r="U460" t="s">
        <v>108</v>
      </c>
      <c r="V460" s="101">
        <v>46228</v>
      </c>
      <c r="W460">
        <v>1</v>
      </c>
      <c r="X460">
        <v>1</v>
      </c>
      <c r="Y460">
        <v>0</v>
      </c>
      <c r="Z460">
        <v>0</v>
      </c>
      <c r="AA460">
        <v>0</v>
      </c>
    </row>
    <row r="461" spans="1:27" x14ac:dyDescent="0.3">
      <c r="A461">
        <v>1030</v>
      </c>
      <c r="B461">
        <v>25</v>
      </c>
      <c r="C461">
        <v>2</v>
      </c>
      <c r="D461">
        <v>0</v>
      </c>
      <c r="E461">
        <v>0</v>
      </c>
      <c r="F461" t="s">
        <v>1182</v>
      </c>
      <c r="G461" s="101">
        <v>46229</v>
      </c>
      <c r="H461" t="s">
        <v>167</v>
      </c>
      <c r="I461" t="s">
        <v>445</v>
      </c>
      <c r="J461" t="s">
        <v>442</v>
      </c>
      <c r="K461" t="s">
        <v>383</v>
      </c>
      <c r="L461" s="39">
        <v>0</v>
      </c>
      <c r="M461" s="39">
        <v>0</v>
      </c>
      <c r="N461">
        <v>0</v>
      </c>
      <c r="O461" t="s">
        <v>384</v>
      </c>
      <c r="P461">
        <v>9</v>
      </c>
      <c r="Q461" t="s">
        <v>385</v>
      </c>
      <c r="R461">
        <v>0</v>
      </c>
      <c r="S461">
        <v>9</v>
      </c>
      <c r="T461" t="s">
        <v>465</v>
      </c>
      <c r="U461" t="s">
        <v>366</v>
      </c>
      <c r="V461" s="101">
        <v>46229</v>
      </c>
      <c r="W461">
        <v>0</v>
      </c>
      <c r="X461">
        <v>0</v>
      </c>
      <c r="Y461">
        <v>0</v>
      </c>
      <c r="Z461">
        <v>0</v>
      </c>
      <c r="AA461">
        <v>0</v>
      </c>
    </row>
    <row r="462" spans="1:27" x14ac:dyDescent="0.3">
      <c r="A462">
        <v>1030</v>
      </c>
      <c r="B462">
        <v>25</v>
      </c>
      <c r="C462">
        <v>2</v>
      </c>
      <c r="D462">
        <v>0</v>
      </c>
      <c r="E462">
        <v>0</v>
      </c>
      <c r="F462" t="s">
        <v>1182</v>
      </c>
      <c r="G462" s="101">
        <v>46230</v>
      </c>
      <c r="H462" t="s">
        <v>167</v>
      </c>
      <c r="I462" t="s">
        <v>445</v>
      </c>
      <c r="J462" t="s">
        <v>442</v>
      </c>
      <c r="K462" t="s">
        <v>383</v>
      </c>
      <c r="L462" s="39">
        <v>0</v>
      </c>
      <c r="M462" s="39">
        <v>0</v>
      </c>
      <c r="N462">
        <v>0</v>
      </c>
      <c r="O462" t="s">
        <v>384</v>
      </c>
      <c r="P462">
        <v>9</v>
      </c>
      <c r="Q462" t="s">
        <v>385</v>
      </c>
      <c r="R462">
        <v>0</v>
      </c>
      <c r="S462">
        <v>9</v>
      </c>
      <c r="T462" t="s">
        <v>465</v>
      </c>
      <c r="U462" t="s">
        <v>366</v>
      </c>
      <c r="V462" s="101">
        <v>46230</v>
      </c>
      <c r="W462">
        <v>0</v>
      </c>
      <c r="X462">
        <v>0</v>
      </c>
      <c r="Y462">
        <v>0</v>
      </c>
      <c r="Z462">
        <v>0</v>
      </c>
      <c r="AA462">
        <v>0</v>
      </c>
    </row>
    <row r="463" spans="1:27" x14ac:dyDescent="0.3">
      <c r="A463">
        <v>1030</v>
      </c>
      <c r="B463">
        <v>25</v>
      </c>
      <c r="C463">
        <v>2</v>
      </c>
      <c r="D463">
        <v>0</v>
      </c>
      <c r="E463">
        <v>0</v>
      </c>
      <c r="F463" t="s">
        <v>1182</v>
      </c>
      <c r="G463" s="101">
        <v>46231</v>
      </c>
      <c r="H463" t="s">
        <v>167</v>
      </c>
      <c r="I463" t="s">
        <v>445</v>
      </c>
      <c r="J463" t="s">
        <v>442</v>
      </c>
      <c r="K463" t="s">
        <v>382</v>
      </c>
      <c r="L463" s="39">
        <v>0.38557870370370373</v>
      </c>
      <c r="M463" s="39">
        <v>0.68076388888888884</v>
      </c>
      <c r="N463">
        <v>7.08</v>
      </c>
      <c r="O463" t="s">
        <v>1201</v>
      </c>
      <c r="P463">
        <v>0</v>
      </c>
      <c r="Q463" t="s">
        <v>1202</v>
      </c>
      <c r="R463">
        <v>0</v>
      </c>
      <c r="S463">
        <v>0</v>
      </c>
      <c r="T463" t="s">
        <v>465</v>
      </c>
      <c r="U463" t="s">
        <v>108</v>
      </c>
      <c r="V463" s="101">
        <v>46231</v>
      </c>
      <c r="W463">
        <v>1</v>
      </c>
      <c r="X463">
        <v>1</v>
      </c>
      <c r="Y463">
        <v>0</v>
      </c>
      <c r="Z463">
        <v>0</v>
      </c>
      <c r="AA463">
        <v>0</v>
      </c>
    </row>
    <row r="464" spans="1:27" x14ac:dyDescent="0.3">
      <c r="A464">
        <v>1030</v>
      </c>
      <c r="B464">
        <v>25</v>
      </c>
      <c r="C464">
        <v>2</v>
      </c>
      <c r="D464">
        <v>0</v>
      </c>
      <c r="E464">
        <v>0</v>
      </c>
      <c r="F464" t="s">
        <v>1182</v>
      </c>
      <c r="G464" s="101">
        <v>46232</v>
      </c>
      <c r="H464" t="s">
        <v>167</v>
      </c>
      <c r="I464" t="s">
        <v>445</v>
      </c>
      <c r="J464" t="s">
        <v>442</v>
      </c>
      <c r="K464" t="s">
        <v>382</v>
      </c>
      <c r="L464" s="39">
        <v>0.42697916666666669</v>
      </c>
      <c r="M464" s="39">
        <v>0.73375000000000001</v>
      </c>
      <c r="N464">
        <v>7.36</v>
      </c>
      <c r="O464" t="s">
        <v>1203</v>
      </c>
      <c r="P464">
        <v>0</v>
      </c>
      <c r="Q464" t="s">
        <v>597</v>
      </c>
      <c r="R464">
        <v>0</v>
      </c>
      <c r="S464">
        <v>0</v>
      </c>
      <c r="T464" t="s">
        <v>465</v>
      </c>
      <c r="U464" t="s">
        <v>108</v>
      </c>
      <c r="V464" s="101">
        <v>46232</v>
      </c>
      <c r="W464">
        <v>1</v>
      </c>
      <c r="X464">
        <v>1</v>
      </c>
      <c r="Y464">
        <v>0</v>
      </c>
      <c r="Z464">
        <v>0</v>
      </c>
      <c r="AA464">
        <v>0</v>
      </c>
    </row>
    <row r="465" spans="1:27" x14ac:dyDescent="0.3">
      <c r="A465">
        <v>1030</v>
      </c>
      <c r="B465">
        <v>25</v>
      </c>
      <c r="C465">
        <v>2</v>
      </c>
      <c r="D465">
        <v>0</v>
      </c>
      <c r="E465">
        <v>0</v>
      </c>
      <c r="F465" t="s">
        <v>1182</v>
      </c>
      <c r="G465" s="101">
        <v>46233</v>
      </c>
      <c r="H465" t="s">
        <v>167</v>
      </c>
      <c r="I465" t="s">
        <v>445</v>
      </c>
      <c r="J465" t="s">
        <v>442</v>
      </c>
      <c r="K465" t="s">
        <v>382</v>
      </c>
      <c r="L465" s="39">
        <v>0.37299768518518517</v>
      </c>
      <c r="M465" s="39">
        <v>0.73148148148148151</v>
      </c>
      <c r="N465">
        <v>8.6</v>
      </c>
      <c r="O465" t="s">
        <v>657</v>
      </c>
      <c r="P465">
        <v>0</v>
      </c>
      <c r="Q465" t="s">
        <v>440</v>
      </c>
      <c r="R465">
        <v>0</v>
      </c>
      <c r="S465">
        <v>0</v>
      </c>
      <c r="T465" t="s">
        <v>465</v>
      </c>
      <c r="U465" t="s">
        <v>108</v>
      </c>
      <c r="V465" s="101">
        <v>46233</v>
      </c>
      <c r="W465">
        <v>1</v>
      </c>
      <c r="X465">
        <v>1</v>
      </c>
      <c r="Y465">
        <v>0</v>
      </c>
      <c r="Z465">
        <v>0</v>
      </c>
      <c r="AA465">
        <v>0</v>
      </c>
    </row>
    <row r="466" spans="1:27" x14ac:dyDescent="0.3">
      <c r="A466">
        <v>1030</v>
      </c>
      <c r="B466">
        <v>25</v>
      </c>
      <c r="C466">
        <v>2</v>
      </c>
      <c r="D466">
        <v>0</v>
      </c>
      <c r="E466">
        <v>0</v>
      </c>
      <c r="F466" t="s">
        <v>1182</v>
      </c>
      <c r="G466" s="101">
        <v>46234</v>
      </c>
      <c r="H466" t="s">
        <v>167</v>
      </c>
      <c r="I466" t="s">
        <v>445</v>
      </c>
      <c r="J466" t="s">
        <v>442</v>
      </c>
      <c r="K466" t="s">
        <v>382</v>
      </c>
      <c r="L466" s="39">
        <v>0.37945601851851851</v>
      </c>
      <c r="M466" s="39">
        <v>0.72849537037037038</v>
      </c>
      <c r="N466">
        <v>8.3800000000000008</v>
      </c>
      <c r="O466" t="s">
        <v>1204</v>
      </c>
      <c r="P466">
        <v>0</v>
      </c>
      <c r="Q466" t="s">
        <v>679</v>
      </c>
      <c r="R466">
        <v>0</v>
      </c>
      <c r="S466">
        <v>0</v>
      </c>
      <c r="T466" t="s">
        <v>465</v>
      </c>
      <c r="U466" t="s">
        <v>108</v>
      </c>
      <c r="V466" s="101">
        <v>46234</v>
      </c>
      <c r="W466">
        <v>1</v>
      </c>
      <c r="X466">
        <v>1</v>
      </c>
      <c r="Y466">
        <v>0</v>
      </c>
      <c r="Z466">
        <v>0</v>
      </c>
      <c r="AA466">
        <v>0</v>
      </c>
    </row>
    <row r="467" spans="1:27" x14ac:dyDescent="0.3">
      <c r="A467">
        <v>1031</v>
      </c>
      <c r="B467">
        <v>26</v>
      </c>
      <c r="C467">
        <v>1</v>
      </c>
      <c r="D467">
        <v>0</v>
      </c>
      <c r="E467">
        <v>0</v>
      </c>
      <c r="F467" t="s">
        <v>1205</v>
      </c>
      <c r="G467" s="101">
        <v>46204</v>
      </c>
      <c r="H467" t="s">
        <v>217</v>
      </c>
      <c r="I467" t="s">
        <v>457</v>
      </c>
      <c r="J467" t="s">
        <v>442</v>
      </c>
      <c r="K467" t="s">
        <v>382</v>
      </c>
      <c r="L467" s="39">
        <v>0.3704513888888889</v>
      </c>
      <c r="M467" s="39">
        <v>0.72744212962962962</v>
      </c>
      <c r="N467">
        <v>8.57</v>
      </c>
      <c r="O467" t="s">
        <v>756</v>
      </c>
      <c r="P467">
        <v>0</v>
      </c>
      <c r="Q467" t="s">
        <v>594</v>
      </c>
      <c r="R467">
        <v>0</v>
      </c>
      <c r="S467">
        <v>0</v>
      </c>
      <c r="T467" t="s">
        <v>466</v>
      </c>
      <c r="U467" t="s">
        <v>108</v>
      </c>
      <c r="V467" s="101">
        <v>46204</v>
      </c>
      <c r="W467">
        <v>1</v>
      </c>
      <c r="X467">
        <v>1</v>
      </c>
      <c r="Y467">
        <v>0</v>
      </c>
      <c r="Z467">
        <v>0</v>
      </c>
      <c r="AA467">
        <v>0</v>
      </c>
    </row>
    <row r="468" spans="1:27" x14ac:dyDescent="0.3">
      <c r="A468">
        <v>1031</v>
      </c>
      <c r="B468">
        <v>26</v>
      </c>
      <c r="C468">
        <v>1</v>
      </c>
      <c r="D468">
        <v>0</v>
      </c>
      <c r="E468">
        <v>0</v>
      </c>
      <c r="F468" t="s">
        <v>1205</v>
      </c>
      <c r="G468" s="101">
        <v>46205</v>
      </c>
      <c r="H468" t="s">
        <v>217</v>
      </c>
      <c r="I468" t="s">
        <v>457</v>
      </c>
      <c r="J468" t="s">
        <v>442</v>
      </c>
      <c r="K468" t="s">
        <v>382</v>
      </c>
      <c r="L468" s="39">
        <v>0.37535879629629632</v>
      </c>
      <c r="M468" s="39">
        <v>0.7271643518518518</v>
      </c>
      <c r="N468">
        <v>8.44</v>
      </c>
      <c r="O468" t="s">
        <v>619</v>
      </c>
      <c r="P468">
        <v>0</v>
      </c>
      <c r="Q468" t="s">
        <v>676</v>
      </c>
      <c r="R468">
        <v>0</v>
      </c>
      <c r="S468">
        <v>0</v>
      </c>
      <c r="T468" t="s">
        <v>466</v>
      </c>
      <c r="U468" t="s">
        <v>108</v>
      </c>
      <c r="V468" s="101">
        <v>46205</v>
      </c>
      <c r="W468">
        <v>1</v>
      </c>
      <c r="X468">
        <v>1</v>
      </c>
      <c r="Y468">
        <v>0</v>
      </c>
      <c r="Z468">
        <v>0</v>
      </c>
      <c r="AA468">
        <v>0</v>
      </c>
    </row>
    <row r="469" spans="1:27" x14ac:dyDescent="0.3">
      <c r="A469">
        <v>1031</v>
      </c>
      <c r="B469">
        <v>26</v>
      </c>
      <c r="C469">
        <v>1</v>
      </c>
      <c r="D469">
        <v>0</v>
      </c>
      <c r="E469">
        <v>0</v>
      </c>
      <c r="F469" t="s">
        <v>1205</v>
      </c>
      <c r="G469" s="101">
        <v>46206</v>
      </c>
      <c r="H469" t="s">
        <v>217</v>
      </c>
      <c r="I469" t="s">
        <v>457</v>
      </c>
      <c r="J469" t="s">
        <v>442</v>
      </c>
      <c r="K469" t="s">
        <v>382</v>
      </c>
      <c r="L469" s="39">
        <v>0.37203703703703705</v>
      </c>
      <c r="M469" s="39">
        <v>0.72833333333333339</v>
      </c>
      <c r="N469">
        <v>8.5500000000000007</v>
      </c>
      <c r="O469" t="s">
        <v>667</v>
      </c>
      <c r="P469">
        <v>0</v>
      </c>
      <c r="Q469" t="s">
        <v>494</v>
      </c>
      <c r="R469">
        <v>0</v>
      </c>
      <c r="S469">
        <v>0</v>
      </c>
      <c r="T469" t="s">
        <v>466</v>
      </c>
      <c r="U469" t="s">
        <v>108</v>
      </c>
      <c r="V469" s="101">
        <v>46206</v>
      </c>
      <c r="W469">
        <v>1</v>
      </c>
      <c r="X469">
        <v>1</v>
      </c>
      <c r="Y469">
        <v>0</v>
      </c>
      <c r="Z469">
        <v>0</v>
      </c>
      <c r="AA469">
        <v>0</v>
      </c>
    </row>
    <row r="470" spans="1:27" x14ac:dyDescent="0.3">
      <c r="A470">
        <v>1031</v>
      </c>
      <c r="B470">
        <v>26</v>
      </c>
      <c r="C470">
        <v>1</v>
      </c>
      <c r="D470">
        <v>0</v>
      </c>
      <c r="E470">
        <v>0</v>
      </c>
      <c r="F470" t="s">
        <v>1205</v>
      </c>
      <c r="G470" s="101">
        <v>46207</v>
      </c>
      <c r="H470" t="s">
        <v>217</v>
      </c>
      <c r="I470" t="s">
        <v>457</v>
      </c>
      <c r="J470" t="s">
        <v>442</v>
      </c>
      <c r="K470" t="s">
        <v>382</v>
      </c>
      <c r="L470" s="39">
        <v>0.36873842592592593</v>
      </c>
      <c r="M470" s="39">
        <v>0.72700231481481481</v>
      </c>
      <c r="N470">
        <v>8.6</v>
      </c>
      <c r="O470" t="s">
        <v>711</v>
      </c>
      <c r="P470">
        <v>0</v>
      </c>
      <c r="Q470" t="s">
        <v>588</v>
      </c>
      <c r="R470">
        <v>0</v>
      </c>
      <c r="S470">
        <v>0</v>
      </c>
      <c r="T470" t="s">
        <v>466</v>
      </c>
      <c r="U470" t="s">
        <v>108</v>
      </c>
      <c r="V470" s="101">
        <v>46207</v>
      </c>
      <c r="W470">
        <v>1</v>
      </c>
      <c r="X470">
        <v>1</v>
      </c>
      <c r="Y470">
        <v>0</v>
      </c>
      <c r="Z470">
        <v>0</v>
      </c>
      <c r="AA470">
        <v>0</v>
      </c>
    </row>
    <row r="471" spans="1:27" x14ac:dyDescent="0.3">
      <c r="A471">
        <v>1031</v>
      </c>
      <c r="B471">
        <v>26</v>
      </c>
      <c r="C471">
        <v>1</v>
      </c>
      <c r="D471">
        <v>0</v>
      </c>
      <c r="E471">
        <v>0</v>
      </c>
      <c r="F471" t="s">
        <v>1205</v>
      </c>
      <c r="G471" s="101">
        <v>46208</v>
      </c>
      <c r="H471" t="s">
        <v>217</v>
      </c>
      <c r="I471" t="s">
        <v>457</v>
      </c>
      <c r="J471" t="s">
        <v>442</v>
      </c>
      <c r="K471" t="s">
        <v>383</v>
      </c>
      <c r="L471" s="39">
        <v>0</v>
      </c>
      <c r="M471" s="39">
        <v>0</v>
      </c>
      <c r="N471">
        <v>0</v>
      </c>
      <c r="O471" t="s">
        <v>384</v>
      </c>
      <c r="P471">
        <v>9</v>
      </c>
      <c r="Q471" t="s">
        <v>385</v>
      </c>
      <c r="R471">
        <v>0</v>
      </c>
      <c r="S471">
        <v>9</v>
      </c>
      <c r="T471" t="s">
        <v>466</v>
      </c>
      <c r="U471" t="s">
        <v>366</v>
      </c>
      <c r="V471" s="101">
        <v>46208</v>
      </c>
      <c r="W471">
        <v>0</v>
      </c>
      <c r="X471">
        <v>0</v>
      </c>
      <c r="Y471">
        <v>0</v>
      </c>
      <c r="Z471">
        <v>0</v>
      </c>
      <c r="AA471">
        <v>0</v>
      </c>
    </row>
    <row r="472" spans="1:27" x14ac:dyDescent="0.3">
      <c r="A472">
        <v>1031</v>
      </c>
      <c r="B472">
        <v>26</v>
      </c>
      <c r="C472">
        <v>1</v>
      </c>
      <c r="D472">
        <v>0</v>
      </c>
      <c r="E472">
        <v>0</v>
      </c>
      <c r="F472" t="s">
        <v>1205</v>
      </c>
      <c r="G472" s="101">
        <v>46209</v>
      </c>
      <c r="H472" t="s">
        <v>217</v>
      </c>
      <c r="I472" t="s">
        <v>457</v>
      </c>
      <c r="J472" t="s">
        <v>442</v>
      </c>
      <c r="K472" t="s">
        <v>382</v>
      </c>
      <c r="L472" s="39">
        <v>0.37626157407407407</v>
      </c>
      <c r="M472" s="39">
        <v>0.72761574074074076</v>
      </c>
      <c r="N472">
        <v>8.43</v>
      </c>
      <c r="O472" t="s">
        <v>507</v>
      </c>
      <c r="P472">
        <v>0</v>
      </c>
      <c r="Q472" t="s">
        <v>492</v>
      </c>
      <c r="R472">
        <v>0</v>
      </c>
      <c r="S472">
        <v>0</v>
      </c>
      <c r="T472" t="s">
        <v>466</v>
      </c>
      <c r="U472" t="s">
        <v>108</v>
      </c>
      <c r="V472" s="101">
        <v>46209</v>
      </c>
      <c r="W472">
        <v>1</v>
      </c>
      <c r="X472">
        <v>1</v>
      </c>
      <c r="Y472">
        <v>0</v>
      </c>
      <c r="Z472">
        <v>0</v>
      </c>
      <c r="AA472">
        <v>0</v>
      </c>
    </row>
    <row r="473" spans="1:27" x14ac:dyDescent="0.3">
      <c r="A473">
        <v>1031</v>
      </c>
      <c r="B473">
        <v>26</v>
      </c>
      <c r="C473">
        <v>1</v>
      </c>
      <c r="D473">
        <v>0</v>
      </c>
      <c r="E473">
        <v>0</v>
      </c>
      <c r="F473" t="s">
        <v>1205</v>
      </c>
      <c r="G473" s="101">
        <v>46210</v>
      </c>
      <c r="H473" t="s">
        <v>217</v>
      </c>
      <c r="I473" t="s">
        <v>457</v>
      </c>
      <c r="J473" t="s">
        <v>442</v>
      </c>
      <c r="K473" t="s">
        <v>382</v>
      </c>
      <c r="L473" s="39">
        <v>0.3725</v>
      </c>
      <c r="M473" s="39">
        <v>0.76851851851851849</v>
      </c>
      <c r="N473">
        <v>9.5</v>
      </c>
      <c r="O473" t="s">
        <v>1206</v>
      </c>
      <c r="P473">
        <v>0</v>
      </c>
      <c r="Q473" t="s">
        <v>1131</v>
      </c>
      <c r="R473">
        <v>0.94</v>
      </c>
      <c r="S473">
        <v>0.94</v>
      </c>
      <c r="T473" t="s">
        <v>466</v>
      </c>
      <c r="U473" t="s">
        <v>108</v>
      </c>
      <c r="V473" s="101">
        <v>46210</v>
      </c>
      <c r="W473">
        <v>1</v>
      </c>
      <c r="X473">
        <v>1</v>
      </c>
      <c r="Y473">
        <v>0</v>
      </c>
      <c r="Z473">
        <v>0</v>
      </c>
      <c r="AA473">
        <v>0</v>
      </c>
    </row>
    <row r="474" spans="1:27" x14ac:dyDescent="0.3">
      <c r="A474">
        <v>1031</v>
      </c>
      <c r="B474">
        <v>26</v>
      </c>
      <c r="C474">
        <v>1</v>
      </c>
      <c r="D474">
        <v>0</v>
      </c>
      <c r="E474">
        <v>0</v>
      </c>
      <c r="F474" t="s">
        <v>1205</v>
      </c>
      <c r="G474" s="101">
        <v>46211</v>
      </c>
      <c r="H474" t="s">
        <v>217</v>
      </c>
      <c r="I474" t="s">
        <v>457</v>
      </c>
      <c r="J474" t="s">
        <v>442</v>
      </c>
      <c r="K474" t="s">
        <v>382</v>
      </c>
      <c r="L474" s="39">
        <v>0.37208333333333332</v>
      </c>
      <c r="M474" s="39">
        <v>0.76898148148148149</v>
      </c>
      <c r="N474">
        <v>9.5299999999999994</v>
      </c>
      <c r="O474" t="s">
        <v>424</v>
      </c>
      <c r="P474">
        <v>0</v>
      </c>
      <c r="Q474" t="s">
        <v>1207</v>
      </c>
      <c r="R474">
        <v>0.96</v>
      </c>
      <c r="S474">
        <v>0.96</v>
      </c>
      <c r="T474" t="s">
        <v>466</v>
      </c>
      <c r="U474" t="s">
        <v>108</v>
      </c>
      <c r="V474" s="101">
        <v>46211</v>
      </c>
      <c r="W474">
        <v>1</v>
      </c>
      <c r="X474">
        <v>1</v>
      </c>
      <c r="Y474">
        <v>0</v>
      </c>
      <c r="Z474">
        <v>0</v>
      </c>
      <c r="AA474">
        <v>0</v>
      </c>
    </row>
    <row r="475" spans="1:27" x14ac:dyDescent="0.3">
      <c r="A475">
        <v>1031</v>
      </c>
      <c r="B475">
        <v>26</v>
      </c>
      <c r="C475">
        <v>1</v>
      </c>
      <c r="D475">
        <v>0</v>
      </c>
      <c r="E475">
        <v>0</v>
      </c>
      <c r="F475" t="s">
        <v>1205</v>
      </c>
      <c r="G475" s="101">
        <v>46212</v>
      </c>
      <c r="H475" t="s">
        <v>217</v>
      </c>
      <c r="I475" t="s">
        <v>457</v>
      </c>
      <c r="J475" t="s">
        <v>442</v>
      </c>
      <c r="K475" t="s">
        <v>382</v>
      </c>
      <c r="L475" s="39">
        <v>0.37192129629629628</v>
      </c>
      <c r="M475" s="39">
        <v>0.76853009259259264</v>
      </c>
      <c r="N475">
        <v>9.52</v>
      </c>
      <c r="O475" t="s">
        <v>663</v>
      </c>
      <c r="P475">
        <v>0</v>
      </c>
      <c r="Q475" t="s">
        <v>1208</v>
      </c>
      <c r="R475">
        <v>0.94</v>
      </c>
      <c r="S475">
        <v>0.94</v>
      </c>
      <c r="T475" t="s">
        <v>466</v>
      </c>
      <c r="U475" t="s">
        <v>108</v>
      </c>
      <c r="V475" s="101">
        <v>46212</v>
      </c>
      <c r="W475">
        <v>1</v>
      </c>
      <c r="X475">
        <v>1</v>
      </c>
      <c r="Y475">
        <v>0</v>
      </c>
      <c r="Z475">
        <v>0</v>
      </c>
      <c r="AA475">
        <v>0</v>
      </c>
    </row>
    <row r="476" spans="1:27" x14ac:dyDescent="0.3">
      <c r="A476">
        <v>1031</v>
      </c>
      <c r="B476">
        <v>26</v>
      </c>
      <c r="C476">
        <v>1</v>
      </c>
      <c r="D476">
        <v>0</v>
      </c>
      <c r="E476">
        <v>0</v>
      </c>
      <c r="F476" t="s">
        <v>1205</v>
      </c>
      <c r="G476" s="101">
        <v>46213</v>
      </c>
      <c r="H476" t="s">
        <v>217</v>
      </c>
      <c r="I476" t="s">
        <v>457</v>
      </c>
      <c r="J476" t="s">
        <v>442</v>
      </c>
      <c r="K476" t="s">
        <v>382</v>
      </c>
      <c r="L476" s="39">
        <v>0.37346064814814817</v>
      </c>
      <c r="M476" s="39">
        <v>0.76825231481481482</v>
      </c>
      <c r="N476">
        <v>9.48</v>
      </c>
      <c r="O476" t="s">
        <v>489</v>
      </c>
      <c r="P476">
        <v>0</v>
      </c>
      <c r="Q476" t="s">
        <v>1209</v>
      </c>
      <c r="R476">
        <v>0.94</v>
      </c>
      <c r="S476">
        <v>0.94</v>
      </c>
      <c r="T476" t="s">
        <v>466</v>
      </c>
      <c r="U476" t="s">
        <v>108</v>
      </c>
      <c r="V476" s="101">
        <v>46213</v>
      </c>
      <c r="W476">
        <v>1</v>
      </c>
      <c r="X476">
        <v>1</v>
      </c>
      <c r="Y476">
        <v>0</v>
      </c>
      <c r="Z476">
        <v>0</v>
      </c>
      <c r="AA476">
        <v>0</v>
      </c>
    </row>
    <row r="477" spans="1:27" x14ac:dyDescent="0.3">
      <c r="A477">
        <v>1031</v>
      </c>
      <c r="B477">
        <v>26</v>
      </c>
      <c r="C477">
        <v>1</v>
      </c>
      <c r="D477">
        <v>0</v>
      </c>
      <c r="E477">
        <v>0</v>
      </c>
      <c r="F477" t="s">
        <v>1205</v>
      </c>
      <c r="G477" s="101">
        <v>46214</v>
      </c>
      <c r="H477" t="s">
        <v>217</v>
      </c>
      <c r="I477" t="s">
        <v>457</v>
      </c>
      <c r="J477" t="s">
        <v>442</v>
      </c>
      <c r="K477" t="s">
        <v>382</v>
      </c>
      <c r="L477" s="39">
        <v>0.36917824074074074</v>
      </c>
      <c r="M477" s="39">
        <v>0.76879629629629631</v>
      </c>
      <c r="N477">
        <v>9.59</v>
      </c>
      <c r="O477" t="s">
        <v>774</v>
      </c>
      <c r="P477">
        <v>0</v>
      </c>
      <c r="Q477" t="s">
        <v>1210</v>
      </c>
      <c r="R477">
        <v>0.95</v>
      </c>
      <c r="S477">
        <v>0.95</v>
      </c>
      <c r="T477" t="s">
        <v>466</v>
      </c>
      <c r="U477" t="s">
        <v>108</v>
      </c>
      <c r="V477" s="101">
        <v>46214</v>
      </c>
      <c r="W477">
        <v>1</v>
      </c>
      <c r="X477">
        <v>1</v>
      </c>
      <c r="Y477">
        <v>0</v>
      </c>
      <c r="Z477">
        <v>0</v>
      </c>
      <c r="AA477">
        <v>0</v>
      </c>
    </row>
    <row r="478" spans="1:27" x14ac:dyDescent="0.3">
      <c r="A478">
        <v>1031</v>
      </c>
      <c r="B478">
        <v>26</v>
      </c>
      <c r="C478">
        <v>1</v>
      </c>
      <c r="D478">
        <v>0</v>
      </c>
      <c r="E478">
        <v>0</v>
      </c>
      <c r="F478" t="s">
        <v>1205</v>
      </c>
      <c r="G478" s="101">
        <v>46215</v>
      </c>
      <c r="H478" t="s">
        <v>217</v>
      </c>
      <c r="I478" t="s">
        <v>457</v>
      </c>
      <c r="J478" t="s">
        <v>442</v>
      </c>
      <c r="K478" t="s">
        <v>383</v>
      </c>
      <c r="L478" s="39">
        <v>0</v>
      </c>
      <c r="M478" s="39">
        <v>0</v>
      </c>
      <c r="N478">
        <v>0</v>
      </c>
      <c r="O478" t="s">
        <v>384</v>
      </c>
      <c r="P478">
        <v>9</v>
      </c>
      <c r="Q478" t="s">
        <v>385</v>
      </c>
      <c r="R478">
        <v>0</v>
      </c>
      <c r="S478">
        <v>9</v>
      </c>
      <c r="T478" t="s">
        <v>466</v>
      </c>
      <c r="U478" t="s">
        <v>366</v>
      </c>
      <c r="V478" s="101">
        <v>46215</v>
      </c>
      <c r="W478">
        <v>0</v>
      </c>
      <c r="X478">
        <v>0</v>
      </c>
      <c r="Y478">
        <v>0</v>
      </c>
      <c r="Z478">
        <v>0</v>
      </c>
      <c r="AA478">
        <v>0</v>
      </c>
    </row>
    <row r="479" spans="1:27" x14ac:dyDescent="0.3">
      <c r="A479">
        <v>1031</v>
      </c>
      <c r="B479">
        <v>26</v>
      </c>
      <c r="C479">
        <v>1</v>
      </c>
      <c r="D479">
        <v>0</v>
      </c>
      <c r="E479">
        <v>0</v>
      </c>
      <c r="F479" t="s">
        <v>1205</v>
      </c>
      <c r="G479" s="101">
        <v>46216</v>
      </c>
      <c r="H479" t="s">
        <v>217</v>
      </c>
      <c r="I479" t="s">
        <v>457</v>
      </c>
      <c r="J479" t="s">
        <v>442</v>
      </c>
      <c r="K479" t="s">
        <v>382</v>
      </c>
      <c r="L479" s="39">
        <v>0.36601851851851852</v>
      </c>
      <c r="M479" s="39">
        <v>0.76949074074074075</v>
      </c>
      <c r="N479">
        <v>9.68</v>
      </c>
      <c r="O479" t="s">
        <v>660</v>
      </c>
      <c r="P479">
        <v>0</v>
      </c>
      <c r="Q479" t="s">
        <v>1211</v>
      </c>
      <c r="R479">
        <v>0.97</v>
      </c>
      <c r="S479">
        <v>0.97</v>
      </c>
      <c r="T479" t="s">
        <v>466</v>
      </c>
      <c r="U479" t="s">
        <v>108</v>
      </c>
      <c r="V479" s="101">
        <v>46216</v>
      </c>
      <c r="W479">
        <v>1</v>
      </c>
      <c r="X479">
        <v>1</v>
      </c>
      <c r="Y479">
        <v>0</v>
      </c>
      <c r="Z479">
        <v>0</v>
      </c>
      <c r="AA479">
        <v>0</v>
      </c>
    </row>
    <row r="480" spans="1:27" x14ac:dyDescent="0.3">
      <c r="A480">
        <v>1031</v>
      </c>
      <c r="B480">
        <v>26</v>
      </c>
      <c r="C480">
        <v>1</v>
      </c>
      <c r="D480">
        <v>0</v>
      </c>
      <c r="E480">
        <v>0</v>
      </c>
      <c r="F480" t="s">
        <v>1205</v>
      </c>
      <c r="G480" s="101">
        <v>46217</v>
      </c>
      <c r="H480" t="s">
        <v>217</v>
      </c>
      <c r="I480" t="s">
        <v>457</v>
      </c>
      <c r="J480" t="s">
        <v>442</v>
      </c>
      <c r="K480" t="s">
        <v>382</v>
      </c>
      <c r="L480" s="39">
        <v>0.36803240740740739</v>
      </c>
      <c r="M480" s="39">
        <v>0.72961805555555559</v>
      </c>
      <c r="N480">
        <v>8.68</v>
      </c>
      <c r="O480" t="s">
        <v>1139</v>
      </c>
      <c r="P480">
        <v>0</v>
      </c>
      <c r="Q480" t="s">
        <v>648</v>
      </c>
      <c r="R480">
        <v>0</v>
      </c>
      <c r="S480">
        <v>0</v>
      </c>
      <c r="T480" t="s">
        <v>466</v>
      </c>
      <c r="U480" t="s">
        <v>108</v>
      </c>
      <c r="V480" s="101">
        <v>46217</v>
      </c>
      <c r="W480">
        <v>1</v>
      </c>
      <c r="X480">
        <v>1</v>
      </c>
      <c r="Y480">
        <v>0</v>
      </c>
      <c r="Z480">
        <v>0</v>
      </c>
      <c r="AA480">
        <v>0</v>
      </c>
    </row>
    <row r="481" spans="1:27" x14ac:dyDescent="0.3">
      <c r="A481">
        <v>1031</v>
      </c>
      <c r="B481">
        <v>26</v>
      </c>
      <c r="C481">
        <v>1</v>
      </c>
      <c r="D481">
        <v>0</v>
      </c>
      <c r="E481">
        <v>0</v>
      </c>
      <c r="F481" t="s">
        <v>1205</v>
      </c>
      <c r="G481" s="101">
        <v>46218</v>
      </c>
      <c r="H481" t="s">
        <v>217</v>
      </c>
      <c r="I481" t="s">
        <v>457</v>
      </c>
      <c r="J481" t="s">
        <v>442</v>
      </c>
      <c r="K481" t="s">
        <v>382</v>
      </c>
      <c r="L481" s="39">
        <v>0.37005787037037036</v>
      </c>
      <c r="M481" s="39">
        <v>0.76908564814814817</v>
      </c>
      <c r="N481">
        <v>9.58</v>
      </c>
      <c r="O481" t="s">
        <v>561</v>
      </c>
      <c r="P481">
        <v>0</v>
      </c>
      <c r="Q481" t="s">
        <v>1212</v>
      </c>
      <c r="R481">
        <v>0.96</v>
      </c>
      <c r="S481">
        <v>0.96</v>
      </c>
      <c r="T481" t="s">
        <v>466</v>
      </c>
      <c r="U481" t="s">
        <v>108</v>
      </c>
      <c r="V481" s="101">
        <v>46218</v>
      </c>
      <c r="W481">
        <v>1</v>
      </c>
      <c r="X481">
        <v>1</v>
      </c>
      <c r="Y481">
        <v>0</v>
      </c>
      <c r="Z481">
        <v>0</v>
      </c>
      <c r="AA481">
        <v>0</v>
      </c>
    </row>
    <row r="482" spans="1:27" x14ac:dyDescent="0.3">
      <c r="A482">
        <v>1031</v>
      </c>
      <c r="B482">
        <v>26</v>
      </c>
      <c r="C482">
        <v>1</v>
      </c>
      <c r="D482">
        <v>0</v>
      </c>
      <c r="E482">
        <v>0</v>
      </c>
      <c r="F482" t="s">
        <v>1205</v>
      </c>
      <c r="G482" s="101">
        <v>46219</v>
      </c>
      <c r="H482" t="s">
        <v>217</v>
      </c>
      <c r="I482" t="s">
        <v>457</v>
      </c>
      <c r="J482" t="s">
        <v>442</v>
      </c>
      <c r="K482" t="s">
        <v>383</v>
      </c>
      <c r="L482" s="39">
        <v>0</v>
      </c>
      <c r="M482" s="39">
        <v>0</v>
      </c>
      <c r="N482">
        <v>0</v>
      </c>
      <c r="O482" t="s">
        <v>384</v>
      </c>
      <c r="P482">
        <v>9</v>
      </c>
      <c r="Q482" t="s">
        <v>385</v>
      </c>
      <c r="R482">
        <v>0</v>
      </c>
      <c r="S482">
        <v>9</v>
      </c>
      <c r="T482" t="s">
        <v>466</v>
      </c>
      <c r="U482" t="s">
        <v>366</v>
      </c>
      <c r="V482" s="101">
        <v>46219</v>
      </c>
      <c r="W482">
        <v>0</v>
      </c>
      <c r="X482">
        <v>0</v>
      </c>
      <c r="Y482">
        <v>0</v>
      </c>
      <c r="Z482">
        <v>0</v>
      </c>
      <c r="AA482">
        <v>0</v>
      </c>
    </row>
    <row r="483" spans="1:27" x14ac:dyDescent="0.3">
      <c r="A483">
        <v>1031</v>
      </c>
      <c r="B483">
        <v>26</v>
      </c>
      <c r="C483">
        <v>1</v>
      </c>
      <c r="D483">
        <v>0</v>
      </c>
      <c r="E483">
        <v>0</v>
      </c>
      <c r="F483" t="s">
        <v>1205</v>
      </c>
      <c r="G483" s="101">
        <v>46220</v>
      </c>
      <c r="H483" t="s">
        <v>217</v>
      </c>
      <c r="I483" t="s">
        <v>457</v>
      </c>
      <c r="J483" t="s">
        <v>442</v>
      </c>
      <c r="K483" t="s">
        <v>382</v>
      </c>
      <c r="L483" s="39">
        <v>0.36806712962962962</v>
      </c>
      <c r="M483" s="39">
        <v>0.76821759259259259</v>
      </c>
      <c r="N483">
        <v>9.6</v>
      </c>
      <c r="O483" t="s">
        <v>639</v>
      </c>
      <c r="P483">
        <v>0</v>
      </c>
      <c r="Q483" t="s">
        <v>1213</v>
      </c>
      <c r="R483">
        <v>0.94</v>
      </c>
      <c r="S483">
        <v>0.94</v>
      </c>
      <c r="T483" t="s">
        <v>466</v>
      </c>
      <c r="U483" t="s">
        <v>108</v>
      </c>
      <c r="V483" s="101">
        <v>46220</v>
      </c>
      <c r="W483">
        <v>1</v>
      </c>
      <c r="X483">
        <v>1</v>
      </c>
      <c r="Y483">
        <v>0</v>
      </c>
      <c r="Z483">
        <v>0</v>
      </c>
      <c r="AA483">
        <v>0</v>
      </c>
    </row>
    <row r="484" spans="1:27" x14ac:dyDescent="0.3">
      <c r="A484">
        <v>1031</v>
      </c>
      <c r="B484">
        <v>26</v>
      </c>
      <c r="C484">
        <v>1</v>
      </c>
      <c r="D484">
        <v>0</v>
      </c>
      <c r="E484">
        <v>0</v>
      </c>
      <c r="F484" t="s">
        <v>1205</v>
      </c>
      <c r="G484" s="101">
        <v>46221</v>
      </c>
      <c r="H484" t="s">
        <v>217</v>
      </c>
      <c r="I484" t="s">
        <v>457</v>
      </c>
      <c r="J484" t="s">
        <v>442</v>
      </c>
      <c r="K484" t="s">
        <v>382</v>
      </c>
      <c r="L484" s="39">
        <v>0.37087962962962961</v>
      </c>
      <c r="M484" s="39">
        <v>0.72851851851851857</v>
      </c>
      <c r="N484">
        <v>8.58</v>
      </c>
      <c r="O484" t="s">
        <v>569</v>
      </c>
      <c r="P484">
        <v>0</v>
      </c>
      <c r="Q484" t="s">
        <v>580</v>
      </c>
      <c r="R484">
        <v>0</v>
      </c>
      <c r="S484">
        <v>0</v>
      </c>
      <c r="T484" t="s">
        <v>466</v>
      </c>
      <c r="U484" t="s">
        <v>108</v>
      </c>
      <c r="V484" s="101">
        <v>46221</v>
      </c>
      <c r="W484">
        <v>1</v>
      </c>
      <c r="X484">
        <v>1</v>
      </c>
      <c r="Y484">
        <v>0</v>
      </c>
      <c r="Z484">
        <v>0</v>
      </c>
      <c r="AA484">
        <v>0</v>
      </c>
    </row>
    <row r="485" spans="1:27" x14ac:dyDescent="0.3">
      <c r="A485">
        <v>1031</v>
      </c>
      <c r="B485">
        <v>26</v>
      </c>
      <c r="C485">
        <v>1</v>
      </c>
      <c r="D485">
        <v>0</v>
      </c>
      <c r="E485">
        <v>0</v>
      </c>
      <c r="F485" t="s">
        <v>1205</v>
      </c>
      <c r="G485" s="101">
        <v>46222</v>
      </c>
      <c r="H485" t="s">
        <v>217</v>
      </c>
      <c r="I485" t="s">
        <v>457</v>
      </c>
      <c r="J485" t="s">
        <v>442</v>
      </c>
      <c r="K485" t="s">
        <v>382</v>
      </c>
      <c r="L485" s="39">
        <v>0.37913194444444442</v>
      </c>
      <c r="M485" s="39">
        <v>0.68649305555555551</v>
      </c>
      <c r="N485">
        <v>7.38</v>
      </c>
      <c r="O485" t="s">
        <v>1214</v>
      </c>
      <c r="P485">
        <v>0</v>
      </c>
      <c r="Q485" t="s">
        <v>1215</v>
      </c>
      <c r="R485">
        <v>0</v>
      </c>
      <c r="S485">
        <v>0</v>
      </c>
      <c r="T485" t="s">
        <v>466</v>
      </c>
      <c r="U485" t="s">
        <v>108</v>
      </c>
      <c r="V485" s="101">
        <v>46222</v>
      </c>
      <c r="W485">
        <v>1</v>
      </c>
      <c r="X485">
        <v>0</v>
      </c>
      <c r="Y485">
        <v>1</v>
      </c>
      <c r="Z485">
        <v>0</v>
      </c>
      <c r="AA485">
        <v>0</v>
      </c>
    </row>
    <row r="486" spans="1:27" x14ac:dyDescent="0.3">
      <c r="A486">
        <v>1031</v>
      </c>
      <c r="B486">
        <v>26</v>
      </c>
      <c r="C486">
        <v>1</v>
      </c>
      <c r="D486">
        <v>0</v>
      </c>
      <c r="E486">
        <v>0</v>
      </c>
      <c r="F486" t="s">
        <v>1205</v>
      </c>
      <c r="G486" s="101">
        <v>46223</v>
      </c>
      <c r="H486" t="s">
        <v>217</v>
      </c>
      <c r="I486" t="s">
        <v>457</v>
      </c>
      <c r="J486" t="s">
        <v>442</v>
      </c>
      <c r="K486" t="s">
        <v>382</v>
      </c>
      <c r="L486" s="39">
        <v>0.37034722222222222</v>
      </c>
      <c r="M486" s="39">
        <v>0.76829861111111108</v>
      </c>
      <c r="N486">
        <v>9.5500000000000007</v>
      </c>
      <c r="O486" t="s">
        <v>452</v>
      </c>
      <c r="P486">
        <v>0</v>
      </c>
      <c r="Q486" t="s">
        <v>1083</v>
      </c>
      <c r="R486">
        <v>0.94</v>
      </c>
      <c r="S486">
        <v>0.94</v>
      </c>
      <c r="T486" t="s">
        <v>466</v>
      </c>
      <c r="U486" t="s">
        <v>108</v>
      </c>
      <c r="V486" s="101">
        <v>46223</v>
      </c>
      <c r="W486">
        <v>1</v>
      </c>
      <c r="X486">
        <v>1</v>
      </c>
      <c r="Y486">
        <v>0</v>
      </c>
      <c r="Z486">
        <v>0</v>
      </c>
      <c r="AA486">
        <v>0</v>
      </c>
    </row>
    <row r="487" spans="1:27" x14ac:dyDescent="0.3">
      <c r="A487">
        <v>1031</v>
      </c>
      <c r="B487">
        <v>26</v>
      </c>
      <c r="C487">
        <v>1</v>
      </c>
      <c r="D487">
        <v>0</v>
      </c>
      <c r="E487">
        <v>0</v>
      </c>
      <c r="F487" t="s">
        <v>1205</v>
      </c>
      <c r="G487" s="101">
        <v>46224</v>
      </c>
      <c r="H487" t="s">
        <v>217</v>
      </c>
      <c r="I487" t="s">
        <v>457</v>
      </c>
      <c r="J487" t="s">
        <v>442</v>
      </c>
      <c r="K487" t="s">
        <v>382</v>
      </c>
      <c r="L487" s="39">
        <v>0.37807870370370372</v>
      </c>
      <c r="M487" s="39">
        <v>0.72706018518518523</v>
      </c>
      <c r="N487">
        <v>8.3800000000000008</v>
      </c>
      <c r="O487" t="s">
        <v>1216</v>
      </c>
      <c r="P487">
        <v>0</v>
      </c>
      <c r="Q487" t="s">
        <v>724</v>
      </c>
      <c r="R487">
        <v>0</v>
      </c>
      <c r="S487">
        <v>0</v>
      </c>
      <c r="T487" t="s">
        <v>466</v>
      </c>
      <c r="U487" t="s">
        <v>108</v>
      </c>
      <c r="V487" s="101">
        <v>46224</v>
      </c>
      <c r="W487">
        <v>1</v>
      </c>
      <c r="X487">
        <v>1</v>
      </c>
      <c r="Y487">
        <v>0</v>
      </c>
      <c r="Z487">
        <v>0</v>
      </c>
      <c r="AA487">
        <v>0</v>
      </c>
    </row>
    <row r="488" spans="1:27" x14ac:dyDescent="0.3">
      <c r="A488">
        <v>1031</v>
      </c>
      <c r="B488">
        <v>26</v>
      </c>
      <c r="C488">
        <v>1</v>
      </c>
      <c r="D488">
        <v>0</v>
      </c>
      <c r="E488">
        <v>0</v>
      </c>
      <c r="F488" t="s">
        <v>1205</v>
      </c>
      <c r="G488" s="101">
        <v>46225</v>
      </c>
      <c r="H488" t="s">
        <v>217</v>
      </c>
      <c r="I488" t="s">
        <v>457</v>
      </c>
      <c r="J488" t="s">
        <v>442</v>
      </c>
      <c r="K488" t="s">
        <v>382</v>
      </c>
      <c r="L488" s="39">
        <v>0.36896990740740743</v>
      </c>
      <c r="M488" s="39">
        <v>0.7696412037037037</v>
      </c>
      <c r="N488">
        <v>9.6199999999999992</v>
      </c>
      <c r="O488" t="s">
        <v>570</v>
      </c>
      <c r="P488">
        <v>0</v>
      </c>
      <c r="Q488" t="s">
        <v>742</v>
      </c>
      <c r="R488">
        <v>0.97</v>
      </c>
      <c r="S488">
        <v>0.97</v>
      </c>
      <c r="T488" t="s">
        <v>466</v>
      </c>
      <c r="U488" t="s">
        <v>108</v>
      </c>
      <c r="V488" s="101">
        <v>46225</v>
      </c>
      <c r="W488">
        <v>1</v>
      </c>
      <c r="X488">
        <v>1</v>
      </c>
      <c r="Y488">
        <v>0</v>
      </c>
      <c r="Z488">
        <v>0</v>
      </c>
      <c r="AA488">
        <v>0</v>
      </c>
    </row>
    <row r="489" spans="1:27" x14ac:dyDescent="0.3">
      <c r="A489">
        <v>1031</v>
      </c>
      <c r="B489">
        <v>26</v>
      </c>
      <c r="C489">
        <v>1</v>
      </c>
      <c r="D489">
        <v>0</v>
      </c>
      <c r="E489">
        <v>0</v>
      </c>
      <c r="F489" t="s">
        <v>1205</v>
      </c>
      <c r="G489" s="101">
        <v>46226</v>
      </c>
      <c r="H489" t="s">
        <v>217</v>
      </c>
      <c r="I489" t="s">
        <v>457</v>
      </c>
      <c r="J489" t="s">
        <v>442</v>
      </c>
      <c r="K489" t="s">
        <v>382</v>
      </c>
      <c r="L489" s="39">
        <v>0.36837962962962961</v>
      </c>
      <c r="M489" s="39">
        <v>0.7688194444444445</v>
      </c>
      <c r="N489">
        <v>9.61</v>
      </c>
      <c r="O489" t="s">
        <v>578</v>
      </c>
      <c r="P489">
        <v>0</v>
      </c>
      <c r="Q489" t="s">
        <v>1217</v>
      </c>
      <c r="R489">
        <v>0.95</v>
      </c>
      <c r="S489">
        <v>0.95</v>
      </c>
      <c r="T489" t="s">
        <v>466</v>
      </c>
      <c r="U489" t="s">
        <v>108</v>
      </c>
      <c r="V489" s="101">
        <v>46226</v>
      </c>
      <c r="W489">
        <v>1</v>
      </c>
      <c r="X489">
        <v>1</v>
      </c>
      <c r="Y489">
        <v>0</v>
      </c>
      <c r="Z489">
        <v>0</v>
      </c>
      <c r="AA489">
        <v>0</v>
      </c>
    </row>
    <row r="490" spans="1:27" x14ac:dyDescent="0.3">
      <c r="A490">
        <v>1031</v>
      </c>
      <c r="B490">
        <v>26</v>
      </c>
      <c r="C490">
        <v>1</v>
      </c>
      <c r="D490">
        <v>0</v>
      </c>
      <c r="E490">
        <v>0</v>
      </c>
      <c r="F490" t="s">
        <v>1205</v>
      </c>
      <c r="G490" s="101">
        <v>46227</v>
      </c>
      <c r="H490" t="s">
        <v>217</v>
      </c>
      <c r="I490" t="s">
        <v>457</v>
      </c>
      <c r="J490" t="s">
        <v>442</v>
      </c>
      <c r="K490" t="s">
        <v>382</v>
      </c>
      <c r="L490" s="39">
        <v>0.36881944444444442</v>
      </c>
      <c r="M490" s="39">
        <v>0.76890046296296299</v>
      </c>
      <c r="N490">
        <v>9.6</v>
      </c>
      <c r="O490" t="s">
        <v>955</v>
      </c>
      <c r="P490">
        <v>0</v>
      </c>
      <c r="Q490" t="s">
        <v>1218</v>
      </c>
      <c r="R490">
        <v>0.95</v>
      </c>
      <c r="S490">
        <v>0.95</v>
      </c>
      <c r="T490" t="s">
        <v>466</v>
      </c>
      <c r="U490" t="s">
        <v>108</v>
      </c>
      <c r="V490" s="101">
        <v>46227</v>
      </c>
      <c r="W490">
        <v>1</v>
      </c>
      <c r="X490">
        <v>1</v>
      </c>
      <c r="Y490">
        <v>0</v>
      </c>
      <c r="Z490">
        <v>0</v>
      </c>
      <c r="AA490">
        <v>0</v>
      </c>
    </row>
    <row r="491" spans="1:27" x14ac:dyDescent="0.3">
      <c r="A491">
        <v>1031</v>
      </c>
      <c r="B491">
        <v>26</v>
      </c>
      <c r="C491">
        <v>1</v>
      </c>
      <c r="D491">
        <v>0</v>
      </c>
      <c r="E491">
        <v>0</v>
      </c>
      <c r="F491" t="s">
        <v>1205</v>
      </c>
      <c r="G491" s="101">
        <v>46228</v>
      </c>
      <c r="H491" t="s">
        <v>217</v>
      </c>
      <c r="I491" t="s">
        <v>457</v>
      </c>
      <c r="J491" t="s">
        <v>442</v>
      </c>
      <c r="K491" t="s">
        <v>382</v>
      </c>
      <c r="L491" s="39">
        <v>0.36967592592592591</v>
      </c>
      <c r="M491" s="39">
        <v>0.76842592592592596</v>
      </c>
      <c r="N491">
        <v>9.57</v>
      </c>
      <c r="O491" t="s">
        <v>1219</v>
      </c>
      <c r="P491">
        <v>0</v>
      </c>
      <c r="Q491" t="s">
        <v>1085</v>
      </c>
      <c r="R491">
        <v>0.94</v>
      </c>
      <c r="S491">
        <v>0.94</v>
      </c>
      <c r="T491" t="s">
        <v>466</v>
      </c>
      <c r="U491" t="s">
        <v>108</v>
      </c>
      <c r="V491" s="101">
        <v>46228</v>
      </c>
      <c r="W491">
        <v>1</v>
      </c>
      <c r="X491">
        <v>1</v>
      </c>
      <c r="Y491">
        <v>0</v>
      </c>
      <c r="Z491">
        <v>0</v>
      </c>
      <c r="AA491">
        <v>0</v>
      </c>
    </row>
    <row r="492" spans="1:27" x14ac:dyDescent="0.3">
      <c r="A492">
        <v>1031</v>
      </c>
      <c r="B492">
        <v>26</v>
      </c>
      <c r="C492">
        <v>1</v>
      </c>
      <c r="D492">
        <v>0</v>
      </c>
      <c r="E492">
        <v>0</v>
      </c>
      <c r="F492" t="s">
        <v>1205</v>
      </c>
      <c r="G492" s="101">
        <v>46229</v>
      </c>
      <c r="H492" t="s">
        <v>217</v>
      </c>
      <c r="I492" t="s">
        <v>457</v>
      </c>
      <c r="J492" t="s">
        <v>442</v>
      </c>
      <c r="K492" t="s">
        <v>383</v>
      </c>
      <c r="L492" s="39">
        <v>0</v>
      </c>
      <c r="M492" s="39">
        <v>0</v>
      </c>
      <c r="N492">
        <v>0</v>
      </c>
      <c r="O492" t="s">
        <v>384</v>
      </c>
      <c r="P492">
        <v>9</v>
      </c>
      <c r="Q492" t="s">
        <v>385</v>
      </c>
      <c r="R492">
        <v>0</v>
      </c>
      <c r="S492">
        <v>9</v>
      </c>
      <c r="T492" t="s">
        <v>466</v>
      </c>
      <c r="U492" t="s">
        <v>366</v>
      </c>
      <c r="V492" s="101">
        <v>46229</v>
      </c>
      <c r="W492">
        <v>0</v>
      </c>
      <c r="X492">
        <v>0</v>
      </c>
      <c r="Y492">
        <v>0</v>
      </c>
      <c r="Z492">
        <v>0</v>
      </c>
      <c r="AA492">
        <v>0</v>
      </c>
    </row>
    <row r="493" spans="1:27" x14ac:dyDescent="0.3">
      <c r="A493">
        <v>1031</v>
      </c>
      <c r="B493">
        <v>26</v>
      </c>
      <c r="C493">
        <v>1</v>
      </c>
      <c r="D493">
        <v>0</v>
      </c>
      <c r="E493">
        <v>0</v>
      </c>
      <c r="F493" t="s">
        <v>1205</v>
      </c>
      <c r="G493" s="101">
        <v>46230</v>
      </c>
      <c r="H493" t="s">
        <v>217</v>
      </c>
      <c r="I493" t="s">
        <v>457</v>
      </c>
      <c r="J493" t="s">
        <v>442</v>
      </c>
      <c r="K493" t="s">
        <v>382</v>
      </c>
      <c r="L493" s="39">
        <v>0.36746527777777777</v>
      </c>
      <c r="M493" s="39">
        <v>0.77021990740740742</v>
      </c>
      <c r="N493">
        <v>9.67</v>
      </c>
      <c r="O493" t="s">
        <v>754</v>
      </c>
      <c r="P493">
        <v>0</v>
      </c>
      <c r="Q493" t="s">
        <v>1220</v>
      </c>
      <c r="R493">
        <v>0.99</v>
      </c>
      <c r="S493">
        <v>0.99</v>
      </c>
      <c r="T493" t="s">
        <v>466</v>
      </c>
      <c r="U493" t="s">
        <v>108</v>
      </c>
      <c r="V493" s="101">
        <v>46230</v>
      </c>
      <c r="W493">
        <v>1</v>
      </c>
      <c r="X493">
        <v>1</v>
      </c>
      <c r="Y493">
        <v>0</v>
      </c>
      <c r="Z493">
        <v>0</v>
      </c>
      <c r="AA493">
        <v>0</v>
      </c>
    </row>
    <row r="494" spans="1:27" x14ac:dyDescent="0.3">
      <c r="A494">
        <v>1031</v>
      </c>
      <c r="B494">
        <v>26</v>
      </c>
      <c r="C494">
        <v>1</v>
      </c>
      <c r="D494">
        <v>0</v>
      </c>
      <c r="E494">
        <v>0</v>
      </c>
      <c r="F494" t="s">
        <v>1205</v>
      </c>
      <c r="G494" s="101">
        <v>46231</v>
      </c>
      <c r="H494" t="s">
        <v>217</v>
      </c>
      <c r="I494" t="s">
        <v>457</v>
      </c>
      <c r="J494" t="s">
        <v>442</v>
      </c>
      <c r="K494" t="s">
        <v>382</v>
      </c>
      <c r="L494" s="39">
        <v>0.36758101851851854</v>
      </c>
      <c r="M494" s="39">
        <v>0.76853009259259264</v>
      </c>
      <c r="N494">
        <v>9.6199999999999992</v>
      </c>
      <c r="O494" t="s">
        <v>1221</v>
      </c>
      <c r="P494">
        <v>0</v>
      </c>
      <c r="Q494" t="s">
        <v>1208</v>
      </c>
      <c r="R494">
        <v>0.94</v>
      </c>
      <c r="S494">
        <v>0.94</v>
      </c>
      <c r="T494" t="s">
        <v>466</v>
      </c>
      <c r="U494" t="s">
        <v>108</v>
      </c>
      <c r="V494" s="101">
        <v>46231</v>
      </c>
      <c r="W494">
        <v>1</v>
      </c>
      <c r="X494">
        <v>1</v>
      </c>
      <c r="Y494">
        <v>0</v>
      </c>
      <c r="Z494">
        <v>0</v>
      </c>
      <c r="AA494">
        <v>0</v>
      </c>
    </row>
    <row r="495" spans="1:27" x14ac:dyDescent="0.3">
      <c r="A495">
        <v>1031</v>
      </c>
      <c r="B495">
        <v>26</v>
      </c>
      <c r="C495">
        <v>1</v>
      </c>
      <c r="D495">
        <v>0</v>
      </c>
      <c r="E495">
        <v>0</v>
      </c>
      <c r="F495" t="s">
        <v>1205</v>
      </c>
      <c r="G495" s="101">
        <v>46232</v>
      </c>
      <c r="H495" t="s">
        <v>217</v>
      </c>
      <c r="I495" t="s">
        <v>457</v>
      </c>
      <c r="J495" t="s">
        <v>442</v>
      </c>
      <c r="K495" t="s">
        <v>382</v>
      </c>
      <c r="L495" s="39">
        <v>0.36891203703703701</v>
      </c>
      <c r="M495" s="39">
        <v>0.76792824074074073</v>
      </c>
      <c r="N495">
        <v>9.58</v>
      </c>
      <c r="O495" t="s">
        <v>1222</v>
      </c>
      <c r="P495">
        <v>0</v>
      </c>
      <c r="Q495" t="s">
        <v>1223</v>
      </c>
      <c r="R495">
        <v>0.93</v>
      </c>
      <c r="S495">
        <v>0.93</v>
      </c>
      <c r="T495" t="s">
        <v>466</v>
      </c>
      <c r="U495" t="s">
        <v>108</v>
      </c>
      <c r="V495" s="101">
        <v>46232</v>
      </c>
      <c r="W495">
        <v>1</v>
      </c>
      <c r="X495">
        <v>1</v>
      </c>
      <c r="Y495">
        <v>0</v>
      </c>
      <c r="Z495">
        <v>0</v>
      </c>
      <c r="AA495">
        <v>0</v>
      </c>
    </row>
    <row r="496" spans="1:27" x14ac:dyDescent="0.3">
      <c r="A496">
        <v>1031</v>
      </c>
      <c r="B496">
        <v>26</v>
      </c>
      <c r="C496">
        <v>1</v>
      </c>
      <c r="D496">
        <v>0</v>
      </c>
      <c r="E496">
        <v>0</v>
      </c>
      <c r="F496" t="s">
        <v>1205</v>
      </c>
      <c r="G496" s="101">
        <v>46233</v>
      </c>
      <c r="H496" t="s">
        <v>217</v>
      </c>
      <c r="I496" t="s">
        <v>457</v>
      </c>
      <c r="J496" t="s">
        <v>442</v>
      </c>
      <c r="K496" t="s">
        <v>382</v>
      </c>
      <c r="L496" s="39">
        <v>0.37023148148148149</v>
      </c>
      <c r="M496" s="39">
        <v>0.76792824074074073</v>
      </c>
      <c r="N496">
        <v>9.5399999999999991</v>
      </c>
      <c r="O496" t="s">
        <v>1224</v>
      </c>
      <c r="P496">
        <v>0</v>
      </c>
      <c r="Q496" t="s">
        <v>1223</v>
      </c>
      <c r="R496">
        <v>0.93</v>
      </c>
      <c r="S496">
        <v>0.93</v>
      </c>
      <c r="T496" t="s">
        <v>466</v>
      </c>
      <c r="U496" t="s">
        <v>108</v>
      </c>
      <c r="V496" s="101">
        <v>46233</v>
      </c>
      <c r="W496">
        <v>1</v>
      </c>
      <c r="X496">
        <v>1</v>
      </c>
      <c r="Y496">
        <v>0</v>
      </c>
      <c r="Z496">
        <v>0</v>
      </c>
      <c r="AA496">
        <v>0</v>
      </c>
    </row>
    <row r="497" spans="1:27" x14ac:dyDescent="0.3">
      <c r="A497">
        <v>1031</v>
      </c>
      <c r="B497">
        <v>26</v>
      </c>
      <c r="C497">
        <v>1</v>
      </c>
      <c r="D497">
        <v>0</v>
      </c>
      <c r="E497">
        <v>0</v>
      </c>
      <c r="F497" t="s">
        <v>1205</v>
      </c>
      <c r="G497" s="101">
        <v>46234</v>
      </c>
      <c r="H497" t="s">
        <v>217</v>
      </c>
      <c r="I497" t="s">
        <v>457</v>
      </c>
      <c r="J497" t="s">
        <v>442</v>
      </c>
      <c r="K497" t="s">
        <v>382</v>
      </c>
      <c r="L497" s="39">
        <v>0.36906250000000002</v>
      </c>
      <c r="M497" s="39">
        <v>0.76790509259259254</v>
      </c>
      <c r="N497">
        <v>9.57</v>
      </c>
      <c r="O497" t="s">
        <v>647</v>
      </c>
      <c r="P497">
        <v>0</v>
      </c>
      <c r="Q497" t="s">
        <v>778</v>
      </c>
      <c r="R497">
        <v>0.93</v>
      </c>
      <c r="S497">
        <v>0.93</v>
      </c>
      <c r="T497" t="s">
        <v>466</v>
      </c>
      <c r="U497" t="s">
        <v>108</v>
      </c>
      <c r="V497" s="101">
        <v>46234</v>
      </c>
      <c r="W497">
        <v>1</v>
      </c>
      <c r="X497">
        <v>1</v>
      </c>
      <c r="Y497">
        <v>0</v>
      </c>
      <c r="Z497">
        <v>0</v>
      </c>
      <c r="AA497">
        <v>0</v>
      </c>
    </row>
    <row r="498" spans="1:27" x14ac:dyDescent="0.3">
      <c r="A498">
        <v>1035</v>
      </c>
      <c r="B498">
        <v>0</v>
      </c>
      <c r="C498">
        <v>27</v>
      </c>
      <c r="D498">
        <v>0</v>
      </c>
      <c r="E498">
        <v>0</v>
      </c>
      <c r="F498" t="s">
        <v>1225</v>
      </c>
      <c r="G498" s="101">
        <v>46204</v>
      </c>
      <c r="H498" t="s">
        <v>471</v>
      </c>
      <c r="I498" t="s">
        <v>457</v>
      </c>
      <c r="J498" t="s">
        <v>442</v>
      </c>
      <c r="K498" t="s">
        <v>383</v>
      </c>
      <c r="L498" s="39">
        <v>0</v>
      </c>
      <c r="M498" s="39">
        <v>0</v>
      </c>
      <c r="N498">
        <v>0</v>
      </c>
      <c r="O498" t="s">
        <v>384</v>
      </c>
      <c r="P498">
        <v>9</v>
      </c>
      <c r="Q498" t="s">
        <v>385</v>
      </c>
      <c r="R498">
        <v>0</v>
      </c>
      <c r="S498">
        <v>9</v>
      </c>
      <c r="T498" t="s">
        <v>472</v>
      </c>
      <c r="U498" t="s">
        <v>366</v>
      </c>
      <c r="V498" s="101">
        <v>46204</v>
      </c>
      <c r="W498">
        <v>0</v>
      </c>
      <c r="X498">
        <v>0</v>
      </c>
      <c r="Y498">
        <v>0</v>
      </c>
      <c r="Z498">
        <v>0</v>
      </c>
      <c r="AA498">
        <v>0</v>
      </c>
    </row>
    <row r="499" spans="1:27" x14ac:dyDescent="0.3">
      <c r="A499">
        <v>1035</v>
      </c>
      <c r="B499">
        <v>0</v>
      </c>
      <c r="C499">
        <v>27</v>
      </c>
      <c r="D499">
        <v>0</v>
      </c>
      <c r="E499">
        <v>0</v>
      </c>
      <c r="F499" t="s">
        <v>1225</v>
      </c>
      <c r="G499" s="101">
        <v>46205</v>
      </c>
      <c r="H499" t="s">
        <v>471</v>
      </c>
      <c r="I499" t="s">
        <v>457</v>
      </c>
      <c r="J499" t="s">
        <v>442</v>
      </c>
      <c r="K499" t="s">
        <v>383</v>
      </c>
      <c r="L499" s="39">
        <v>0</v>
      </c>
      <c r="M499" s="39">
        <v>0</v>
      </c>
      <c r="N499">
        <v>0</v>
      </c>
      <c r="O499" t="s">
        <v>384</v>
      </c>
      <c r="P499">
        <v>9</v>
      </c>
      <c r="Q499" t="s">
        <v>385</v>
      </c>
      <c r="R499">
        <v>0</v>
      </c>
      <c r="S499">
        <v>9</v>
      </c>
      <c r="T499" t="s">
        <v>472</v>
      </c>
      <c r="U499" t="s">
        <v>366</v>
      </c>
      <c r="V499" s="101">
        <v>46205</v>
      </c>
      <c r="W499">
        <v>0</v>
      </c>
      <c r="X499">
        <v>0</v>
      </c>
      <c r="Y499">
        <v>0</v>
      </c>
      <c r="Z499">
        <v>0</v>
      </c>
      <c r="AA499">
        <v>0</v>
      </c>
    </row>
    <row r="500" spans="1:27" x14ac:dyDescent="0.3">
      <c r="A500">
        <v>1035</v>
      </c>
      <c r="B500">
        <v>0</v>
      </c>
      <c r="C500">
        <v>27</v>
      </c>
      <c r="D500">
        <v>0</v>
      </c>
      <c r="E500">
        <v>0</v>
      </c>
      <c r="F500" t="s">
        <v>1225</v>
      </c>
      <c r="G500" s="101">
        <v>46206</v>
      </c>
      <c r="H500" t="s">
        <v>471</v>
      </c>
      <c r="I500" t="s">
        <v>457</v>
      </c>
      <c r="J500" t="s">
        <v>442</v>
      </c>
      <c r="K500" t="s">
        <v>383</v>
      </c>
      <c r="L500" s="39">
        <v>0</v>
      </c>
      <c r="M500" s="39">
        <v>0</v>
      </c>
      <c r="N500">
        <v>0</v>
      </c>
      <c r="O500" t="s">
        <v>384</v>
      </c>
      <c r="P500">
        <v>9</v>
      </c>
      <c r="Q500" t="s">
        <v>385</v>
      </c>
      <c r="R500">
        <v>0</v>
      </c>
      <c r="S500">
        <v>9</v>
      </c>
      <c r="T500" t="s">
        <v>472</v>
      </c>
      <c r="U500" t="s">
        <v>366</v>
      </c>
      <c r="V500" s="101">
        <v>46206</v>
      </c>
      <c r="W500">
        <v>0</v>
      </c>
      <c r="X500">
        <v>0</v>
      </c>
      <c r="Y500">
        <v>0</v>
      </c>
      <c r="Z500">
        <v>0</v>
      </c>
      <c r="AA500">
        <v>0</v>
      </c>
    </row>
    <row r="501" spans="1:27" x14ac:dyDescent="0.3">
      <c r="A501">
        <v>1035</v>
      </c>
      <c r="B501">
        <v>0</v>
      </c>
      <c r="C501">
        <v>27</v>
      </c>
      <c r="D501">
        <v>0</v>
      </c>
      <c r="E501">
        <v>0</v>
      </c>
      <c r="F501" t="s">
        <v>1225</v>
      </c>
      <c r="G501" s="101">
        <v>46207</v>
      </c>
      <c r="H501" t="s">
        <v>471</v>
      </c>
      <c r="I501" t="s">
        <v>457</v>
      </c>
      <c r="J501" t="s">
        <v>442</v>
      </c>
      <c r="K501" t="s">
        <v>383</v>
      </c>
      <c r="L501" s="39">
        <v>0</v>
      </c>
      <c r="M501" s="39">
        <v>0</v>
      </c>
      <c r="N501">
        <v>0</v>
      </c>
      <c r="O501" t="s">
        <v>384</v>
      </c>
      <c r="P501">
        <v>9</v>
      </c>
      <c r="Q501" t="s">
        <v>385</v>
      </c>
      <c r="R501">
        <v>0</v>
      </c>
      <c r="S501">
        <v>9</v>
      </c>
      <c r="T501" t="s">
        <v>472</v>
      </c>
      <c r="U501" t="s">
        <v>366</v>
      </c>
      <c r="V501" s="101">
        <v>46207</v>
      </c>
      <c r="W501">
        <v>0</v>
      </c>
      <c r="X501">
        <v>0</v>
      </c>
      <c r="Y501">
        <v>0</v>
      </c>
      <c r="Z501">
        <v>0</v>
      </c>
      <c r="AA501">
        <v>0</v>
      </c>
    </row>
    <row r="502" spans="1:27" x14ac:dyDescent="0.3">
      <c r="A502">
        <v>1035</v>
      </c>
      <c r="B502">
        <v>0</v>
      </c>
      <c r="C502">
        <v>27</v>
      </c>
      <c r="D502">
        <v>0</v>
      </c>
      <c r="E502">
        <v>0</v>
      </c>
      <c r="F502" t="s">
        <v>1225</v>
      </c>
      <c r="G502" s="101">
        <v>46208</v>
      </c>
      <c r="H502" t="s">
        <v>471</v>
      </c>
      <c r="I502" t="s">
        <v>457</v>
      </c>
      <c r="J502" t="s">
        <v>442</v>
      </c>
      <c r="K502" t="s">
        <v>383</v>
      </c>
      <c r="L502" s="39">
        <v>0</v>
      </c>
      <c r="M502" s="39">
        <v>0</v>
      </c>
      <c r="N502">
        <v>0</v>
      </c>
      <c r="O502" t="s">
        <v>384</v>
      </c>
      <c r="P502">
        <v>9</v>
      </c>
      <c r="Q502" t="s">
        <v>385</v>
      </c>
      <c r="R502">
        <v>0</v>
      </c>
      <c r="S502">
        <v>9</v>
      </c>
      <c r="T502" t="s">
        <v>472</v>
      </c>
      <c r="U502" t="s">
        <v>366</v>
      </c>
      <c r="V502" s="101">
        <v>46208</v>
      </c>
      <c r="W502">
        <v>0</v>
      </c>
      <c r="X502">
        <v>0</v>
      </c>
      <c r="Y502">
        <v>0</v>
      </c>
      <c r="Z502">
        <v>0</v>
      </c>
      <c r="AA502">
        <v>0</v>
      </c>
    </row>
    <row r="503" spans="1:27" x14ac:dyDescent="0.3">
      <c r="A503">
        <v>1035</v>
      </c>
      <c r="B503">
        <v>0</v>
      </c>
      <c r="C503">
        <v>27</v>
      </c>
      <c r="D503">
        <v>0</v>
      </c>
      <c r="E503">
        <v>0</v>
      </c>
      <c r="F503" t="s">
        <v>1225</v>
      </c>
      <c r="G503" s="101">
        <v>46209</v>
      </c>
      <c r="H503" t="s">
        <v>471</v>
      </c>
      <c r="I503" t="s">
        <v>457</v>
      </c>
      <c r="J503" t="s">
        <v>442</v>
      </c>
      <c r="K503" t="s">
        <v>383</v>
      </c>
      <c r="L503" s="39">
        <v>0</v>
      </c>
      <c r="M503" s="39">
        <v>0</v>
      </c>
      <c r="N503">
        <v>0</v>
      </c>
      <c r="O503" t="s">
        <v>384</v>
      </c>
      <c r="P503">
        <v>9</v>
      </c>
      <c r="Q503" t="s">
        <v>385</v>
      </c>
      <c r="R503">
        <v>0</v>
      </c>
      <c r="S503">
        <v>9</v>
      </c>
      <c r="T503" t="s">
        <v>472</v>
      </c>
      <c r="U503" t="s">
        <v>366</v>
      </c>
      <c r="V503" s="101">
        <v>46209</v>
      </c>
      <c r="W503">
        <v>0</v>
      </c>
      <c r="X503">
        <v>0</v>
      </c>
      <c r="Y503">
        <v>0</v>
      </c>
      <c r="Z503">
        <v>0</v>
      </c>
      <c r="AA503">
        <v>0</v>
      </c>
    </row>
    <row r="504" spans="1:27" x14ac:dyDescent="0.3">
      <c r="A504">
        <v>1035</v>
      </c>
      <c r="B504">
        <v>0</v>
      </c>
      <c r="C504">
        <v>27</v>
      </c>
      <c r="D504">
        <v>0</v>
      </c>
      <c r="E504">
        <v>0</v>
      </c>
      <c r="F504" t="s">
        <v>1225</v>
      </c>
      <c r="G504" s="101">
        <v>46210</v>
      </c>
      <c r="H504" t="s">
        <v>471</v>
      </c>
      <c r="I504" t="s">
        <v>457</v>
      </c>
      <c r="J504" t="s">
        <v>442</v>
      </c>
      <c r="K504" t="s">
        <v>383</v>
      </c>
      <c r="L504" s="39">
        <v>0</v>
      </c>
      <c r="M504" s="39">
        <v>0</v>
      </c>
      <c r="N504">
        <v>0</v>
      </c>
      <c r="O504" t="s">
        <v>384</v>
      </c>
      <c r="P504">
        <v>9</v>
      </c>
      <c r="Q504" t="s">
        <v>385</v>
      </c>
      <c r="R504">
        <v>0</v>
      </c>
      <c r="S504">
        <v>9</v>
      </c>
      <c r="T504" t="s">
        <v>472</v>
      </c>
      <c r="U504" t="s">
        <v>366</v>
      </c>
      <c r="V504" s="101">
        <v>46210</v>
      </c>
      <c r="W504">
        <v>0</v>
      </c>
      <c r="X504">
        <v>0</v>
      </c>
      <c r="Y504">
        <v>0</v>
      </c>
      <c r="Z504">
        <v>0</v>
      </c>
      <c r="AA504">
        <v>0</v>
      </c>
    </row>
    <row r="505" spans="1:27" x14ac:dyDescent="0.3">
      <c r="A505">
        <v>1035</v>
      </c>
      <c r="B505">
        <v>0</v>
      </c>
      <c r="C505">
        <v>27</v>
      </c>
      <c r="D505">
        <v>0</v>
      </c>
      <c r="E505">
        <v>0</v>
      </c>
      <c r="F505" t="s">
        <v>1225</v>
      </c>
      <c r="G505" s="101">
        <v>46211</v>
      </c>
      <c r="H505" t="s">
        <v>471</v>
      </c>
      <c r="I505" t="s">
        <v>457</v>
      </c>
      <c r="J505" t="s">
        <v>442</v>
      </c>
      <c r="K505" t="s">
        <v>383</v>
      </c>
      <c r="L505" s="39">
        <v>0</v>
      </c>
      <c r="M505" s="39">
        <v>0</v>
      </c>
      <c r="N505">
        <v>0</v>
      </c>
      <c r="O505" t="s">
        <v>384</v>
      </c>
      <c r="P505">
        <v>9</v>
      </c>
      <c r="Q505" t="s">
        <v>385</v>
      </c>
      <c r="R505">
        <v>0</v>
      </c>
      <c r="S505">
        <v>9</v>
      </c>
      <c r="T505" t="s">
        <v>472</v>
      </c>
      <c r="U505" t="s">
        <v>366</v>
      </c>
      <c r="V505" s="101">
        <v>46211</v>
      </c>
      <c r="W505">
        <v>0</v>
      </c>
      <c r="X505">
        <v>0</v>
      </c>
      <c r="Y505">
        <v>0</v>
      </c>
      <c r="Z505">
        <v>0</v>
      </c>
      <c r="AA505">
        <v>0</v>
      </c>
    </row>
    <row r="506" spans="1:27" x14ac:dyDescent="0.3">
      <c r="A506">
        <v>1035</v>
      </c>
      <c r="B506">
        <v>0</v>
      </c>
      <c r="C506">
        <v>27</v>
      </c>
      <c r="D506">
        <v>0</v>
      </c>
      <c r="E506">
        <v>0</v>
      </c>
      <c r="F506" t="s">
        <v>1225</v>
      </c>
      <c r="G506" s="101">
        <v>46212</v>
      </c>
      <c r="H506" t="s">
        <v>471</v>
      </c>
      <c r="I506" t="s">
        <v>457</v>
      </c>
      <c r="J506" t="s">
        <v>442</v>
      </c>
      <c r="K506" t="s">
        <v>383</v>
      </c>
      <c r="L506" s="39">
        <v>0</v>
      </c>
      <c r="M506" s="39">
        <v>0</v>
      </c>
      <c r="N506">
        <v>0</v>
      </c>
      <c r="O506" t="s">
        <v>384</v>
      </c>
      <c r="P506">
        <v>9</v>
      </c>
      <c r="Q506" t="s">
        <v>385</v>
      </c>
      <c r="R506">
        <v>0</v>
      </c>
      <c r="S506">
        <v>9</v>
      </c>
      <c r="T506" t="s">
        <v>472</v>
      </c>
      <c r="U506" t="s">
        <v>366</v>
      </c>
      <c r="V506" s="101">
        <v>46212</v>
      </c>
      <c r="W506">
        <v>0</v>
      </c>
      <c r="X506">
        <v>0</v>
      </c>
      <c r="Y506">
        <v>0</v>
      </c>
      <c r="Z506">
        <v>0</v>
      </c>
      <c r="AA506">
        <v>0</v>
      </c>
    </row>
    <row r="507" spans="1:27" x14ac:dyDescent="0.3">
      <c r="A507">
        <v>1035</v>
      </c>
      <c r="B507">
        <v>0</v>
      </c>
      <c r="C507">
        <v>27</v>
      </c>
      <c r="D507">
        <v>0</v>
      </c>
      <c r="E507">
        <v>0</v>
      </c>
      <c r="F507" t="s">
        <v>1225</v>
      </c>
      <c r="G507" s="101">
        <v>46213</v>
      </c>
      <c r="H507" t="s">
        <v>471</v>
      </c>
      <c r="I507" t="s">
        <v>457</v>
      </c>
      <c r="J507" t="s">
        <v>442</v>
      </c>
      <c r="K507" t="s">
        <v>383</v>
      </c>
      <c r="L507" s="39">
        <v>0</v>
      </c>
      <c r="M507" s="39">
        <v>0</v>
      </c>
      <c r="N507">
        <v>0</v>
      </c>
      <c r="O507" t="s">
        <v>384</v>
      </c>
      <c r="P507">
        <v>9</v>
      </c>
      <c r="Q507" t="s">
        <v>385</v>
      </c>
      <c r="R507">
        <v>0</v>
      </c>
      <c r="S507">
        <v>9</v>
      </c>
      <c r="T507" t="s">
        <v>472</v>
      </c>
      <c r="U507" t="s">
        <v>366</v>
      </c>
      <c r="V507" s="101">
        <v>46213</v>
      </c>
      <c r="W507">
        <v>0</v>
      </c>
      <c r="X507">
        <v>0</v>
      </c>
      <c r="Y507">
        <v>0</v>
      </c>
      <c r="Z507">
        <v>0</v>
      </c>
      <c r="AA507">
        <v>0</v>
      </c>
    </row>
    <row r="508" spans="1:27" x14ac:dyDescent="0.3">
      <c r="A508">
        <v>1035</v>
      </c>
      <c r="B508">
        <v>0</v>
      </c>
      <c r="C508">
        <v>27</v>
      </c>
      <c r="D508">
        <v>0</v>
      </c>
      <c r="E508">
        <v>0</v>
      </c>
      <c r="F508" t="s">
        <v>1225</v>
      </c>
      <c r="G508" s="101">
        <v>46214</v>
      </c>
      <c r="H508" t="s">
        <v>471</v>
      </c>
      <c r="I508" t="s">
        <v>457</v>
      </c>
      <c r="J508" t="s">
        <v>442</v>
      </c>
      <c r="K508" t="s">
        <v>383</v>
      </c>
      <c r="L508" s="39">
        <v>0</v>
      </c>
      <c r="M508" s="39">
        <v>0</v>
      </c>
      <c r="N508">
        <v>0</v>
      </c>
      <c r="O508" t="s">
        <v>384</v>
      </c>
      <c r="P508">
        <v>9</v>
      </c>
      <c r="Q508" t="s">
        <v>385</v>
      </c>
      <c r="R508">
        <v>0</v>
      </c>
      <c r="S508">
        <v>9</v>
      </c>
      <c r="T508" t="s">
        <v>472</v>
      </c>
      <c r="U508" t="s">
        <v>366</v>
      </c>
      <c r="V508" s="101">
        <v>46214</v>
      </c>
      <c r="W508">
        <v>0</v>
      </c>
      <c r="X508">
        <v>0</v>
      </c>
      <c r="Y508">
        <v>0</v>
      </c>
      <c r="Z508">
        <v>0</v>
      </c>
      <c r="AA508">
        <v>0</v>
      </c>
    </row>
    <row r="509" spans="1:27" x14ac:dyDescent="0.3">
      <c r="A509">
        <v>1035</v>
      </c>
      <c r="B509">
        <v>0</v>
      </c>
      <c r="C509">
        <v>27</v>
      </c>
      <c r="D509">
        <v>0</v>
      </c>
      <c r="E509">
        <v>0</v>
      </c>
      <c r="F509" t="s">
        <v>1225</v>
      </c>
      <c r="G509" s="101">
        <v>46215</v>
      </c>
      <c r="H509" t="s">
        <v>471</v>
      </c>
      <c r="I509" t="s">
        <v>457</v>
      </c>
      <c r="J509" t="s">
        <v>442</v>
      </c>
      <c r="K509" t="s">
        <v>383</v>
      </c>
      <c r="L509" s="39">
        <v>0</v>
      </c>
      <c r="M509" s="39">
        <v>0</v>
      </c>
      <c r="N509">
        <v>0</v>
      </c>
      <c r="O509" t="s">
        <v>384</v>
      </c>
      <c r="P509">
        <v>9</v>
      </c>
      <c r="Q509" t="s">
        <v>385</v>
      </c>
      <c r="R509">
        <v>0</v>
      </c>
      <c r="S509">
        <v>9</v>
      </c>
      <c r="T509" t="s">
        <v>472</v>
      </c>
      <c r="U509" t="s">
        <v>366</v>
      </c>
      <c r="V509" s="101">
        <v>46215</v>
      </c>
      <c r="W509">
        <v>0</v>
      </c>
      <c r="X509">
        <v>0</v>
      </c>
      <c r="Y509">
        <v>0</v>
      </c>
      <c r="Z509">
        <v>0</v>
      </c>
      <c r="AA509">
        <v>0</v>
      </c>
    </row>
    <row r="510" spans="1:27" x14ac:dyDescent="0.3">
      <c r="A510">
        <v>1035</v>
      </c>
      <c r="B510">
        <v>0</v>
      </c>
      <c r="C510">
        <v>27</v>
      </c>
      <c r="D510">
        <v>0</v>
      </c>
      <c r="E510">
        <v>0</v>
      </c>
      <c r="F510" t="s">
        <v>1225</v>
      </c>
      <c r="G510" s="101">
        <v>46216</v>
      </c>
      <c r="H510" t="s">
        <v>471</v>
      </c>
      <c r="I510" t="s">
        <v>457</v>
      </c>
      <c r="J510" t="s">
        <v>442</v>
      </c>
      <c r="K510" t="s">
        <v>383</v>
      </c>
      <c r="L510" s="39">
        <v>0</v>
      </c>
      <c r="M510" s="39">
        <v>0</v>
      </c>
      <c r="N510">
        <v>0</v>
      </c>
      <c r="O510" t="s">
        <v>384</v>
      </c>
      <c r="P510">
        <v>9</v>
      </c>
      <c r="Q510" t="s">
        <v>385</v>
      </c>
      <c r="R510">
        <v>0</v>
      </c>
      <c r="S510">
        <v>9</v>
      </c>
      <c r="T510" t="s">
        <v>472</v>
      </c>
      <c r="U510" t="s">
        <v>366</v>
      </c>
      <c r="V510" s="101">
        <v>46216</v>
      </c>
      <c r="W510">
        <v>0</v>
      </c>
      <c r="X510">
        <v>0</v>
      </c>
      <c r="Y510">
        <v>0</v>
      </c>
      <c r="Z510">
        <v>0</v>
      </c>
      <c r="AA510">
        <v>0</v>
      </c>
    </row>
    <row r="511" spans="1:27" x14ac:dyDescent="0.3">
      <c r="A511">
        <v>1035</v>
      </c>
      <c r="B511">
        <v>0</v>
      </c>
      <c r="C511">
        <v>27</v>
      </c>
      <c r="D511">
        <v>0</v>
      </c>
      <c r="E511">
        <v>0</v>
      </c>
      <c r="F511" t="s">
        <v>1225</v>
      </c>
      <c r="G511" s="101">
        <v>46217</v>
      </c>
      <c r="H511" t="s">
        <v>471</v>
      </c>
      <c r="I511" t="s">
        <v>457</v>
      </c>
      <c r="J511" t="s">
        <v>442</v>
      </c>
      <c r="K511" t="s">
        <v>383</v>
      </c>
      <c r="L511" s="39">
        <v>0</v>
      </c>
      <c r="M511" s="39">
        <v>0</v>
      </c>
      <c r="N511">
        <v>0</v>
      </c>
      <c r="O511" t="s">
        <v>384</v>
      </c>
      <c r="P511">
        <v>9</v>
      </c>
      <c r="Q511" t="s">
        <v>385</v>
      </c>
      <c r="R511">
        <v>0</v>
      </c>
      <c r="S511">
        <v>9</v>
      </c>
      <c r="T511" t="s">
        <v>472</v>
      </c>
      <c r="U511" t="s">
        <v>366</v>
      </c>
      <c r="V511" s="101">
        <v>46217</v>
      </c>
      <c r="W511">
        <v>0</v>
      </c>
      <c r="X511">
        <v>0</v>
      </c>
      <c r="Y511">
        <v>0</v>
      </c>
      <c r="Z511">
        <v>0</v>
      </c>
      <c r="AA511">
        <v>0</v>
      </c>
    </row>
    <row r="512" spans="1:27" x14ac:dyDescent="0.3">
      <c r="A512">
        <v>1035</v>
      </c>
      <c r="B512">
        <v>0</v>
      </c>
      <c r="C512">
        <v>27</v>
      </c>
      <c r="D512">
        <v>0</v>
      </c>
      <c r="E512">
        <v>0</v>
      </c>
      <c r="F512" t="s">
        <v>1225</v>
      </c>
      <c r="G512" s="101">
        <v>46218</v>
      </c>
      <c r="H512" t="s">
        <v>471</v>
      </c>
      <c r="I512" t="s">
        <v>457</v>
      </c>
      <c r="J512" t="s">
        <v>442</v>
      </c>
      <c r="K512" t="s">
        <v>383</v>
      </c>
      <c r="L512" s="39">
        <v>0</v>
      </c>
      <c r="M512" s="39">
        <v>0</v>
      </c>
      <c r="N512">
        <v>0</v>
      </c>
      <c r="O512" t="s">
        <v>384</v>
      </c>
      <c r="P512">
        <v>9</v>
      </c>
      <c r="Q512" t="s">
        <v>385</v>
      </c>
      <c r="R512">
        <v>0</v>
      </c>
      <c r="S512">
        <v>9</v>
      </c>
      <c r="T512" t="s">
        <v>472</v>
      </c>
      <c r="U512" t="s">
        <v>366</v>
      </c>
      <c r="V512" s="101">
        <v>46218</v>
      </c>
      <c r="W512">
        <v>0</v>
      </c>
      <c r="X512">
        <v>0</v>
      </c>
      <c r="Y512">
        <v>0</v>
      </c>
      <c r="Z512">
        <v>0</v>
      </c>
      <c r="AA512">
        <v>0</v>
      </c>
    </row>
    <row r="513" spans="1:27" x14ac:dyDescent="0.3">
      <c r="A513">
        <v>1035</v>
      </c>
      <c r="B513">
        <v>0</v>
      </c>
      <c r="C513">
        <v>27</v>
      </c>
      <c r="D513">
        <v>0</v>
      </c>
      <c r="E513">
        <v>0</v>
      </c>
      <c r="F513" t="s">
        <v>1225</v>
      </c>
      <c r="G513" s="101">
        <v>46219</v>
      </c>
      <c r="H513" t="s">
        <v>471</v>
      </c>
      <c r="I513" t="s">
        <v>457</v>
      </c>
      <c r="J513" t="s">
        <v>442</v>
      </c>
      <c r="K513" t="s">
        <v>383</v>
      </c>
      <c r="L513" s="39">
        <v>0</v>
      </c>
      <c r="M513" s="39">
        <v>0</v>
      </c>
      <c r="N513">
        <v>0</v>
      </c>
      <c r="O513" t="s">
        <v>384</v>
      </c>
      <c r="P513">
        <v>9</v>
      </c>
      <c r="Q513" t="s">
        <v>385</v>
      </c>
      <c r="R513">
        <v>0</v>
      </c>
      <c r="S513">
        <v>9</v>
      </c>
      <c r="T513" t="s">
        <v>472</v>
      </c>
      <c r="U513" t="s">
        <v>366</v>
      </c>
      <c r="V513" s="101">
        <v>46219</v>
      </c>
      <c r="W513">
        <v>0</v>
      </c>
      <c r="X513">
        <v>0</v>
      </c>
      <c r="Y513">
        <v>0</v>
      </c>
      <c r="Z513">
        <v>0</v>
      </c>
      <c r="AA513">
        <v>0</v>
      </c>
    </row>
    <row r="514" spans="1:27" x14ac:dyDescent="0.3">
      <c r="A514">
        <v>1035</v>
      </c>
      <c r="B514">
        <v>0</v>
      </c>
      <c r="C514">
        <v>27</v>
      </c>
      <c r="D514">
        <v>0</v>
      </c>
      <c r="E514">
        <v>0</v>
      </c>
      <c r="F514" t="s">
        <v>1225</v>
      </c>
      <c r="G514" s="101">
        <v>46220</v>
      </c>
      <c r="H514" t="s">
        <v>471</v>
      </c>
      <c r="I514" t="s">
        <v>457</v>
      </c>
      <c r="J514" t="s">
        <v>442</v>
      </c>
      <c r="K514" t="s">
        <v>383</v>
      </c>
      <c r="L514" s="39">
        <v>0</v>
      </c>
      <c r="M514" s="39">
        <v>0</v>
      </c>
      <c r="N514">
        <v>0</v>
      </c>
      <c r="O514" t="s">
        <v>384</v>
      </c>
      <c r="P514">
        <v>9</v>
      </c>
      <c r="Q514" t="s">
        <v>385</v>
      </c>
      <c r="R514">
        <v>0</v>
      </c>
      <c r="S514">
        <v>9</v>
      </c>
      <c r="T514" t="s">
        <v>472</v>
      </c>
      <c r="U514" t="s">
        <v>366</v>
      </c>
      <c r="V514" s="101">
        <v>46220</v>
      </c>
      <c r="W514">
        <v>0</v>
      </c>
      <c r="X514">
        <v>0</v>
      </c>
      <c r="Y514">
        <v>0</v>
      </c>
      <c r="Z514">
        <v>0</v>
      </c>
      <c r="AA514">
        <v>0</v>
      </c>
    </row>
    <row r="515" spans="1:27" x14ac:dyDescent="0.3">
      <c r="A515">
        <v>1035</v>
      </c>
      <c r="B515">
        <v>0</v>
      </c>
      <c r="C515">
        <v>27</v>
      </c>
      <c r="D515">
        <v>0</v>
      </c>
      <c r="E515">
        <v>0</v>
      </c>
      <c r="F515" t="s">
        <v>1225</v>
      </c>
      <c r="G515" s="101">
        <v>46221</v>
      </c>
      <c r="H515" t="s">
        <v>471</v>
      </c>
      <c r="I515" t="s">
        <v>457</v>
      </c>
      <c r="J515" t="s">
        <v>442</v>
      </c>
      <c r="K515" t="s">
        <v>383</v>
      </c>
      <c r="L515" s="39">
        <v>0</v>
      </c>
      <c r="M515" s="39">
        <v>0</v>
      </c>
      <c r="N515">
        <v>0</v>
      </c>
      <c r="O515" t="s">
        <v>384</v>
      </c>
      <c r="P515">
        <v>9</v>
      </c>
      <c r="Q515" t="s">
        <v>385</v>
      </c>
      <c r="R515">
        <v>0</v>
      </c>
      <c r="S515">
        <v>9</v>
      </c>
      <c r="T515" t="s">
        <v>472</v>
      </c>
      <c r="U515" t="s">
        <v>366</v>
      </c>
      <c r="V515" s="101">
        <v>46221</v>
      </c>
      <c r="W515">
        <v>0</v>
      </c>
      <c r="X515">
        <v>0</v>
      </c>
      <c r="Y515">
        <v>0</v>
      </c>
      <c r="Z515">
        <v>0</v>
      </c>
      <c r="AA515">
        <v>0</v>
      </c>
    </row>
    <row r="516" spans="1:27" x14ac:dyDescent="0.3">
      <c r="A516">
        <v>1035</v>
      </c>
      <c r="B516">
        <v>0</v>
      </c>
      <c r="C516">
        <v>27</v>
      </c>
      <c r="D516">
        <v>0</v>
      </c>
      <c r="E516">
        <v>0</v>
      </c>
      <c r="F516" t="s">
        <v>1225</v>
      </c>
      <c r="G516" s="101">
        <v>46222</v>
      </c>
      <c r="H516" t="s">
        <v>471</v>
      </c>
      <c r="I516" t="s">
        <v>457</v>
      </c>
      <c r="J516" t="s">
        <v>442</v>
      </c>
      <c r="K516" t="s">
        <v>383</v>
      </c>
      <c r="L516" s="39">
        <v>0</v>
      </c>
      <c r="M516" s="39">
        <v>0</v>
      </c>
      <c r="N516">
        <v>0</v>
      </c>
      <c r="O516" t="s">
        <v>384</v>
      </c>
      <c r="P516">
        <v>9</v>
      </c>
      <c r="Q516" t="s">
        <v>385</v>
      </c>
      <c r="R516">
        <v>0</v>
      </c>
      <c r="S516">
        <v>9</v>
      </c>
      <c r="T516" t="s">
        <v>472</v>
      </c>
      <c r="U516" t="s">
        <v>366</v>
      </c>
      <c r="V516" s="101">
        <v>46222</v>
      </c>
      <c r="W516">
        <v>0</v>
      </c>
      <c r="X516">
        <v>0</v>
      </c>
      <c r="Y516">
        <v>0</v>
      </c>
      <c r="Z516">
        <v>0</v>
      </c>
      <c r="AA516">
        <v>0</v>
      </c>
    </row>
    <row r="517" spans="1:27" x14ac:dyDescent="0.3">
      <c r="A517">
        <v>1035</v>
      </c>
      <c r="B517">
        <v>0</v>
      </c>
      <c r="C517">
        <v>27</v>
      </c>
      <c r="D517">
        <v>0</v>
      </c>
      <c r="E517">
        <v>0</v>
      </c>
      <c r="F517" t="s">
        <v>1225</v>
      </c>
      <c r="G517" s="101">
        <v>46223</v>
      </c>
      <c r="H517" t="s">
        <v>471</v>
      </c>
      <c r="I517" t="s">
        <v>457</v>
      </c>
      <c r="J517" t="s">
        <v>442</v>
      </c>
      <c r="K517" t="s">
        <v>383</v>
      </c>
      <c r="L517" s="39">
        <v>0</v>
      </c>
      <c r="M517" s="39">
        <v>0</v>
      </c>
      <c r="N517">
        <v>0</v>
      </c>
      <c r="O517" t="s">
        <v>384</v>
      </c>
      <c r="P517">
        <v>9</v>
      </c>
      <c r="Q517" t="s">
        <v>385</v>
      </c>
      <c r="R517">
        <v>0</v>
      </c>
      <c r="S517">
        <v>9</v>
      </c>
      <c r="T517" t="s">
        <v>472</v>
      </c>
      <c r="U517" t="s">
        <v>366</v>
      </c>
      <c r="V517" s="101">
        <v>46223</v>
      </c>
      <c r="W517">
        <v>0</v>
      </c>
      <c r="X517">
        <v>0</v>
      </c>
      <c r="Y517">
        <v>0</v>
      </c>
      <c r="Z517">
        <v>0</v>
      </c>
      <c r="AA517">
        <v>0</v>
      </c>
    </row>
    <row r="518" spans="1:27" x14ac:dyDescent="0.3">
      <c r="A518">
        <v>1035</v>
      </c>
      <c r="B518">
        <v>0</v>
      </c>
      <c r="C518">
        <v>27</v>
      </c>
      <c r="D518">
        <v>0</v>
      </c>
      <c r="E518">
        <v>0</v>
      </c>
      <c r="F518" t="s">
        <v>1225</v>
      </c>
      <c r="G518" s="101">
        <v>46224</v>
      </c>
      <c r="H518" t="s">
        <v>471</v>
      </c>
      <c r="I518" t="s">
        <v>457</v>
      </c>
      <c r="J518" t="s">
        <v>442</v>
      </c>
      <c r="K518" t="s">
        <v>383</v>
      </c>
      <c r="L518" s="39">
        <v>0</v>
      </c>
      <c r="M518" s="39">
        <v>0</v>
      </c>
      <c r="N518">
        <v>0</v>
      </c>
      <c r="O518" t="s">
        <v>384</v>
      </c>
      <c r="P518">
        <v>9</v>
      </c>
      <c r="Q518" t="s">
        <v>385</v>
      </c>
      <c r="R518">
        <v>0</v>
      </c>
      <c r="S518">
        <v>9</v>
      </c>
      <c r="T518" t="s">
        <v>472</v>
      </c>
      <c r="U518" t="s">
        <v>366</v>
      </c>
      <c r="V518" s="101">
        <v>46224</v>
      </c>
      <c r="W518">
        <v>0</v>
      </c>
      <c r="X518">
        <v>0</v>
      </c>
      <c r="Y518">
        <v>0</v>
      </c>
      <c r="Z518">
        <v>0</v>
      </c>
      <c r="AA518">
        <v>0</v>
      </c>
    </row>
    <row r="519" spans="1:27" x14ac:dyDescent="0.3">
      <c r="A519">
        <v>1035</v>
      </c>
      <c r="B519">
        <v>0</v>
      </c>
      <c r="C519">
        <v>27</v>
      </c>
      <c r="D519">
        <v>0</v>
      </c>
      <c r="E519">
        <v>0</v>
      </c>
      <c r="F519" t="s">
        <v>1225</v>
      </c>
      <c r="G519" s="101">
        <v>46225</v>
      </c>
      <c r="H519" t="s">
        <v>471</v>
      </c>
      <c r="I519" t="s">
        <v>457</v>
      </c>
      <c r="J519" t="s">
        <v>442</v>
      </c>
      <c r="K519" t="s">
        <v>383</v>
      </c>
      <c r="L519" s="39">
        <v>0</v>
      </c>
      <c r="M519" s="39">
        <v>0</v>
      </c>
      <c r="N519">
        <v>0</v>
      </c>
      <c r="O519" t="s">
        <v>384</v>
      </c>
      <c r="P519">
        <v>9</v>
      </c>
      <c r="Q519" t="s">
        <v>385</v>
      </c>
      <c r="R519">
        <v>0</v>
      </c>
      <c r="S519">
        <v>9</v>
      </c>
      <c r="T519" t="s">
        <v>472</v>
      </c>
      <c r="U519" t="s">
        <v>366</v>
      </c>
      <c r="V519" s="101">
        <v>46225</v>
      </c>
      <c r="W519">
        <v>0</v>
      </c>
      <c r="X519">
        <v>0</v>
      </c>
      <c r="Y519">
        <v>0</v>
      </c>
      <c r="Z519">
        <v>0</v>
      </c>
      <c r="AA519">
        <v>0</v>
      </c>
    </row>
    <row r="520" spans="1:27" x14ac:dyDescent="0.3">
      <c r="A520">
        <v>1035</v>
      </c>
      <c r="B520">
        <v>0</v>
      </c>
      <c r="C520">
        <v>27</v>
      </c>
      <c r="D520">
        <v>0</v>
      </c>
      <c r="E520">
        <v>0</v>
      </c>
      <c r="F520" t="s">
        <v>1225</v>
      </c>
      <c r="G520" s="101">
        <v>46226</v>
      </c>
      <c r="H520" t="s">
        <v>471</v>
      </c>
      <c r="I520" t="s">
        <v>457</v>
      </c>
      <c r="J520" t="s">
        <v>442</v>
      </c>
      <c r="K520" t="s">
        <v>383</v>
      </c>
      <c r="L520" s="39">
        <v>0</v>
      </c>
      <c r="M520" s="39">
        <v>0</v>
      </c>
      <c r="N520">
        <v>0</v>
      </c>
      <c r="O520" t="s">
        <v>384</v>
      </c>
      <c r="P520">
        <v>9</v>
      </c>
      <c r="Q520" t="s">
        <v>385</v>
      </c>
      <c r="R520">
        <v>0</v>
      </c>
      <c r="S520">
        <v>9</v>
      </c>
      <c r="T520" t="s">
        <v>472</v>
      </c>
      <c r="U520" t="s">
        <v>366</v>
      </c>
      <c r="V520" s="101">
        <v>46226</v>
      </c>
      <c r="W520">
        <v>0</v>
      </c>
      <c r="X520">
        <v>0</v>
      </c>
      <c r="Y520">
        <v>0</v>
      </c>
      <c r="Z520">
        <v>0</v>
      </c>
      <c r="AA520">
        <v>0</v>
      </c>
    </row>
    <row r="521" spans="1:27" x14ac:dyDescent="0.3">
      <c r="A521">
        <v>1035</v>
      </c>
      <c r="B521">
        <v>0</v>
      </c>
      <c r="C521">
        <v>27</v>
      </c>
      <c r="D521">
        <v>0</v>
      </c>
      <c r="E521">
        <v>0</v>
      </c>
      <c r="F521" t="s">
        <v>1225</v>
      </c>
      <c r="G521" s="101">
        <v>46227</v>
      </c>
      <c r="H521" t="s">
        <v>471</v>
      </c>
      <c r="I521" t="s">
        <v>457</v>
      </c>
      <c r="J521" t="s">
        <v>442</v>
      </c>
      <c r="K521" t="s">
        <v>383</v>
      </c>
      <c r="L521" s="39">
        <v>0</v>
      </c>
      <c r="M521" s="39">
        <v>0</v>
      </c>
      <c r="N521">
        <v>0</v>
      </c>
      <c r="O521" t="s">
        <v>384</v>
      </c>
      <c r="P521">
        <v>9</v>
      </c>
      <c r="Q521" t="s">
        <v>385</v>
      </c>
      <c r="R521">
        <v>0</v>
      </c>
      <c r="S521">
        <v>9</v>
      </c>
      <c r="T521" t="s">
        <v>472</v>
      </c>
      <c r="U521" t="s">
        <v>366</v>
      </c>
      <c r="V521" s="101">
        <v>46227</v>
      </c>
      <c r="W521">
        <v>0</v>
      </c>
      <c r="X521">
        <v>0</v>
      </c>
      <c r="Y521">
        <v>0</v>
      </c>
      <c r="Z521">
        <v>0</v>
      </c>
      <c r="AA521">
        <v>0</v>
      </c>
    </row>
    <row r="522" spans="1:27" x14ac:dyDescent="0.3">
      <c r="A522">
        <v>1035</v>
      </c>
      <c r="B522">
        <v>0</v>
      </c>
      <c r="C522">
        <v>27</v>
      </c>
      <c r="D522">
        <v>0</v>
      </c>
      <c r="E522">
        <v>0</v>
      </c>
      <c r="F522" t="s">
        <v>1225</v>
      </c>
      <c r="G522" s="101">
        <v>46228</v>
      </c>
      <c r="H522" t="s">
        <v>471</v>
      </c>
      <c r="I522" t="s">
        <v>457</v>
      </c>
      <c r="J522" t="s">
        <v>442</v>
      </c>
      <c r="K522" t="s">
        <v>383</v>
      </c>
      <c r="L522" s="39">
        <v>0</v>
      </c>
      <c r="M522" s="39">
        <v>0</v>
      </c>
      <c r="N522">
        <v>0</v>
      </c>
      <c r="O522" t="s">
        <v>384</v>
      </c>
      <c r="P522">
        <v>9</v>
      </c>
      <c r="Q522" t="s">
        <v>385</v>
      </c>
      <c r="R522">
        <v>0</v>
      </c>
      <c r="S522">
        <v>9</v>
      </c>
      <c r="T522" t="s">
        <v>472</v>
      </c>
      <c r="U522" t="s">
        <v>366</v>
      </c>
      <c r="V522" s="101">
        <v>46228</v>
      </c>
      <c r="W522">
        <v>0</v>
      </c>
      <c r="X522">
        <v>0</v>
      </c>
      <c r="Y522">
        <v>0</v>
      </c>
      <c r="Z522">
        <v>0</v>
      </c>
      <c r="AA522">
        <v>0</v>
      </c>
    </row>
    <row r="523" spans="1:27" x14ac:dyDescent="0.3">
      <c r="A523">
        <v>1035</v>
      </c>
      <c r="B523">
        <v>0</v>
      </c>
      <c r="C523">
        <v>27</v>
      </c>
      <c r="D523">
        <v>0</v>
      </c>
      <c r="E523">
        <v>0</v>
      </c>
      <c r="F523" t="s">
        <v>1225</v>
      </c>
      <c r="G523" s="101">
        <v>46229</v>
      </c>
      <c r="H523" t="s">
        <v>471</v>
      </c>
      <c r="I523" t="s">
        <v>457</v>
      </c>
      <c r="J523" t="s">
        <v>442</v>
      </c>
      <c r="K523" t="s">
        <v>383</v>
      </c>
      <c r="L523" s="39">
        <v>0</v>
      </c>
      <c r="M523" s="39">
        <v>0</v>
      </c>
      <c r="N523">
        <v>0</v>
      </c>
      <c r="O523" t="s">
        <v>384</v>
      </c>
      <c r="P523">
        <v>9</v>
      </c>
      <c r="Q523" t="s">
        <v>385</v>
      </c>
      <c r="R523">
        <v>0</v>
      </c>
      <c r="S523">
        <v>9</v>
      </c>
      <c r="T523" t="s">
        <v>472</v>
      </c>
      <c r="U523" t="s">
        <v>366</v>
      </c>
      <c r="V523" s="101">
        <v>46229</v>
      </c>
      <c r="W523">
        <v>0</v>
      </c>
      <c r="X523">
        <v>0</v>
      </c>
      <c r="Y523">
        <v>0</v>
      </c>
      <c r="Z523">
        <v>0</v>
      </c>
      <c r="AA523">
        <v>0</v>
      </c>
    </row>
    <row r="524" spans="1:27" x14ac:dyDescent="0.3">
      <c r="A524">
        <v>1035</v>
      </c>
      <c r="B524">
        <v>0</v>
      </c>
      <c r="C524">
        <v>27</v>
      </c>
      <c r="D524">
        <v>0</v>
      </c>
      <c r="E524">
        <v>0</v>
      </c>
      <c r="F524" t="s">
        <v>1225</v>
      </c>
      <c r="G524" s="101">
        <v>46230</v>
      </c>
      <c r="H524" t="s">
        <v>471</v>
      </c>
      <c r="I524" t="s">
        <v>457</v>
      </c>
      <c r="J524" t="s">
        <v>442</v>
      </c>
      <c r="K524" t="s">
        <v>383</v>
      </c>
      <c r="L524" s="39">
        <v>0</v>
      </c>
      <c r="M524" s="39">
        <v>0</v>
      </c>
      <c r="N524">
        <v>0</v>
      </c>
      <c r="O524" t="s">
        <v>384</v>
      </c>
      <c r="P524">
        <v>9</v>
      </c>
      <c r="Q524" t="s">
        <v>385</v>
      </c>
      <c r="R524">
        <v>0</v>
      </c>
      <c r="S524">
        <v>9</v>
      </c>
      <c r="T524" t="s">
        <v>472</v>
      </c>
      <c r="U524" t="s">
        <v>366</v>
      </c>
      <c r="V524" s="101">
        <v>46230</v>
      </c>
      <c r="W524">
        <v>0</v>
      </c>
      <c r="X524">
        <v>0</v>
      </c>
      <c r="Y524">
        <v>0</v>
      </c>
      <c r="Z524">
        <v>0</v>
      </c>
      <c r="AA524">
        <v>0</v>
      </c>
    </row>
    <row r="525" spans="1:27" x14ac:dyDescent="0.3">
      <c r="A525">
        <v>1035</v>
      </c>
      <c r="B525">
        <v>0</v>
      </c>
      <c r="C525">
        <v>27</v>
      </c>
      <c r="D525">
        <v>0</v>
      </c>
      <c r="E525">
        <v>0</v>
      </c>
      <c r="F525" t="s">
        <v>1225</v>
      </c>
      <c r="G525" s="101">
        <v>46231</v>
      </c>
      <c r="H525" t="s">
        <v>471</v>
      </c>
      <c r="I525" t="s">
        <v>457</v>
      </c>
      <c r="J525" t="s">
        <v>442</v>
      </c>
      <c r="K525" t="s">
        <v>383</v>
      </c>
      <c r="L525" s="39">
        <v>0</v>
      </c>
      <c r="M525" s="39">
        <v>0</v>
      </c>
      <c r="N525">
        <v>0</v>
      </c>
      <c r="O525" t="s">
        <v>384</v>
      </c>
      <c r="P525">
        <v>9</v>
      </c>
      <c r="Q525" t="s">
        <v>385</v>
      </c>
      <c r="R525">
        <v>0</v>
      </c>
      <c r="S525">
        <v>9</v>
      </c>
      <c r="T525" t="s">
        <v>472</v>
      </c>
      <c r="U525" t="s">
        <v>366</v>
      </c>
      <c r="V525" s="101">
        <v>46231</v>
      </c>
      <c r="W525">
        <v>0</v>
      </c>
      <c r="X525">
        <v>0</v>
      </c>
      <c r="Y525">
        <v>0</v>
      </c>
      <c r="Z525">
        <v>0</v>
      </c>
      <c r="AA525">
        <v>0</v>
      </c>
    </row>
    <row r="526" spans="1:27" x14ac:dyDescent="0.3">
      <c r="A526">
        <v>1035</v>
      </c>
      <c r="B526">
        <v>0</v>
      </c>
      <c r="C526">
        <v>27</v>
      </c>
      <c r="D526">
        <v>0</v>
      </c>
      <c r="E526">
        <v>0</v>
      </c>
      <c r="F526" t="s">
        <v>1225</v>
      </c>
      <c r="G526" s="101">
        <v>46232</v>
      </c>
      <c r="H526" t="s">
        <v>471</v>
      </c>
      <c r="I526" t="s">
        <v>457</v>
      </c>
      <c r="J526" t="s">
        <v>442</v>
      </c>
      <c r="K526" t="s">
        <v>383</v>
      </c>
      <c r="L526" s="39">
        <v>0</v>
      </c>
      <c r="M526" s="39">
        <v>0</v>
      </c>
      <c r="N526">
        <v>0</v>
      </c>
      <c r="O526" t="s">
        <v>384</v>
      </c>
      <c r="P526">
        <v>9</v>
      </c>
      <c r="Q526" t="s">
        <v>385</v>
      </c>
      <c r="R526">
        <v>0</v>
      </c>
      <c r="S526">
        <v>9</v>
      </c>
      <c r="T526" t="s">
        <v>472</v>
      </c>
      <c r="U526" t="s">
        <v>366</v>
      </c>
      <c r="V526" s="101">
        <v>46232</v>
      </c>
      <c r="W526">
        <v>0</v>
      </c>
      <c r="X526">
        <v>0</v>
      </c>
      <c r="Y526">
        <v>0</v>
      </c>
      <c r="Z526">
        <v>0</v>
      </c>
      <c r="AA526">
        <v>0</v>
      </c>
    </row>
    <row r="527" spans="1:27" x14ac:dyDescent="0.3">
      <c r="A527">
        <v>1035</v>
      </c>
      <c r="B527">
        <v>0</v>
      </c>
      <c r="C527">
        <v>27</v>
      </c>
      <c r="D527">
        <v>0</v>
      </c>
      <c r="E527">
        <v>0</v>
      </c>
      <c r="F527" t="s">
        <v>1225</v>
      </c>
      <c r="G527" s="101">
        <v>46233</v>
      </c>
      <c r="H527" t="s">
        <v>471</v>
      </c>
      <c r="I527" t="s">
        <v>457</v>
      </c>
      <c r="J527" t="s">
        <v>442</v>
      </c>
      <c r="K527" t="s">
        <v>383</v>
      </c>
      <c r="L527" s="39">
        <v>0</v>
      </c>
      <c r="M527" s="39">
        <v>0</v>
      </c>
      <c r="N527">
        <v>0</v>
      </c>
      <c r="O527" t="s">
        <v>384</v>
      </c>
      <c r="P527">
        <v>9</v>
      </c>
      <c r="Q527" t="s">
        <v>385</v>
      </c>
      <c r="R527">
        <v>0</v>
      </c>
      <c r="S527">
        <v>9</v>
      </c>
      <c r="T527" t="s">
        <v>472</v>
      </c>
      <c r="U527" t="s">
        <v>366</v>
      </c>
      <c r="V527" s="101">
        <v>46233</v>
      </c>
      <c r="W527">
        <v>0</v>
      </c>
      <c r="X527">
        <v>0</v>
      </c>
      <c r="Y527">
        <v>0</v>
      </c>
      <c r="Z527">
        <v>0</v>
      </c>
      <c r="AA527">
        <v>0</v>
      </c>
    </row>
    <row r="528" spans="1:27" x14ac:dyDescent="0.3">
      <c r="A528">
        <v>1035</v>
      </c>
      <c r="B528">
        <v>0</v>
      </c>
      <c r="C528">
        <v>27</v>
      </c>
      <c r="D528">
        <v>0</v>
      </c>
      <c r="E528">
        <v>0</v>
      </c>
      <c r="F528" t="s">
        <v>1225</v>
      </c>
      <c r="G528" s="101">
        <v>46234</v>
      </c>
      <c r="H528" t="s">
        <v>471</v>
      </c>
      <c r="I528" t="s">
        <v>457</v>
      </c>
      <c r="J528" t="s">
        <v>442</v>
      </c>
      <c r="K528" t="s">
        <v>383</v>
      </c>
      <c r="L528" s="39">
        <v>0</v>
      </c>
      <c r="M528" s="39">
        <v>0</v>
      </c>
      <c r="N528">
        <v>0</v>
      </c>
      <c r="O528" t="s">
        <v>384</v>
      </c>
      <c r="P528">
        <v>9</v>
      </c>
      <c r="Q528" t="s">
        <v>385</v>
      </c>
      <c r="R528">
        <v>0</v>
      </c>
      <c r="S528">
        <v>9</v>
      </c>
      <c r="T528" t="s">
        <v>472</v>
      </c>
      <c r="U528" t="s">
        <v>366</v>
      </c>
      <c r="V528" s="101">
        <v>46234</v>
      </c>
      <c r="W528">
        <v>0</v>
      </c>
      <c r="X528">
        <v>0</v>
      </c>
      <c r="Y528">
        <v>0</v>
      </c>
      <c r="Z528">
        <v>0</v>
      </c>
      <c r="AA528">
        <v>0</v>
      </c>
    </row>
    <row r="529" spans="1:27" x14ac:dyDescent="0.3">
      <c r="A529">
        <v>1092</v>
      </c>
      <c r="B529">
        <v>27</v>
      </c>
      <c r="C529">
        <v>0</v>
      </c>
      <c r="D529">
        <v>0</v>
      </c>
      <c r="E529">
        <v>0</v>
      </c>
      <c r="F529" t="s">
        <v>1020</v>
      </c>
      <c r="G529" s="101">
        <v>46204</v>
      </c>
      <c r="H529" t="s">
        <v>152</v>
      </c>
      <c r="I529" t="s">
        <v>457</v>
      </c>
      <c r="J529" t="s">
        <v>387</v>
      </c>
      <c r="K529" t="s">
        <v>382</v>
      </c>
      <c r="L529" s="39">
        <v>0.37385416666666665</v>
      </c>
      <c r="M529" s="39">
        <v>0.72825231481481478</v>
      </c>
      <c r="N529">
        <v>8.51</v>
      </c>
      <c r="O529" t="s">
        <v>928</v>
      </c>
      <c r="P529">
        <v>0</v>
      </c>
      <c r="Q529" t="s">
        <v>782</v>
      </c>
      <c r="R529">
        <v>0</v>
      </c>
      <c r="S529">
        <v>0</v>
      </c>
      <c r="T529" t="s">
        <v>473</v>
      </c>
      <c r="U529" t="s">
        <v>108</v>
      </c>
      <c r="V529" s="101">
        <v>46204</v>
      </c>
      <c r="W529">
        <v>1</v>
      </c>
      <c r="X529">
        <v>1</v>
      </c>
      <c r="Y529">
        <v>0</v>
      </c>
      <c r="Z529">
        <v>0</v>
      </c>
      <c r="AA529">
        <v>0</v>
      </c>
    </row>
    <row r="530" spans="1:27" x14ac:dyDescent="0.3">
      <c r="A530">
        <v>1092</v>
      </c>
      <c r="B530">
        <v>27</v>
      </c>
      <c r="C530">
        <v>0</v>
      </c>
      <c r="D530">
        <v>0</v>
      </c>
      <c r="E530">
        <v>0</v>
      </c>
      <c r="F530" t="s">
        <v>1020</v>
      </c>
      <c r="G530" s="101">
        <v>46205</v>
      </c>
      <c r="H530" t="s">
        <v>152</v>
      </c>
      <c r="I530" t="s">
        <v>457</v>
      </c>
      <c r="J530" t="s">
        <v>387</v>
      </c>
      <c r="K530" t="s">
        <v>382</v>
      </c>
      <c r="L530" s="39">
        <v>0.37929398148148147</v>
      </c>
      <c r="M530" s="39">
        <v>0.72640046296296301</v>
      </c>
      <c r="N530">
        <v>8.33</v>
      </c>
      <c r="O530" t="s">
        <v>1226</v>
      </c>
      <c r="P530">
        <v>0</v>
      </c>
      <c r="Q530" t="s">
        <v>622</v>
      </c>
      <c r="R530">
        <v>0</v>
      </c>
      <c r="S530">
        <v>0</v>
      </c>
      <c r="T530" t="s">
        <v>473</v>
      </c>
      <c r="U530" t="s">
        <v>108</v>
      </c>
      <c r="V530" s="101">
        <v>46205</v>
      </c>
      <c r="W530">
        <v>1</v>
      </c>
      <c r="X530">
        <v>1</v>
      </c>
      <c r="Y530">
        <v>0</v>
      </c>
      <c r="Z530">
        <v>0</v>
      </c>
      <c r="AA530">
        <v>0</v>
      </c>
    </row>
    <row r="531" spans="1:27" x14ac:dyDescent="0.3">
      <c r="A531">
        <v>1092</v>
      </c>
      <c r="B531">
        <v>27</v>
      </c>
      <c r="C531">
        <v>0</v>
      </c>
      <c r="D531">
        <v>0</v>
      </c>
      <c r="E531">
        <v>0</v>
      </c>
      <c r="F531" t="s">
        <v>1020</v>
      </c>
      <c r="G531" s="101">
        <v>46206</v>
      </c>
      <c r="H531" t="s">
        <v>152</v>
      </c>
      <c r="I531" t="s">
        <v>457</v>
      </c>
      <c r="J531" t="s">
        <v>387</v>
      </c>
      <c r="K531" t="s">
        <v>382</v>
      </c>
      <c r="L531" s="39">
        <v>0.36715277777777777</v>
      </c>
      <c r="M531" s="39">
        <v>0.72841435185185188</v>
      </c>
      <c r="N531">
        <v>8.67</v>
      </c>
      <c r="O531" t="s">
        <v>1227</v>
      </c>
      <c r="P531">
        <v>0</v>
      </c>
      <c r="Q531" t="s">
        <v>1228</v>
      </c>
      <c r="R531">
        <v>0</v>
      </c>
      <c r="S531">
        <v>0</v>
      </c>
      <c r="T531" t="s">
        <v>473</v>
      </c>
      <c r="U531" t="s">
        <v>108</v>
      </c>
      <c r="V531" s="101">
        <v>46206</v>
      </c>
      <c r="W531">
        <v>1</v>
      </c>
      <c r="X531">
        <v>1</v>
      </c>
      <c r="Y531">
        <v>0</v>
      </c>
      <c r="Z531">
        <v>0</v>
      </c>
      <c r="AA531">
        <v>0</v>
      </c>
    </row>
    <row r="532" spans="1:27" x14ac:dyDescent="0.3">
      <c r="A532">
        <v>1092</v>
      </c>
      <c r="B532">
        <v>27</v>
      </c>
      <c r="C532">
        <v>0</v>
      </c>
      <c r="D532">
        <v>0</v>
      </c>
      <c r="E532">
        <v>0</v>
      </c>
      <c r="F532" t="s">
        <v>1020</v>
      </c>
      <c r="G532" s="101">
        <v>46207</v>
      </c>
      <c r="H532" t="s">
        <v>152</v>
      </c>
      <c r="I532" t="s">
        <v>457</v>
      </c>
      <c r="J532" t="s">
        <v>387</v>
      </c>
      <c r="K532" t="s">
        <v>382</v>
      </c>
      <c r="L532" s="39">
        <v>0.36905092592592592</v>
      </c>
      <c r="M532" s="39">
        <v>0.72521990740740738</v>
      </c>
      <c r="N532">
        <v>8.5500000000000007</v>
      </c>
      <c r="O532" t="s">
        <v>1229</v>
      </c>
      <c r="P532">
        <v>0</v>
      </c>
      <c r="Q532" t="s">
        <v>731</v>
      </c>
      <c r="R532">
        <v>0</v>
      </c>
      <c r="S532">
        <v>0</v>
      </c>
      <c r="T532" t="s">
        <v>473</v>
      </c>
      <c r="U532" t="s">
        <v>108</v>
      </c>
      <c r="V532" s="101">
        <v>46207</v>
      </c>
      <c r="W532">
        <v>1</v>
      </c>
      <c r="X532">
        <v>1</v>
      </c>
      <c r="Y532">
        <v>0</v>
      </c>
      <c r="Z532">
        <v>0</v>
      </c>
      <c r="AA532">
        <v>0</v>
      </c>
    </row>
    <row r="533" spans="1:27" x14ac:dyDescent="0.3">
      <c r="A533">
        <v>1092</v>
      </c>
      <c r="B533">
        <v>27</v>
      </c>
      <c r="C533">
        <v>0</v>
      </c>
      <c r="D533">
        <v>0</v>
      </c>
      <c r="E533">
        <v>0</v>
      </c>
      <c r="F533" t="s">
        <v>1020</v>
      </c>
      <c r="G533" s="101">
        <v>46208</v>
      </c>
      <c r="H533" t="s">
        <v>152</v>
      </c>
      <c r="I533" t="s">
        <v>457</v>
      </c>
      <c r="J533" t="s">
        <v>387</v>
      </c>
      <c r="K533" t="s">
        <v>383</v>
      </c>
      <c r="L533" s="39">
        <v>0</v>
      </c>
      <c r="M533" s="39">
        <v>0</v>
      </c>
      <c r="N533">
        <v>0</v>
      </c>
      <c r="O533" t="s">
        <v>384</v>
      </c>
      <c r="P533">
        <v>9</v>
      </c>
      <c r="Q533" t="s">
        <v>385</v>
      </c>
      <c r="R533">
        <v>0</v>
      </c>
      <c r="S533">
        <v>9</v>
      </c>
      <c r="T533" t="s">
        <v>473</v>
      </c>
      <c r="U533" t="s">
        <v>366</v>
      </c>
      <c r="V533" s="101">
        <v>46208</v>
      </c>
      <c r="W533">
        <v>0</v>
      </c>
      <c r="X533">
        <v>0</v>
      </c>
      <c r="Y533">
        <v>0</v>
      </c>
      <c r="Z533">
        <v>0</v>
      </c>
      <c r="AA533">
        <v>0</v>
      </c>
    </row>
    <row r="534" spans="1:27" x14ac:dyDescent="0.3">
      <c r="A534">
        <v>1092</v>
      </c>
      <c r="B534">
        <v>27</v>
      </c>
      <c r="C534">
        <v>0</v>
      </c>
      <c r="D534">
        <v>0</v>
      </c>
      <c r="E534">
        <v>0</v>
      </c>
      <c r="F534" t="s">
        <v>1020</v>
      </c>
      <c r="G534" s="101">
        <v>46209</v>
      </c>
      <c r="H534" t="s">
        <v>152</v>
      </c>
      <c r="I534" t="s">
        <v>457</v>
      </c>
      <c r="J534" t="s">
        <v>387</v>
      </c>
      <c r="K534" t="s">
        <v>382</v>
      </c>
      <c r="L534" s="39">
        <v>0.37144675925925924</v>
      </c>
      <c r="M534" s="39">
        <v>0.7668518518518519</v>
      </c>
      <c r="N534">
        <v>9.49</v>
      </c>
      <c r="O534" t="s">
        <v>677</v>
      </c>
      <c r="P534">
        <v>0</v>
      </c>
      <c r="Q534" t="s">
        <v>1230</v>
      </c>
      <c r="R534">
        <v>0.9</v>
      </c>
      <c r="S534">
        <v>0.9</v>
      </c>
      <c r="T534" t="s">
        <v>473</v>
      </c>
      <c r="U534" t="s">
        <v>108</v>
      </c>
      <c r="V534" s="101">
        <v>46209</v>
      </c>
      <c r="W534">
        <v>1</v>
      </c>
      <c r="X534">
        <v>1</v>
      </c>
      <c r="Y534">
        <v>0</v>
      </c>
      <c r="Z534">
        <v>0</v>
      </c>
      <c r="AA534">
        <v>0</v>
      </c>
    </row>
    <row r="535" spans="1:27" x14ac:dyDescent="0.3">
      <c r="A535">
        <v>1092</v>
      </c>
      <c r="B535">
        <v>27</v>
      </c>
      <c r="C535">
        <v>0</v>
      </c>
      <c r="D535">
        <v>0</v>
      </c>
      <c r="E535">
        <v>0</v>
      </c>
      <c r="F535" t="s">
        <v>1020</v>
      </c>
      <c r="G535" s="101">
        <v>46210</v>
      </c>
      <c r="H535" t="s">
        <v>152</v>
      </c>
      <c r="I535" t="s">
        <v>457</v>
      </c>
      <c r="J535" t="s">
        <v>387</v>
      </c>
      <c r="K535" t="s">
        <v>382</v>
      </c>
      <c r="L535" s="39">
        <v>0.37023148148148149</v>
      </c>
      <c r="M535" s="39">
        <v>0.76854166666666668</v>
      </c>
      <c r="N535">
        <v>9.56</v>
      </c>
      <c r="O535" t="s">
        <v>1224</v>
      </c>
      <c r="P535">
        <v>0</v>
      </c>
      <c r="Q535" t="s">
        <v>1055</v>
      </c>
      <c r="R535">
        <v>0.94</v>
      </c>
      <c r="S535">
        <v>0.94</v>
      </c>
      <c r="T535" t="s">
        <v>473</v>
      </c>
      <c r="U535" t="s">
        <v>108</v>
      </c>
      <c r="V535" s="101">
        <v>46210</v>
      </c>
      <c r="W535">
        <v>1</v>
      </c>
      <c r="X535">
        <v>1</v>
      </c>
      <c r="Y535">
        <v>0</v>
      </c>
      <c r="Z535">
        <v>0</v>
      </c>
      <c r="AA535">
        <v>0</v>
      </c>
    </row>
    <row r="536" spans="1:27" x14ac:dyDescent="0.3">
      <c r="A536">
        <v>1092</v>
      </c>
      <c r="B536">
        <v>27</v>
      </c>
      <c r="C536">
        <v>0</v>
      </c>
      <c r="D536">
        <v>0</v>
      </c>
      <c r="E536">
        <v>0</v>
      </c>
      <c r="F536" t="s">
        <v>1020</v>
      </c>
      <c r="G536" s="101">
        <v>46211</v>
      </c>
      <c r="H536" t="s">
        <v>152</v>
      </c>
      <c r="I536" t="s">
        <v>457</v>
      </c>
      <c r="J536" t="s">
        <v>387</v>
      </c>
      <c r="K536" t="s">
        <v>382</v>
      </c>
      <c r="L536" s="39">
        <v>0.37094907407407407</v>
      </c>
      <c r="M536" s="39">
        <v>0.76715277777777779</v>
      </c>
      <c r="N536">
        <v>9.51</v>
      </c>
      <c r="O536" t="s">
        <v>659</v>
      </c>
      <c r="P536">
        <v>0</v>
      </c>
      <c r="Q536" t="s">
        <v>1231</v>
      </c>
      <c r="R536">
        <v>0.91</v>
      </c>
      <c r="S536">
        <v>0.91</v>
      </c>
      <c r="T536" t="s">
        <v>473</v>
      </c>
      <c r="U536" t="s">
        <v>108</v>
      </c>
      <c r="V536" s="101">
        <v>46211</v>
      </c>
      <c r="W536">
        <v>1</v>
      </c>
      <c r="X536">
        <v>1</v>
      </c>
      <c r="Y536">
        <v>0</v>
      </c>
      <c r="Z536">
        <v>0</v>
      </c>
      <c r="AA536">
        <v>0</v>
      </c>
    </row>
    <row r="537" spans="1:27" x14ac:dyDescent="0.3">
      <c r="A537">
        <v>1092</v>
      </c>
      <c r="B537">
        <v>27</v>
      </c>
      <c r="C537">
        <v>0</v>
      </c>
      <c r="D537">
        <v>0</v>
      </c>
      <c r="E537">
        <v>0</v>
      </c>
      <c r="F537" t="s">
        <v>1020</v>
      </c>
      <c r="G537" s="101">
        <v>46212</v>
      </c>
      <c r="H537" t="s">
        <v>152</v>
      </c>
      <c r="I537" t="s">
        <v>457</v>
      </c>
      <c r="J537" t="s">
        <v>387</v>
      </c>
      <c r="K537" t="s">
        <v>382</v>
      </c>
      <c r="L537" s="39">
        <v>0.37197916666666669</v>
      </c>
      <c r="M537" s="39">
        <v>0.76844907407407403</v>
      </c>
      <c r="N537">
        <v>9.52</v>
      </c>
      <c r="O537" t="s">
        <v>1198</v>
      </c>
      <c r="P537">
        <v>0</v>
      </c>
      <c r="Q537" t="s">
        <v>1232</v>
      </c>
      <c r="R537">
        <v>0.94</v>
      </c>
      <c r="S537">
        <v>0.94</v>
      </c>
      <c r="T537" t="s">
        <v>473</v>
      </c>
      <c r="U537" t="s">
        <v>108</v>
      </c>
      <c r="V537" s="101">
        <v>46212</v>
      </c>
      <c r="W537">
        <v>1</v>
      </c>
      <c r="X537">
        <v>1</v>
      </c>
      <c r="Y537">
        <v>0</v>
      </c>
      <c r="Z537">
        <v>0</v>
      </c>
      <c r="AA537">
        <v>0</v>
      </c>
    </row>
    <row r="538" spans="1:27" x14ac:dyDescent="0.3">
      <c r="A538">
        <v>1092</v>
      </c>
      <c r="B538">
        <v>27</v>
      </c>
      <c r="C538">
        <v>0</v>
      </c>
      <c r="D538">
        <v>0</v>
      </c>
      <c r="E538">
        <v>0</v>
      </c>
      <c r="F538" t="s">
        <v>1020</v>
      </c>
      <c r="G538" s="101">
        <v>46213</v>
      </c>
      <c r="H538" t="s">
        <v>152</v>
      </c>
      <c r="I538" t="s">
        <v>457</v>
      </c>
      <c r="J538" t="s">
        <v>387</v>
      </c>
      <c r="K538" t="s">
        <v>382</v>
      </c>
      <c r="L538" s="39">
        <v>0.37342592592592594</v>
      </c>
      <c r="M538" s="39">
        <v>0.76659722222222226</v>
      </c>
      <c r="N538">
        <v>9.44</v>
      </c>
      <c r="O538" t="s">
        <v>1233</v>
      </c>
      <c r="P538">
        <v>0</v>
      </c>
      <c r="Q538" t="s">
        <v>1234</v>
      </c>
      <c r="R538">
        <v>0.9</v>
      </c>
      <c r="S538">
        <v>0.9</v>
      </c>
      <c r="T538" t="s">
        <v>473</v>
      </c>
      <c r="U538" t="s">
        <v>108</v>
      </c>
      <c r="V538" s="101">
        <v>46213</v>
      </c>
      <c r="W538">
        <v>1</v>
      </c>
      <c r="X538">
        <v>1</v>
      </c>
      <c r="Y538">
        <v>0</v>
      </c>
      <c r="Z538">
        <v>0</v>
      </c>
      <c r="AA538">
        <v>0</v>
      </c>
    </row>
    <row r="539" spans="1:27" x14ac:dyDescent="0.3">
      <c r="A539">
        <v>1092</v>
      </c>
      <c r="B539">
        <v>27</v>
      </c>
      <c r="C539">
        <v>0</v>
      </c>
      <c r="D539">
        <v>0</v>
      </c>
      <c r="E539">
        <v>0</v>
      </c>
      <c r="F539" t="s">
        <v>1020</v>
      </c>
      <c r="G539" s="101">
        <v>46214</v>
      </c>
      <c r="H539" t="s">
        <v>152</v>
      </c>
      <c r="I539" t="s">
        <v>457</v>
      </c>
      <c r="J539" t="s">
        <v>387</v>
      </c>
      <c r="K539" t="s">
        <v>382</v>
      </c>
      <c r="L539" s="39">
        <v>0.3714351851851852</v>
      </c>
      <c r="M539" s="39">
        <v>0.76864583333333336</v>
      </c>
      <c r="N539">
        <v>9.5299999999999994</v>
      </c>
      <c r="O539" t="s">
        <v>921</v>
      </c>
      <c r="P539">
        <v>0</v>
      </c>
      <c r="Q539" t="s">
        <v>1235</v>
      </c>
      <c r="R539">
        <v>0.95</v>
      </c>
      <c r="S539">
        <v>0.95</v>
      </c>
      <c r="T539" t="s">
        <v>473</v>
      </c>
      <c r="U539" t="s">
        <v>108</v>
      </c>
      <c r="V539" s="101">
        <v>46214</v>
      </c>
      <c r="W539">
        <v>1</v>
      </c>
      <c r="X539">
        <v>1</v>
      </c>
      <c r="Y539">
        <v>0</v>
      </c>
      <c r="Z539">
        <v>0</v>
      </c>
      <c r="AA539">
        <v>0</v>
      </c>
    </row>
    <row r="540" spans="1:27" x14ac:dyDescent="0.3">
      <c r="A540">
        <v>1092</v>
      </c>
      <c r="B540">
        <v>27</v>
      </c>
      <c r="C540">
        <v>0</v>
      </c>
      <c r="D540">
        <v>0</v>
      </c>
      <c r="E540">
        <v>0</v>
      </c>
      <c r="F540" t="s">
        <v>1020</v>
      </c>
      <c r="G540" s="101">
        <v>46215</v>
      </c>
      <c r="H540" t="s">
        <v>152</v>
      </c>
      <c r="I540" t="s">
        <v>457</v>
      </c>
      <c r="J540" t="s">
        <v>387</v>
      </c>
      <c r="K540" t="s">
        <v>383</v>
      </c>
      <c r="L540" s="39">
        <v>0</v>
      </c>
      <c r="M540" s="39">
        <v>0</v>
      </c>
      <c r="N540">
        <v>0</v>
      </c>
      <c r="O540" t="s">
        <v>384</v>
      </c>
      <c r="P540">
        <v>9</v>
      </c>
      <c r="Q540" t="s">
        <v>385</v>
      </c>
      <c r="R540">
        <v>0</v>
      </c>
      <c r="S540">
        <v>9</v>
      </c>
      <c r="T540" t="s">
        <v>473</v>
      </c>
      <c r="U540" t="s">
        <v>366</v>
      </c>
      <c r="V540" s="101">
        <v>46215</v>
      </c>
      <c r="W540">
        <v>0</v>
      </c>
      <c r="X540">
        <v>0</v>
      </c>
      <c r="Y540">
        <v>0</v>
      </c>
      <c r="Z540">
        <v>0</v>
      </c>
      <c r="AA540">
        <v>0</v>
      </c>
    </row>
    <row r="541" spans="1:27" x14ac:dyDescent="0.3">
      <c r="A541">
        <v>1092</v>
      </c>
      <c r="B541">
        <v>27</v>
      </c>
      <c r="C541">
        <v>0</v>
      </c>
      <c r="D541">
        <v>0</v>
      </c>
      <c r="E541">
        <v>0</v>
      </c>
      <c r="F541" t="s">
        <v>1020</v>
      </c>
      <c r="G541" s="101">
        <v>46216</v>
      </c>
      <c r="H541" t="s">
        <v>152</v>
      </c>
      <c r="I541" t="s">
        <v>457</v>
      </c>
      <c r="J541" t="s">
        <v>387</v>
      </c>
      <c r="K541" t="s">
        <v>382</v>
      </c>
      <c r="L541" s="39">
        <v>0.36267361111111113</v>
      </c>
      <c r="M541" s="39">
        <v>0.76726851851851852</v>
      </c>
      <c r="N541">
        <v>9.7100000000000009</v>
      </c>
      <c r="O541" t="s">
        <v>1236</v>
      </c>
      <c r="P541">
        <v>0</v>
      </c>
      <c r="Q541" t="s">
        <v>1237</v>
      </c>
      <c r="R541">
        <v>0.91</v>
      </c>
      <c r="S541">
        <v>0.91</v>
      </c>
      <c r="T541" t="s">
        <v>473</v>
      </c>
      <c r="U541" t="s">
        <v>108</v>
      </c>
      <c r="V541" s="101">
        <v>46216</v>
      </c>
      <c r="W541">
        <v>1</v>
      </c>
      <c r="X541">
        <v>1</v>
      </c>
      <c r="Y541">
        <v>0</v>
      </c>
      <c r="Z541">
        <v>0</v>
      </c>
      <c r="AA541">
        <v>0</v>
      </c>
    </row>
    <row r="542" spans="1:27" x14ac:dyDescent="0.3">
      <c r="A542">
        <v>1092</v>
      </c>
      <c r="B542">
        <v>27</v>
      </c>
      <c r="C542">
        <v>0</v>
      </c>
      <c r="D542">
        <v>0</v>
      </c>
      <c r="E542">
        <v>0</v>
      </c>
      <c r="F542" t="s">
        <v>1020</v>
      </c>
      <c r="G542" s="101">
        <v>46217</v>
      </c>
      <c r="H542" t="s">
        <v>152</v>
      </c>
      <c r="I542" t="s">
        <v>457</v>
      </c>
      <c r="J542" t="s">
        <v>387</v>
      </c>
      <c r="K542" t="s">
        <v>382</v>
      </c>
      <c r="L542" s="39">
        <v>0.37394675925925924</v>
      </c>
      <c r="M542" s="39">
        <v>0.76879629629629631</v>
      </c>
      <c r="N542">
        <v>9.48</v>
      </c>
      <c r="O542" t="s">
        <v>1238</v>
      </c>
      <c r="P542">
        <v>0</v>
      </c>
      <c r="Q542" t="s">
        <v>1210</v>
      </c>
      <c r="R542">
        <v>0.95</v>
      </c>
      <c r="S542">
        <v>0.95</v>
      </c>
      <c r="T542" t="s">
        <v>473</v>
      </c>
      <c r="U542" t="s">
        <v>108</v>
      </c>
      <c r="V542" s="101">
        <v>46217</v>
      </c>
      <c r="W542">
        <v>1</v>
      </c>
      <c r="X542">
        <v>1</v>
      </c>
      <c r="Y542">
        <v>0</v>
      </c>
      <c r="Z542">
        <v>0</v>
      </c>
      <c r="AA542">
        <v>0</v>
      </c>
    </row>
    <row r="543" spans="1:27" x14ac:dyDescent="0.3">
      <c r="A543">
        <v>1092</v>
      </c>
      <c r="B543">
        <v>27</v>
      </c>
      <c r="C543">
        <v>0</v>
      </c>
      <c r="D543">
        <v>0</v>
      </c>
      <c r="E543">
        <v>0</v>
      </c>
      <c r="F543" t="s">
        <v>1020</v>
      </c>
      <c r="G543" s="101">
        <v>46218</v>
      </c>
      <c r="H543" t="s">
        <v>152</v>
      </c>
      <c r="I543" t="s">
        <v>457</v>
      </c>
      <c r="J543" t="s">
        <v>387</v>
      </c>
      <c r="K543" t="s">
        <v>382</v>
      </c>
      <c r="L543" s="39">
        <v>0.37003472222222222</v>
      </c>
      <c r="M543" s="39">
        <v>0.76959490740740744</v>
      </c>
      <c r="N543">
        <v>9.59</v>
      </c>
      <c r="O543" t="s">
        <v>1239</v>
      </c>
      <c r="P543">
        <v>0</v>
      </c>
      <c r="Q543" t="s">
        <v>1240</v>
      </c>
      <c r="R543">
        <v>0.97</v>
      </c>
      <c r="S543">
        <v>0.97</v>
      </c>
      <c r="T543" t="s">
        <v>473</v>
      </c>
      <c r="U543" t="s">
        <v>108</v>
      </c>
      <c r="V543" s="101">
        <v>46218</v>
      </c>
      <c r="W543">
        <v>1</v>
      </c>
      <c r="X543">
        <v>1</v>
      </c>
      <c r="Y543">
        <v>0</v>
      </c>
      <c r="Z543">
        <v>0</v>
      </c>
      <c r="AA543">
        <v>0</v>
      </c>
    </row>
    <row r="544" spans="1:27" x14ac:dyDescent="0.3">
      <c r="A544">
        <v>1092</v>
      </c>
      <c r="B544">
        <v>27</v>
      </c>
      <c r="C544">
        <v>0</v>
      </c>
      <c r="D544">
        <v>0</v>
      </c>
      <c r="E544">
        <v>0</v>
      </c>
      <c r="F544" t="s">
        <v>1020</v>
      </c>
      <c r="G544" s="101">
        <v>46219</v>
      </c>
      <c r="H544" t="s">
        <v>152</v>
      </c>
      <c r="I544" t="s">
        <v>457</v>
      </c>
      <c r="J544" t="s">
        <v>387</v>
      </c>
      <c r="K544" t="s">
        <v>382</v>
      </c>
      <c r="L544" s="39">
        <v>0.37938657407407406</v>
      </c>
      <c r="M544" s="39">
        <v>0.76673611111111106</v>
      </c>
      <c r="N544">
        <v>9.3000000000000007</v>
      </c>
      <c r="O544" t="s">
        <v>1241</v>
      </c>
      <c r="P544">
        <v>0</v>
      </c>
      <c r="Q544" t="s">
        <v>1242</v>
      </c>
      <c r="R544">
        <v>0.9</v>
      </c>
      <c r="S544">
        <v>0.9</v>
      </c>
      <c r="T544" t="s">
        <v>473</v>
      </c>
      <c r="U544" t="s">
        <v>108</v>
      </c>
      <c r="V544" s="101">
        <v>46219</v>
      </c>
      <c r="W544">
        <v>1</v>
      </c>
      <c r="X544">
        <v>1</v>
      </c>
      <c r="Y544">
        <v>0</v>
      </c>
      <c r="Z544">
        <v>0</v>
      </c>
      <c r="AA544">
        <v>0</v>
      </c>
    </row>
    <row r="545" spans="1:27" x14ac:dyDescent="0.3">
      <c r="A545">
        <v>1092</v>
      </c>
      <c r="B545">
        <v>27</v>
      </c>
      <c r="C545">
        <v>0</v>
      </c>
      <c r="D545">
        <v>0</v>
      </c>
      <c r="E545">
        <v>0</v>
      </c>
      <c r="F545" t="s">
        <v>1020</v>
      </c>
      <c r="G545" s="101">
        <v>46220</v>
      </c>
      <c r="H545" t="s">
        <v>152</v>
      </c>
      <c r="I545" t="s">
        <v>457</v>
      </c>
      <c r="J545" t="s">
        <v>387</v>
      </c>
      <c r="K545" t="s">
        <v>382</v>
      </c>
      <c r="L545" s="39">
        <v>0.38752314814814814</v>
      </c>
      <c r="M545" s="39">
        <v>0.76752314814814815</v>
      </c>
      <c r="N545">
        <v>9.1199999999999992</v>
      </c>
      <c r="O545" t="s">
        <v>1243</v>
      </c>
      <c r="P545">
        <v>0</v>
      </c>
      <c r="Q545" t="s">
        <v>1244</v>
      </c>
      <c r="R545">
        <v>0.92</v>
      </c>
      <c r="S545">
        <v>0.92</v>
      </c>
      <c r="T545" t="s">
        <v>473</v>
      </c>
      <c r="U545" t="s">
        <v>108</v>
      </c>
      <c r="V545" s="101">
        <v>46220</v>
      </c>
      <c r="W545">
        <v>1</v>
      </c>
      <c r="X545">
        <v>1</v>
      </c>
      <c r="Y545">
        <v>0</v>
      </c>
      <c r="Z545">
        <v>0</v>
      </c>
      <c r="AA545">
        <v>0</v>
      </c>
    </row>
    <row r="546" spans="1:27" x14ac:dyDescent="0.3">
      <c r="A546">
        <v>1092</v>
      </c>
      <c r="B546">
        <v>27</v>
      </c>
      <c r="C546">
        <v>0</v>
      </c>
      <c r="D546">
        <v>0</v>
      </c>
      <c r="E546">
        <v>0</v>
      </c>
      <c r="F546" t="s">
        <v>1020</v>
      </c>
      <c r="G546" s="101">
        <v>46221</v>
      </c>
      <c r="H546" t="s">
        <v>152</v>
      </c>
      <c r="I546" t="s">
        <v>457</v>
      </c>
      <c r="J546" t="s">
        <v>387</v>
      </c>
      <c r="K546" t="s">
        <v>382</v>
      </c>
      <c r="L546" s="39">
        <v>0.41517361111111112</v>
      </c>
      <c r="M546" s="39">
        <v>0.7287731481481482</v>
      </c>
      <c r="N546">
        <v>7.53</v>
      </c>
      <c r="O546" t="s">
        <v>1245</v>
      </c>
      <c r="P546">
        <v>0</v>
      </c>
      <c r="Q546" t="s">
        <v>1246</v>
      </c>
      <c r="R546">
        <v>0</v>
      </c>
      <c r="S546">
        <v>0</v>
      </c>
      <c r="T546" t="s">
        <v>473</v>
      </c>
      <c r="U546" t="s">
        <v>108</v>
      </c>
      <c r="V546" s="101">
        <v>46221</v>
      </c>
      <c r="W546">
        <v>1</v>
      </c>
      <c r="X546">
        <v>1</v>
      </c>
      <c r="Y546">
        <v>0</v>
      </c>
      <c r="Z546">
        <v>0</v>
      </c>
      <c r="AA546">
        <v>0</v>
      </c>
    </row>
    <row r="547" spans="1:27" x14ac:dyDescent="0.3">
      <c r="A547">
        <v>1092</v>
      </c>
      <c r="B547">
        <v>27</v>
      </c>
      <c r="C547">
        <v>0</v>
      </c>
      <c r="D547">
        <v>0</v>
      </c>
      <c r="E547">
        <v>0</v>
      </c>
      <c r="F547" t="s">
        <v>1020</v>
      </c>
      <c r="G547" s="101">
        <v>46222</v>
      </c>
      <c r="H547" t="s">
        <v>152</v>
      </c>
      <c r="I547" t="s">
        <v>457</v>
      </c>
      <c r="J547" t="s">
        <v>387</v>
      </c>
      <c r="K547" t="s">
        <v>383</v>
      </c>
      <c r="L547" s="39">
        <v>0</v>
      </c>
      <c r="M547" s="39">
        <v>0</v>
      </c>
      <c r="N547">
        <v>0</v>
      </c>
      <c r="O547" t="s">
        <v>384</v>
      </c>
      <c r="P547">
        <v>9</v>
      </c>
      <c r="Q547" t="s">
        <v>385</v>
      </c>
      <c r="R547">
        <v>0</v>
      </c>
      <c r="S547">
        <v>9</v>
      </c>
      <c r="T547" t="s">
        <v>473</v>
      </c>
      <c r="U547" t="s">
        <v>366</v>
      </c>
      <c r="V547" s="101">
        <v>46222</v>
      </c>
      <c r="W547">
        <v>0</v>
      </c>
      <c r="X547">
        <v>0</v>
      </c>
      <c r="Y547">
        <v>0</v>
      </c>
      <c r="Z547">
        <v>0</v>
      </c>
      <c r="AA547">
        <v>0</v>
      </c>
    </row>
    <row r="548" spans="1:27" x14ac:dyDescent="0.3">
      <c r="A548">
        <v>1092</v>
      </c>
      <c r="B548">
        <v>27</v>
      </c>
      <c r="C548">
        <v>0</v>
      </c>
      <c r="D548">
        <v>0</v>
      </c>
      <c r="E548">
        <v>0</v>
      </c>
      <c r="F548" t="s">
        <v>1020</v>
      </c>
      <c r="G548" s="101">
        <v>46223</v>
      </c>
      <c r="H548" t="s">
        <v>152</v>
      </c>
      <c r="I548" t="s">
        <v>457</v>
      </c>
      <c r="J548" t="s">
        <v>387</v>
      </c>
      <c r="K548" t="s">
        <v>382</v>
      </c>
      <c r="L548" s="39">
        <v>0.37084490740740739</v>
      </c>
      <c r="M548" s="39">
        <v>0.76776620370370374</v>
      </c>
      <c r="N548">
        <v>9.5299999999999994</v>
      </c>
      <c r="O548" t="s">
        <v>1247</v>
      </c>
      <c r="P548">
        <v>0</v>
      </c>
      <c r="Q548" t="s">
        <v>1248</v>
      </c>
      <c r="R548">
        <v>0.93</v>
      </c>
      <c r="S548">
        <v>0.93</v>
      </c>
      <c r="T548" t="s">
        <v>473</v>
      </c>
      <c r="U548" t="s">
        <v>108</v>
      </c>
      <c r="V548" s="101">
        <v>46223</v>
      </c>
      <c r="W548">
        <v>1</v>
      </c>
      <c r="X548">
        <v>1</v>
      </c>
      <c r="Y548">
        <v>0</v>
      </c>
      <c r="Z548">
        <v>0</v>
      </c>
      <c r="AA548">
        <v>0</v>
      </c>
    </row>
    <row r="549" spans="1:27" x14ac:dyDescent="0.3">
      <c r="A549">
        <v>1092</v>
      </c>
      <c r="B549">
        <v>27</v>
      </c>
      <c r="C549">
        <v>0</v>
      </c>
      <c r="D549">
        <v>0</v>
      </c>
      <c r="E549">
        <v>0</v>
      </c>
      <c r="F549" t="s">
        <v>1020</v>
      </c>
      <c r="G549" s="101">
        <v>46224</v>
      </c>
      <c r="H549" t="s">
        <v>152</v>
      </c>
      <c r="I549" t="s">
        <v>457</v>
      </c>
      <c r="J549" t="s">
        <v>387</v>
      </c>
      <c r="K549" t="s">
        <v>382</v>
      </c>
      <c r="L549" s="39">
        <v>0.3767361111111111</v>
      </c>
      <c r="M549" s="39">
        <v>0.73089120370370375</v>
      </c>
      <c r="N549">
        <v>8.5</v>
      </c>
      <c r="O549" t="s">
        <v>1249</v>
      </c>
      <c r="P549">
        <v>0</v>
      </c>
      <c r="Q549" t="s">
        <v>1113</v>
      </c>
      <c r="R549">
        <v>0</v>
      </c>
      <c r="S549">
        <v>0</v>
      </c>
      <c r="T549" t="s">
        <v>473</v>
      </c>
      <c r="U549" t="s">
        <v>108</v>
      </c>
      <c r="V549" s="101">
        <v>46224</v>
      </c>
      <c r="W549">
        <v>1</v>
      </c>
      <c r="X549">
        <v>1</v>
      </c>
      <c r="Y549">
        <v>0</v>
      </c>
      <c r="Z549">
        <v>0</v>
      </c>
      <c r="AA549">
        <v>0</v>
      </c>
    </row>
    <row r="550" spans="1:27" x14ac:dyDescent="0.3">
      <c r="A550">
        <v>1092</v>
      </c>
      <c r="B550">
        <v>27</v>
      </c>
      <c r="C550">
        <v>0</v>
      </c>
      <c r="D550">
        <v>0</v>
      </c>
      <c r="E550">
        <v>0</v>
      </c>
      <c r="F550" t="s">
        <v>1020</v>
      </c>
      <c r="G550" s="101">
        <v>46225</v>
      </c>
      <c r="H550" t="s">
        <v>152</v>
      </c>
      <c r="I550" t="s">
        <v>457</v>
      </c>
      <c r="J550" t="s">
        <v>387</v>
      </c>
      <c r="K550" t="s">
        <v>382</v>
      </c>
      <c r="L550" s="39">
        <v>0.37840277777777775</v>
      </c>
      <c r="M550" s="39">
        <v>0.76944444444444449</v>
      </c>
      <c r="N550">
        <v>9.3800000000000008</v>
      </c>
      <c r="O550" t="s">
        <v>722</v>
      </c>
      <c r="P550">
        <v>0</v>
      </c>
      <c r="Q550" t="s">
        <v>1250</v>
      </c>
      <c r="R550">
        <v>0.97</v>
      </c>
      <c r="S550">
        <v>0.97</v>
      </c>
      <c r="T550" t="s">
        <v>473</v>
      </c>
      <c r="U550" t="s">
        <v>108</v>
      </c>
      <c r="V550" s="101">
        <v>46225</v>
      </c>
      <c r="W550">
        <v>1</v>
      </c>
      <c r="X550">
        <v>1</v>
      </c>
      <c r="Y550">
        <v>0</v>
      </c>
      <c r="Z550">
        <v>0</v>
      </c>
      <c r="AA550">
        <v>0</v>
      </c>
    </row>
    <row r="551" spans="1:27" x14ac:dyDescent="0.3">
      <c r="A551">
        <v>1092</v>
      </c>
      <c r="B551">
        <v>27</v>
      </c>
      <c r="C551">
        <v>0</v>
      </c>
      <c r="D551">
        <v>0</v>
      </c>
      <c r="E551">
        <v>0</v>
      </c>
      <c r="F551" t="s">
        <v>1020</v>
      </c>
      <c r="G551" s="101">
        <v>46226</v>
      </c>
      <c r="H551" t="s">
        <v>152</v>
      </c>
      <c r="I551" t="s">
        <v>457</v>
      </c>
      <c r="J551" t="s">
        <v>387</v>
      </c>
      <c r="K551" t="s">
        <v>382</v>
      </c>
      <c r="L551" s="39">
        <v>0.36842592592592593</v>
      </c>
      <c r="M551" s="39">
        <v>0.76818287037037036</v>
      </c>
      <c r="N551">
        <v>9.59</v>
      </c>
      <c r="O551" t="s">
        <v>513</v>
      </c>
      <c r="P551">
        <v>0</v>
      </c>
      <c r="Q551" t="s">
        <v>1080</v>
      </c>
      <c r="R551">
        <v>0.94</v>
      </c>
      <c r="S551">
        <v>0.94</v>
      </c>
      <c r="T551" t="s">
        <v>473</v>
      </c>
      <c r="U551" t="s">
        <v>108</v>
      </c>
      <c r="V551" s="101">
        <v>46226</v>
      </c>
      <c r="W551">
        <v>1</v>
      </c>
      <c r="X551">
        <v>1</v>
      </c>
      <c r="Y551">
        <v>0</v>
      </c>
      <c r="Z551">
        <v>0</v>
      </c>
      <c r="AA551">
        <v>0</v>
      </c>
    </row>
    <row r="552" spans="1:27" x14ac:dyDescent="0.3">
      <c r="A552">
        <v>1092</v>
      </c>
      <c r="B552">
        <v>27</v>
      </c>
      <c r="C552">
        <v>0</v>
      </c>
      <c r="D552">
        <v>0</v>
      </c>
      <c r="E552">
        <v>0</v>
      </c>
      <c r="F552" t="s">
        <v>1020</v>
      </c>
      <c r="G552" s="101">
        <v>46227</v>
      </c>
      <c r="H552" t="s">
        <v>152</v>
      </c>
      <c r="I552" t="s">
        <v>457</v>
      </c>
      <c r="J552" t="s">
        <v>387</v>
      </c>
      <c r="K552" t="s">
        <v>382</v>
      </c>
      <c r="L552" s="39">
        <v>0.37175925925925923</v>
      </c>
      <c r="M552" s="39">
        <v>0.76996527777777779</v>
      </c>
      <c r="N552">
        <v>9.56</v>
      </c>
      <c r="O552" t="s">
        <v>1251</v>
      </c>
      <c r="P552">
        <v>0</v>
      </c>
      <c r="Q552" t="s">
        <v>1252</v>
      </c>
      <c r="R552">
        <v>0.98</v>
      </c>
      <c r="S552">
        <v>0.98</v>
      </c>
      <c r="T552" t="s">
        <v>473</v>
      </c>
      <c r="U552" t="s">
        <v>108</v>
      </c>
      <c r="V552" s="101">
        <v>46227</v>
      </c>
      <c r="W552">
        <v>1</v>
      </c>
      <c r="X552">
        <v>1</v>
      </c>
      <c r="Y552">
        <v>0</v>
      </c>
      <c r="Z552">
        <v>0</v>
      </c>
      <c r="AA552">
        <v>0</v>
      </c>
    </row>
    <row r="553" spans="1:27" x14ac:dyDescent="0.3">
      <c r="A553">
        <v>1092</v>
      </c>
      <c r="B553">
        <v>27</v>
      </c>
      <c r="C553">
        <v>0</v>
      </c>
      <c r="D553">
        <v>0</v>
      </c>
      <c r="E553">
        <v>0</v>
      </c>
      <c r="F553" t="s">
        <v>1020</v>
      </c>
      <c r="G553" s="101">
        <v>46228</v>
      </c>
      <c r="H553" t="s">
        <v>152</v>
      </c>
      <c r="I553" t="s">
        <v>457</v>
      </c>
      <c r="J553" t="s">
        <v>387</v>
      </c>
      <c r="K553" t="s">
        <v>382</v>
      </c>
      <c r="L553" s="39">
        <v>0.3787962962962963</v>
      </c>
      <c r="M553" s="39">
        <v>0.76729166666666671</v>
      </c>
      <c r="N553">
        <v>9.32</v>
      </c>
      <c r="O553" t="s">
        <v>1253</v>
      </c>
      <c r="P553">
        <v>0</v>
      </c>
      <c r="Q553" t="s">
        <v>1254</v>
      </c>
      <c r="R553">
        <v>0.92</v>
      </c>
      <c r="S553">
        <v>0.92</v>
      </c>
      <c r="T553" t="s">
        <v>473</v>
      </c>
      <c r="U553" t="s">
        <v>108</v>
      </c>
      <c r="V553" s="101">
        <v>46228</v>
      </c>
      <c r="W553">
        <v>1</v>
      </c>
      <c r="X553">
        <v>1</v>
      </c>
      <c r="Y553">
        <v>0</v>
      </c>
      <c r="Z553">
        <v>0</v>
      </c>
      <c r="AA553">
        <v>0</v>
      </c>
    </row>
    <row r="554" spans="1:27" x14ac:dyDescent="0.3">
      <c r="A554">
        <v>1092</v>
      </c>
      <c r="B554">
        <v>27</v>
      </c>
      <c r="C554">
        <v>0</v>
      </c>
      <c r="D554">
        <v>0</v>
      </c>
      <c r="E554">
        <v>0</v>
      </c>
      <c r="F554" t="s">
        <v>1020</v>
      </c>
      <c r="G554" s="101">
        <v>46229</v>
      </c>
      <c r="H554" t="s">
        <v>152</v>
      </c>
      <c r="I554" t="s">
        <v>457</v>
      </c>
      <c r="J554" t="s">
        <v>387</v>
      </c>
      <c r="K554" t="s">
        <v>383</v>
      </c>
      <c r="L554" s="39">
        <v>0</v>
      </c>
      <c r="M554" s="39">
        <v>0</v>
      </c>
      <c r="N554">
        <v>0</v>
      </c>
      <c r="O554" t="s">
        <v>384</v>
      </c>
      <c r="P554">
        <v>9</v>
      </c>
      <c r="Q554" t="s">
        <v>385</v>
      </c>
      <c r="R554">
        <v>0</v>
      </c>
      <c r="S554">
        <v>9</v>
      </c>
      <c r="T554" t="s">
        <v>473</v>
      </c>
      <c r="U554" t="s">
        <v>366</v>
      </c>
      <c r="V554" s="101">
        <v>46229</v>
      </c>
      <c r="W554">
        <v>0</v>
      </c>
      <c r="X554">
        <v>0</v>
      </c>
      <c r="Y554">
        <v>0</v>
      </c>
      <c r="Z554">
        <v>0</v>
      </c>
      <c r="AA554">
        <v>0</v>
      </c>
    </row>
    <row r="555" spans="1:27" x14ac:dyDescent="0.3">
      <c r="A555">
        <v>1092</v>
      </c>
      <c r="B555">
        <v>27</v>
      </c>
      <c r="C555">
        <v>0</v>
      </c>
      <c r="D555">
        <v>0</v>
      </c>
      <c r="E555">
        <v>0</v>
      </c>
      <c r="F555" t="s">
        <v>1020</v>
      </c>
      <c r="G555" s="101">
        <v>46230</v>
      </c>
      <c r="H555" t="s">
        <v>152</v>
      </c>
      <c r="I555" t="s">
        <v>457</v>
      </c>
      <c r="J555" t="s">
        <v>387</v>
      </c>
      <c r="K555" t="s">
        <v>382</v>
      </c>
      <c r="L555" s="39">
        <v>0.37375000000000003</v>
      </c>
      <c r="M555" s="39">
        <v>0.76873842592592589</v>
      </c>
      <c r="N555">
        <v>9.48</v>
      </c>
      <c r="O555" t="s">
        <v>694</v>
      </c>
      <c r="P555">
        <v>0</v>
      </c>
      <c r="Q555" t="s">
        <v>1255</v>
      </c>
      <c r="R555">
        <v>0.95</v>
      </c>
      <c r="S555">
        <v>0.95</v>
      </c>
      <c r="T555" t="s">
        <v>473</v>
      </c>
      <c r="U555" t="s">
        <v>108</v>
      </c>
      <c r="V555" s="101">
        <v>46230</v>
      </c>
      <c r="W555">
        <v>1</v>
      </c>
      <c r="X555">
        <v>1</v>
      </c>
      <c r="Y555">
        <v>0</v>
      </c>
      <c r="Z555">
        <v>0</v>
      </c>
      <c r="AA555">
        <v>0</v>
      </c>
    </row>
    <row r="556" spans="1:27" x14ac:dyDescent="0.3">
      <c r="A556">
        <v>1092</v>
      </c>
      <c r="B556">
        <v>27</v>
      </c>
      <c r="C556">
        <v>0</v>
      </c>
      <c r="D556">
        <v>0</v>
      </c>
      <c r="E556">
        <v>0</v>
      </c>
      <c r="F556" t="s">
        <v>1020</v>
      </c>
      <c r="G556" s="101">
        <v>46231</v>
      </c>
      <c r="H556" t="s">
        <v>152</v>
      </c>
      <c r="I556" t="s">
        <v>457</v>
      </c>
      <c r="J556" t="s">
        <v>387</v>
      </c>
      <c r="K556" t="s">
        <v>382</v>
      </c>
      <c r="L556" s="39">
        <v>0.37976851851851851</v>
      </c>
      <c r="M556" s="39">
        <v>0.76693287037037039</v>
      </c>
      <c r="N556">
        <v>9.2899999999999991</v>
      </c>
      <c r="O556" t="s">
        <v>708</v>
      </c>
      <c r="P556">
        <v>0</v>
      </c>
      <c r="Q556" t="s">
        <v>1256</v>
      </c>
      <c r="R556">
        <v>0.91</v>
      </c>
      <c r="S556">
        <v>0.91</v>
      </c>
      <c r="T556" t="s">
        <v>473</v>
      </c>
      <c r="U556" t="s">
        <v>108</v>
      </c>
      <c r="V556" s="101">
        <v>46231</v>
      </c>
      <c r="W556">
        <v>1</v>
      </c>
      <c r="X556">
        <v>1</v>
      </c>
      <c r="Y556">
        <v>0</v>
      </c>
      <c r="Z556">
        <v>0</v>
      </c>
      <c r="AA556">
        <v>0</v>
      </c>
    </row>
    <row r="557" spans="1:27" x14ac:dyDescent="0.3">
      <c r="A557">
        <v>1092</v>
      </c>
      <c r="B557">
        <v>27</v>
      </c>
      <c r="C557">
        <v>0</v>
      </c>
      <c r="D557">
        <v>0</v>
      </c>
      <c r="E557">
        <v>0</v>
      </c>
      <c r="F557" t="s">
        <v>1020</v>
      </c>
      <c r="G557" s="101">
        <v>46232</v>
      </c>
      <c r="H557" t="s">
        <v>152</v>
      </c>
      <c r="I557" t="s">
        <v>457</v>
      </c>
      <c r="J557" t="s">
        <v>387</v>
      </c>
      <c r="K557" t="s">
        <v>382</v>
      </c>
      <c r="L557" s="39">
        <v>0.37386574074074075</v>
      </c>
      <c r="M557" s="39">
        <v>0.76631944444444444</v>
      </c>
      <c r="N557">
        <v>9.42</v>
      </c>
      <c r="O557" t="s">
        <v>987</v>
      </c>
      <c r="P557">
        <v>0</v>
      </c>
      <c r="Q557" t="s">
        <v>1257</v>
      </c>
      <c r="R557">
        <v>0.89</v>
      </c>
      <c r="S557">
        <v>0.89</v>
      </c>
      <c r="T557" t="s">
        <v>473</v>
      </c>
      <c r="U557" t="s">
        <v>108</v>
      </c>
      <c r="V557" s="101">
        <v>46232</v>
      </c>
      <c r="W557">
        <v>1</v>
      </c>
      <c r="X557">
        <v>1</v>
      </c>
      <c r="Y557">
        <v>0</v>
      </c>
      <c r="Z557">
        <v>0</v>
      </c>
      <c r="AA557">
        <v>0</v>
      </c>
    </row>
    <row r="558" spans="1:27" x14ac:dyDescent="0.3">
      <c r="A558">
        <v>1092</v>
      </c>
      <c r="B558">
        <v>27</v>
      </c>
      <c r="C558">
        <v>0</v>
      </c>
      <c r="D558">
        <v>0</v>
      </c>
      <c r="E558">
        <v>0</v>
      </c>
      <c r="F558" t="s">
        <v>1020</v>
      </c>
      <c r="G558" s="101">
        <v>46233</v>
      </c>
      <c r="H558" t="s">
        <v>152</v>
      </c>
      <c r="I558" t="s">
        <v>457</v>
      </c>
      <c r="J558" t="s">
        <v>387</v>
      </c>
      <c r="K558" t="s">
        <v>382</v>
      </c>
      <c r="L558" s="39">
        <v>0.3553472222222222</v>
      </c>
      <c r="M558" s="39">
        <v>0.76788194444444446</v>
      </c>
      <c r="N558">
        <v>9.9</v>
      </c>
      <c r="O558" t="s">
        <v>1258</v>
      </c>
      <c r="P558">
        <v>0</v>
      </c>
      <c r="Q558" t="s">
        <v>1259</v>
      </c>
      <c r="R558">
        <v>0.93</v>
      </c>
      <c r="S558">
        <v>0.93</v>
      </c>
      <c r="T558" t="s">
        <v>473</v>
      </c>
      <c r="U558" t="s">
        <v>108</v>
      </c>
      <c r="V558" s="101">
        <v>46233</v>
      </c>
      <c r="W558">
        <v>1</v>
      </c>
      <c r="X558">
        <v>1</v>
      </c>
      <c r="Y558">
        <v>0</v>
      </c>
      <c r="Z558">
        <v>0</v>
      </c>
      <c r="AA558">
        <v>0</v>
      </c>
    </row>
    <row r="559" spans="1:27" x14ac:dyDescent="0.3">
      <c r="A559">
        <v>1092</v>
      </c>
      <c r="B559">
        <v>27</v>
      </c>
      <c r="C559">
        <v>0</v>
      </c>
      <c r="D559">
        <v>0</v>
      </c>
      <c r="E559">
        <v>0</v>
      </c>
      <c r="F559" t="s">
        <v>1020</v>
      </c>
      <c r="G559" s="101">
        <v>46234</v>
      </c>
      <c r="H559" t="s">
        <v>152</v>
      </c>
      <c r="I559" t="s">
        <v>457</v>
      </c>
      <c r="J559" t="s">
        <v>387</v>
      </c>
      <c r="K559" t="s">
        <v>382</v>
      </c>
      <c r="L559" s="39">
        <v>0.36481481481481481</v>
      </c>
      <c r="M559" s="39">
        <v>0.73140046296296302</v>
      </c>
      <c r="N559">
        <v>8.8000000000000007</v>
      </c>
      <c r="O559" t="s">
        <v>1260</v>
      </c>
      <c r="P559">
        <v>0</v>
      </c>
      <c r="Q559" t="s">
        <v>683</v>
      </c>
      <c r="R559">
        <v>0</v>
      </c>
      <c r="S559">
        <v>0</v>
      </c>
      <c r="T559" t="s">
        <v>473</v>
      </c>
      <c r="U559" t="s">
        <v>108</v>
      </c>
      <c r="V559" s="101">
        <v>46234</v>
      </c>
      <c r="W559">
        <v>1</v>
      </c>
      <c r="X559">
        <v>1</v>
      </c>
      <c r="Y559">
        <v>0</v>
      </c>
      <c r="Z559">
        <v>0</v>
      </c>
      <c r="AA559">
        <v>0</v>
      </c>
    </row>
    <row r="560" spans="1:27" x14ac:dyDescent="0.3">
      <c r="A560">
        <v>1094</v>
      </c>
      <c r="B560">
        <v>25.5</v>
      </c>
      <c r="C560">
        <v>1.5</v>
      </c>
      <c r="D560">
        <v>0</v>
      </c>
      <c r="E560">
        <v>0</v>
      </c>
      <c r="F560" t="s">
        <v>1261</v>
      </c>
      <c r="G560" s="101">
        <v>46204</v>
      </c>
      <c r="H560" t="s">
        <v>218</v>
      </c>
      <c r="I560" t="s">
        <v>441</v>
      </c>
      <c r="J560" t="s">
        <v>442</v>
      </c>
      <c r="K560" t="s">
        <v>382</v>
      </c>
      <c r="L560" s="39">
        <v>0.37413194444444442</v>
      </c>
      <c r="M560" s="39">
        <v>0.7301157407407407</v>
      </c>
      <c r="N560">
        <v>8.5399999999999991</v>
      </c>
      <c r="O560" t="s">
        <v>706</v>
      </c>
      <c r="P560">
        <v>0</v>
      </c>
      <c r="Q560" t="s">
        <v>745</v>
      </c>
      <c r="R560">
        <v>0</v>
      </c>
      <c r="S560">
        <v>0</v>
      </c>
      <c r="T560" t="s">
        <v>474</v>
      </c>
      <c r="U560" t="s">
        <v>108</v>
      </c>
      <c r="V560" s="101">
        <v>46204</v>
      </c>
      <c r="W560">
        <v>1</v>
      </c>
      <c r="X560">
        <v>1</v>
      </c>
      <c r="Y560">
        <v>0</v>
      </c>
      <c r="Z560">
        <v>0</v>
      </c>
      <c r="AA560">
        <v>0</v>
      </c>
    </row>
    <row r="561" spans="1:27" x14ac:dyDescent="0.3">
      <c r="A561">
        <v>1094</v>
      </c>
      <c r="B561">
        <v>25.5</v>
      </c>
      <c r="C561">
        <v>1.5</v>
      </c>
      <c r="D561">
        <v>0</v>
      </c>
      <c r="E561">
        <v>0</v>
      </c>
      <c r="F561" t="s">
        <v>1261</v>
      </c>
      <c r="G561" s="101">
        <v>46205</v>
      </c>
      <c r="H561" t="s">
        <v>218</v>
      </c>
      <c r="I561" t="s">
        <v>441</v>
      </c>
      <c r="J561" t="s">
        <v>442</v>
      </c>
      <c r="K561" t="s">
        <v>382</v>
      </c>
      <c r="L561" s="39">
        <v>0.37671296296296297</v>
      </c>
      <c r="M561" s="39">
        <v>0.73043981481481479</v>
      </c>
      <c r="N561">
        <v>8.49</v>
      </c>
      <c r="O561" t="s">
        <v>560</v>
      </c>
      <c r="P561">
        <v>0</v>
      </c>
      <c r="Q561" t="s">
        <v>759</v>
      </c>
      <c r="R561">
        <v>0</v>
      </c>
      <c r="S561">
        <v>0</v>
      </c>
      <c r="T561" t="s">
        <v>474</v>
      </c>
      <c r="U561" t="s">
        <v>108</v>
      </c>
      <c r="V561" s="101">
        <v>46205</v>
      </c>
      <c r="W561">
        <v>1</v>
      </c>
      <c r="X561">
        <v>1</v>
      </c>
      <c r="Y561">
        <v>0</v>
      </c>
      <c r="Z561">
        <v>0</v>
      </c>
      <c r="AA561">
        <v>0</v>
      </c>
    </row>
    <row r="562" spans="1:27" x14ac:dyDescent="0.3">
      <c r="A562">
        <v>1094</v>
      </c>
      <c r="B562">
        <v>25.5</v>
      </c>
      <c r="C562">
        <v>1.5</v>
      </c>
      <c r="D562">
        <v>0</v>
      </c>
      <c r="E562">
        <v>0</v>
      </c>
      <c r="F562" t="s">
        <v>1261</v>
      </c>
      <c r="G562" s="101">
        <v>46206</v>
      </c>
      <c r="H562" t="s">
        <v>218</v>
      </c>
      <c r="I562" t="s">
        <v>441</v>
      </c>
      <c r="J562" t="s">
        <v>442</v>
      </c>
      <c r="K562" t="s">
        <v>382</v>
      </c>
      <c r="L562" s="39">
        <v>0.38165509259259262</v>
      </c>
      <c r="M562" s="39">
        <v>0.72961805555555559</v>
      </c>
      <c r="N562">
        <v>8.35</v>
      </c>
      <c r="O562" t="s">
        <v>1262</v>
      </c>
      <c r="P562">
        <v>0</v>
      </c>
      <c r="Q562" t="s">
        <v>648</v>
      </c>
      <c r="R562">
        <v>0</v>
      </c>
      <c r="S562">
        <v>0</v>
      </c>
      <c r="T562" t="s">
        <v>474</v>
      </c>
      <c r="U562" t="s">
        <v>108</v>
      </c>
      <c r="V562" s="101">
        <v>46206</v>
      </c>
      <c r="W562">
        <v>1</v>
      </c>
      <c r="X562">
        <v>1</v>
      </c>
      <c r="Y562">
        <v>0</v>
      </c>
      <c r="Z562">
        <v>0</v>
      </c>
      <c r="AA562">
        <v>0</v>
      </c>
    </row>
    <row r="563" spans="1:27" x14ac:dyDescent="0.3">
      <c r="A563">
        <v>1094</v>
      </c>
      <c r="B563">
        <v>25.5</v>
      </c>
      <c r="C563">
        <v>1.5</v>
      </c>
      <c r="D563">
        <v>0</v>
      </c>
      <c r="E563">
        <v>0</v>
      </c>
      <c r="F563" t="s">
        <v>1261</v>
      </c>
      <c r="G563" s="101">
        <v>46207</v>
      </c>
      <c r="H563" t="s">
        <v>218</v>
      </c>
      <c r="I563" t="s">
        <v>441</v>
      </c>
      <c r="J563" t="s">
        <v>442</v>
      </c>
      <c r="K563" t="s">
        <v>382</v>
      </c>
      <c r="L563" s="39">
        <v>0.38914351851851853</v>
      </c>
      <c r="M563" s="39">
        <v>0.72869212962962959</v>
      </c>
      <c r="N563">
        <v>8.15</v>
      </c>
      <c r="O563" t="s">
        <v>1263</v>
      </c>
      <c r="P563">
        <v>0</v>
      </c>
      <c r="Q563" t="s">
        <v>1189</v>
      </c>
      <c r="R563">
        <v>0</v>
      </c>
      <c r="S563">
        <v>0</v>
      </c>
      <c r="T563" t="s">
        <v>474</v>
      </c>
      <c r="U563" t="s">
        <v>108</v>
      </c>
      <c r="V563" s="101">
        <v>46207</v>
      </c>
      <c r="W563">
        <v>1</v>
      </c>
      <c r="X563">
        <v>1</v>
      </c>
      <c r="Y563">
        <v>0</v>
      </c>
      <c r="Z563">
        <v>0</v>
      </c>
      <c r="AA563">
        <v>0</v>
      </c>
    </row>
    <row r="564" spans="1:27" x14ac:dyDescent="0.3">
      <c r="A564">
        <v>1094</v>
      </c>
      <c r="B564">
        <v>25.5</v>
      </c>
      <c r="C564">
        <v>1.5</v>
      </c>
      <c r="D564">
        <v>0</v>
      </c>
      <c r="E564">
        <v>0</v>
      </c>
      <c r="F564" t="s">
        <v>1261</v>
      </c>
      <c r="G564" s="101">
        <v>46208</v>
      </c>
      <c r="H564" t="s">
        <v>218</v>
      </c>
      <c r="I564" t="s">
        <v>441</v>
      </c>
      <c r="J564" t="s">
        <v>442</v>
      </c>
      <c r="K564" t="s">
        <v>382</v>
      </c>
      <c r="L564" s="39">
        <v>0.375</v>
      </c>
      <c r="M564" s="39">
        <v>0.52155092592592589</v>
      </c>
      <c r="N564">
        <v>3.52</v>
      </c>
      <c r="O564" t="s">
        <v>418</v>
      </c>
      <c r="P564">
        <v>0</v>
      </c>
      <c r="Q564" t="s">
        <v>1264</v>
      </c>
      <c r="R564">
        <v>0</v>
      </c>
      <c r="S564">
        <v>0</v>
      </c>
      <c r="T564" t="s">
        <v>474</v>
      </c>
      <c r="U564" t="s">
        <v>314</v>
      </c>
      <c r="V564" s="101">
        <v>46208</v>
      </c>
      <c r="W564">
        <v>0.5</v>
      </c>
      <c r="X564">
        <v>0</v>
      </c>
      <c r="Y564">
        <v>0.5</v>
      </c>
      <c r="Z564">
        <v>0</v>
      </c>
      <c r="AA564">
        <v>0</v>
      </c>
    </row>
    <row r="565" spans="1:27" x14ac:dyDescent="0.3">
      <c r="A565">
        <v>1094</v>
      </c>
      <c r="B565">
        <v>25.5</v>
      </c>
      <c r="C565">
        <v>1.5</v>
      </c>
      <c r="D565">
        <v>0</v>
      </c>
      <c r="E565">
        <v>0</v>
      </c>
      <c r="F565" t="s">
        <v>1261</v>
      </c>
      <c r="G565" s="101">
        <v>46209</v>
      </c>
      <c r="H565" t="s">
        <v>218</v>
      </c>
      <c r="I565" t="s">
        <v>441</v>
      </c>
      <c r="J565" t="s">
        <v>442</v>
      </c>
      <c r="K565" t="s">
        <v>382</v>
      </c>
      <c r="L565" s="39">
        <v>0.37945601851851851</v>
      </c>
      <c r="M565" s="39">
        <v>0.76873842592592589</v>
      </c>
      <c r="N565">
        <v>9.34</v>
      </c>
      <c r="O565" t="s">
        <v>1204</v>
      </c>
      <c r="P565">
        <v>0</v>
      </c>
      <c r="Q565" t="s">
        <v>1255</v>
      </c>
      <c r="R565">
        <v>0.95</v>
      </c>
      <c r="S565">
        <v>0.95</v>
      </c>
      <c r="T565" t="s">
        <v>474</v>
      </c>
      <c r="U565" t="s">
        <v>108</v>
      </c>
      <c r="V565" s="101">
        <v>46209</v>
      </c>
      <c r="W565">
        <v>1</v>
      </c>
      <c r="X565">
        <v>1</v>
      </c>
      <c r="Y565">
        <v>0</v>
      </c>
      <c r="Z565">
        <v>0</v>
      </c>
      <c r="AA565">
        <v>0</v>
      </c>
    </row>
    <row r="566" spans="1:27" x14ac:dyDescent="0.3">
      <c r="A566">
        <v>1094</v>
      </c>
      <c r="B566">
        <v>25.5</v>
      </c>
      <c r="C566">
        <v>1.5</v>
      </c>
      <c r="D566">
        <v>0</v>
      </c>
      <c r="E566">
        <v>0</v>
      </c>
      <c r="F566" t="s">
        <v>1261</v>
      </c>
      <c r="G566" s="101">
        <v>46210</v>
      </c>
      <c r="H566" t="s">
        <v>218</v>
      </c>
      <c r="I566" t="s">
        <v>441</v>
      </c>
      <c r="J566" t="s">
        <v>442</v>
      </c>
      <c r="K566" t="s">
        <v>382</v>
      </c>
      <c r="L566" s="39">
        <v>0.58508101851851857</v>
      </c>
      <c r="M566" s="39">
        <v>0.85390046296296296</v>
      </c>
      <c r="N566">
        <v>6.45</v>
      </c>
      <c r="O566" t="s">
        <v>1265</v>
      </c>
      <c r="P566">
        <v>0</v>
      </c>
      <c r="Q566" t="s">
        <v>1266</v>
      </c>
      <c r="R566">
        <v>2.99</v>
      </c>
      <c r="S566">
        <v>2.99</v>
      </c>
      <c r="T566" t="s">
        <v>474</v>
      </c>
      <c r="U566" t="s">
        <v>108</v>
      </c>
      <c r="V566" s="101">
        <v>46210</v>
      </c>
      <c r="W566">
        <v>1</v>
      </c>
      <c r="X566">
        <v>1</v>
      </c>
      <c r="Y566">
        <v>0</v>
      </c>
      <c r="Z566">
        <v>0</v>
      </c>
      <c r="AA566">
        <v>0</v>
      </c>
    </row>
    <row r="567" spans="1:27" x14ac:dyDescent="0.3">
      <c r="A567">
        <v>1094</v>
      </c>
      <c r="B567">
        <v>25.5</v>
      </c>
      <c r="C567">
        <v>1.5</v>
      </c>
      <c r="D567">
        <v>0</v>
      </c>
      <c r="E567">
        <v>0</v>
      </c>
      <c r="F567" t="s">
        <v>1261</v>
      </c>
      <c r="G567" s="101">
        <v>46211</v>
      </c>
      <c r="H567" t="s">
        <v>218</v>
      </c>
      <c r="I567" t="s">
        <v>441</v>
      </c>
      <c r="J567" t="s">
        <v>442</v>
      </c>
      <c r="K567" t="s">
        <v>382</v>
      </c>
      <c r="L567" s="39">
        <v>0.42873842592592593</v>
      </c>
      <c r="M567" s="39">
        <v>2.269675925925926E-2</v>
      </c>
      <c r="N567">
        <v>14.26</v>
      </c>
      <c r="O567" t="s">
        <v>1267</v>
      </c>
      <c r="P567">
        <v>0</v>
      </c>
      <c r="Q567" t="s">
        <v>1268</v>
      </c>
      <c r="R567">
        <v>0</v>
      </c>
      <c r="S567">
        <v>0</v>
      </c>
      <c r="T567" t="s">
        <v>474</v>
      </c>
      <c r="U567" t="s">
        <v>108</v>
      </c>
      <c r="V567" s="101">
        <v>46211</v>
      </c>
      <c r="W567">
        <v>1</v>
      </c>
      <c r="X567">
        <v>1</v>
      </c>
      <c r="Y567">
        <v>0</v>
      </c>
      <c r="Z567">
        <v>0</v>
      </c>
      <c r="AA567">
        <v>0</v>
      </c>
    </row>
    <row r="568" spans="1:27" x14ac:dyDescent="0.3">
      <c r="A568">
        <v>1094</v>
      </c>
      <c r="B568">
        <v>25.5</v>
      </c>
      <c r="C568">
        <v>1.5</v>
      </c>
      <c r="D568">
        <v>0</v>
      </c>
      <c r="E568">
        <v>0</v>
      </c>
      <c r="F568" t="s">
        <v>1261</v>
      </c>
      <c r="G568" s="101">
        <v>46212</v>
      </c>
      <c r="H568" t="s">
        <v>218</v>
      </c>
      <c r="I568" t="s">
        <v>441</v>
      </c>
      <c r="J568" t="s">
        <v>442</v>
      </c>
      <c r="K568" t="s">
        <v>382</v>
      </c>
      <c r="L568" s="39">
        <v>0.38890046296296299</v>
      </c>
      <c r="M568" s="39">
        <v>0.79092592592592592</v>
      </c>
      <c r="N568">
        <v>9.65</v>
      </c>
      <c r="O568" t="s">
        <v>1269</v>
      </c>
      <c r="P568">
        <v>0</v>
      </c>
      <c r="Q568" t="s">
        <v>1270</v>
      </c>
      <c r="R568">
        <v>1.48</v>
      </c>
      <c r="S568">
        <v>1.48</v>
      </c>
      <c r="T568" t="s">
        <v>474</v>
      </c>
      <c r="U568" t="s">
        <v>108</v>
      </c>
      <c r="V568" s="101">
        <v>46212</v>
      </c>
      <c r="W568">
        <v>1</v>
      </c>
      <c r="X568">
        <v>1</v>
      </c>
      <c r="Y568">
        <v>0</v>
      </c>
      <c r="Z568">
        <v>0</v>
      </c>
      <c r="AA568">
        <v>0</v>
      </c>
    </row>
    <row r="569" spans="1:27" x14ac:dyDescent="0.3">
      <c r="A569">
        <v>1094</v>
      </c>
      <c r="B569">
        <v>25.5</v>
      </c>
      <c r="C569">
        <v>1.5</v>
      </c>
      <c r="D569">
        <v>0</v>
      </c>
      <c r="E569">
        <v>0</v>
      </c>
      <c r="F569" t="s">
        <v>1261</v>
      </c>
      <c r="G569" s="101">
        <v>46213</v>
      </c>
      <c r="H569" t="s">
        <v>218</v>
      </c>
      <c r="I569" t="s">
        <v>441</v>
      </c>
      <c r="J569" t="s">
        <v>442</v>
      </c>
      <c r="K569" t="s">
        <v>382</v>
      </c>
      <c r="L569" s="39">
        <v>0.375</v>
      </c>
      <c r="M569" s="39">
        <v>0.79646990740740742</v>
      </c>
      <c r="N569">
        <v>10.119999999999999</v>
      </c>
      <c r="O569" t="s">
        <v>418</v>
      </c>
      <c r="P569">
        <v>0</v>
      </c>
      <c r="Q569" t="s">
        <v>1271</v>
      </c>
      <c r="R569">
        <v>1.62</v>
      </c>
      <c r="S569">
        <v>1.62</v>
      </c>
      <c r="T569" t="s">
        <v>474</v>
      </c>
      <c r="U569" t="s">
        <v>108</v>
      </c>
      <c r="V569" s="101">
        <v>46213</v>
      </c>
      <c r="W569">
        <v>1</v>
      </c>
      <c r="X569">
        <v>1</v>
      </c>
      <c r="Y569">
        <v>0</v>
      </c>
      <c r="Z569">
        <v>0</v>
      </c>
      <c r="AA569">
        <v>0</v>
      </c>
    </row>
    <row r="570" spans="1:27" x14ac:dyDescent="0.3">
      <c r="A570">
        <v>1094</v>
      </c>
      <c r="B570">
        <v>25.5</v>
      </c>
      <c r="C570">
        <v>1.5</v>
      </c>
      <c r="D570">
        <v>0</v>
      </c>
      <c r="E570">
        <v>0</v>
      </c>
      <c r="F570" t="s">
        <v>1261</v>
      </c>
      <c r="G570" s="101">
        <v>46214</v>
      </c>
      <c r="H570" t="s">
        <v>218</v>
      </c>
      <c r="I570" t="s">
        <v>441</v>
      </c>
      <c r="J570" t="s">
        <v>442</v>
      </c>
      <c r="K570" t="s">
        <v>382</v>
      </c>
      <c r="L570" s="39">
        <v>0.65460648148148148</v>
      </c>
      <c r="M570" s="39">
        <v>0.83554398148148146</v>
      </c>
      <c r="N570">
        <v>4.34</v>
      </c>
      <c r="O570" t="s">
        <v>1272</v>
      </c>
      <c r="P570">
        <v>0</v>
      </c>
      <c r="Q570" t="s">
        <v>1273</v>
      </c>
      <c r="R570">
        <v>2.5499999999999998</v>
      </c>
      <c r="S570">
        <v>2.5499999999999998</v>
      </c>
      <c r="T570" t="s">
        <v>474</v>
      </c>
      <c r="U570" t="s">
        <v>314</v>
      </c>
      <c r="V570" s="101">
        <v>46214</v>
      </c>
      <c r="W570">
        <v>0.5</v>
      </c>
      <c r="X570">
        <v>0.5</v>
      </c>
      <c r="Y570">
        <v>0</v>
      </c>
      <c r="Z570">
        <v>0</v>
      </c>
      <c r="AA570">
        <v>0</v>
      </c>
    </row>
    <row r="571" spans="1:27" x14ac:dyDescent="0.3">
      <c r="A571">
        <v>1094</v>
      </c>
      <c r="B571">
        <v>25.5</v>
      </c>
      <c r="C571">
        <v>1.5</v>
      </c>
      <c r="D571">
        <v>0</v>
      </c>
      <c r="E571">
        <v>0</v>
      </c>
      <c r="F571" t="s">
        <v>1261</v>
      </c>
      <c r="G571" s="101">
        <v>46215</v>
      </c>
      <c r="H571" t="s">
        <v>218</v>
      </c>
      <c r="I571" t="s">
        <v>441</v>
      </c>
      <c r="J571" t="s">
        <v>442</v>
      </c>
      <c r="K571" t="s">
        <v>382</v>
      </c>
      <c r="L571" s="39">
        <v>0.38299768518518518</v>
      </c>
      <c r="M571" s="39">
        <v>0.69452546296296291</v>
      </c>
      <c r="N571">
        <v>7.48</v>
      </c>
      <c r="O571" t="s">
        <v>1274</v>
      </c>
      <c r="P571">
        <v>0</v>
      </c>
      <c r="Q571" t="s">
        <v>1275</v>
      </c>
      <c r="R571">
        <v>0</v>
      </c>
      <c r="S571">
        <v>0</v>
      </c>
      <c r="T571" t="s">
        <v>474</v>
      </c>
      <c r="U571" t="s">
        <v>108</v>
      </c>
      <c r="V571" s="101">
        <v>46215</v>
      </c>
      <c r="W571">
        <v>1</v>
      </c>
      <c r="X571">
        <v>0</v>
      </c>
      <c r="Y571">
        <v>1</v>
      </c>
      <c r="Z571">
        <v>0</v>
      </c>
      <c r="AA571">
        <v>0</v>
      </c>
    </row>
    <row r="572" spans="1:27" x14ac:dyDescent="0.3">
      <c r="A572">
        <v>1094</v>
      </c>
      <c r="B572">
        <v>25.5</v>
      </c>
      <c r="C572">
        <v>1.5</v>
      </c>
      <c r="D572">
        <v>0</v>
      </c>
      <c r="E572">
        <v>0</v>
      </c>
      <c r="F572" t="s">
        <v>1261</v>
      </c>
      <c r="G572" s="101">
        <v>46216</v>
      </c>
      <c r="H572" t="s">
        <v>218</v>
      </c>
      <c r="I572" t="s">
        <v>441</v>
      </c>
      <c r="J572" t="s">
        <v>442</v>
      </c>
      <c r="K572" t="s">
        <v>382</v>
      </c>
      <c r="L572" s="39">
        <v>0.38037037037037036</v>
      </c>
      <c r="M572" s="39">
        <v>0.80018518518518522</v>
      </c>
      <c r="N572">
        <v>10.08</v>
      </c>
      <c r="O572" t="s">
        <v>1276</v>
      </c>
      <c r="P572">
        <v>0</v>
      </c>
      <c r="Q572" t="s">
        <v>1277</v>
      </c>
      <c r="R572">
        <v>1.7</v>
      </c>
      <c r="S572">
        <v>1.7</v>
      </c>
      <c r="T572" t="s">
        <v>474</v>
      </c>
      <c r="U572" t="s">
        <v>108</v>
      </c>
      <c r="V572" s="101">
        <v>46216</v>
      </c>
      <c r="W572">
        <v>1</v>
      </c>
      <c r="X572">
        <v>1</v>
      </c>
      <c r="Y572">
        <v>0</v>
      </c>
      <c r="Z572">
        <v>0</v>
      </c>
      <c r="AA572">
        <v>0</v>
      </c>
    </row>
    <row r="573" spans="1:27" x14ac:dyDescent="0.3">
      <c r="A573">
        <v>1094</v>
      </c>
      <c r="B573">
        <v>25.5</v>
      </c>
      <c r="C573">
        <v>1.5</v>
      </c>
      <c r="D573">
        <v>0</v>
      </c>
      <c r="E573">
        <v>0</v>
      </c>
      <c r="F573" t="s">
        <v>1261</v>
      </c>
      <c r="G573" s="101">
        <v>46217</v>
      </c>
      <c r="H573" t="s">
        <v>218</v>
      </c>
      <c r="I573" t="s">
        <v>441</v>
      </c>
      <c r="J573" t="s">
        <v>442</v>
      </c>
      <c r="K573" t="s">
        <v>382</v>
      </c>
      <c r="L573" s="39">
        <v>0.375</v>
      </c>
      <c r="M573" s="39">
        <v>0.82696759259259256</v>
      </c>
      <c r="N573">
        <v>10.85</v>
      </c>
      <c r="O573" t="s">
        <v>418</v>
      </c>
      <c r="P573">
        <v>0</v>
      </c>
      <c r="Q573" t="s">
        <v>1278</v>
      </c>
      <c r="R573">
        <v>2.35</v>
      </c>
      <c r="S573">
        <v>2.35</v>
      </c>
      <c r="T573" t="s">
        <v>474</v>
      </c>
      <c r="U573" t="s">
        <v>108</v>
      </c>
      <c r="V573" s="101">
        <v>46217</v>
      </c>
      <c r="W573">
        <v>1</v>
      </c>
      <c r="X573">
        <v>1</v>
      </c>
      <c r="Y573">
        <v>0</v>
      </c>
      <c r="Z573">
        <v>0</v>
      </c>
      <c r="AA573">
        <v>0</v>
      </c>
    </row>
    <row r="574" spans="1:27" x14ac:dyDescent="0.3">
      <c r="A574">
        <v>1094</v>
      </c>
      <c r="B574">
        <v>25.5</v>
      </c>
      <c r="C574">
        <v>1.5</v>
      </c>
      <c r="D574">
        <v>0</v>
      </c>
      <c r="E574">
        <v>0</v>
      </c>
      <c r="F574" t="s">
        <v>1261</v>
      </c>
      <c r="G574" s="101">
        <v>46218</v>
      </c>
      <c r="H574" t="s">
        <v>218</v>
      </c>
      <c r="I574" t="s">
        <v>441</v>
      </c>
      <c r="J574" t="s">
        <v>442</v>
      </c>
      <c r="K574" t="s">
        <v>382</v>
      </c>
      <c r="L574" s="39">
        <v>0.3762847222222222</v>
      </c>
      <c r="M574" s="39">
        <v>0.77109953703703704</v>
      </c>
      <c r="N574">
        <v>9.48</v>
      </c>
      <c r="O574" t="s">
        <v>559</v>
      </c>
      <c r="P574">
        <v>0</v>
      </c>
      <c r="Q574" t="s">
        <v>669</v>
      </c>
      <c r="R574">
        <v>1.01</v>
      </c>
      <c r="S574">
        <v>1.01</v>
      </c>
      <c r="T574" t="s">
        <v>474</v>
      </c>
      <c r="U574" t="s">
        <v>108</v>
      </c>
      <c r="V574" s="101">
        <v>46218</v>
      </c>
      <c r="W574">
        <v>1</v>
      </c>
      <c r="X574">
        <v>1</v>
      </c>
      <c r="Y574">
        <v>0</v>
      </c>
      <c r="Z574">
        <v>0</v>
      </c>
      <c r="AA574">
        <v>0</v>
      </c>
    </row>
    <row r="575" spans="1:27" x14ac:dyDescent="0.3">
      <c r="A575">
        <v>1094</v>
      </c>
      <c r="B575">
        <v>25.5</v>
      </c>
      <c r="C575">
        <v>1.5</v>
      </c>
      <c r="D575">
        <v>0</v>
      </c>
      <c r="E575">
        <v>0</v>
      </c>
      <c r="F575" t="s">
        <v>1261</v>
      </c>
      <c r="G575" s="101">
        <v>46219</v>
      </c>
      <c r="H575" t="s">
        <v>218</v>
      </c>
      <c r="I575" t="s">
        <v>441</v>
      </c>
      <c r="J575" t="s">
        <v>442</v>
      </c>
      <c r="K575" t="s">
        <v>383</v>
      </c>
      <c r="L575" s="39">
        <v>0</v>
      </c>
      <c r="M575" s="39">
        <v>0</v>
      </c>
      <c r="N575">
        <v>0</v>
      </c>
      <c r="O575" t="s">
        <v>384</v>
      </c>
      <c r="P575">
        <v>9</v>
      </c>
      <c r="Q575" t="s">
        <v>385</v>
      </c>
      <c r="R575">
        <v>0</v>
      </c>
      <c r="S575">
        <v>9</v>
      </c>
      <c r="T575" t="s">
        <v>474</v>
      </c>
      <c r="U575" t="s">
        <v>366</v>
      </c>
      <c r="V575" s="101">
        <v>46219</v>
      </c>
      <c r="W575">
        <v>0</v>
      </c>
      <c r="X575">
        <v>0</v>
      </c>
      <c r="Y575">
        <v>0</v>
      </c>
      <c r="Z575">
        <v>0</v>
      </c>
      <c r="AA575">
        <v>0</v>
      </c>
    </row>
    <row r="576" spans="1:27" x14ac:dyDescent="0.3">
      <c r="A576">
        <v>1094</v>
      </c>
      <c r="B576">
        <v>25.5</v>
      </c>
      <c r="C576">
        <v>1.5</v>
      </c>
      <c r="D576">
        <v>0</v>
      </c>
      <c r="E576">
        <v>0</v>
      </c>
      <c r="F576" t="s">
        <v>1261</v>
      </c>
      <c r="G576" s="101">
        <v>46220</v>
      </c>
      <c r="H576" t="s">
        <v>218</v>
      </c>
      <c r="I576" t="s">
        <v>441</v>
      </c>
      <c r="J576" t="s">
        <v>442</v>
      </c>
      <c r="K576" t="s">
        <v>382</v>
      </c>
      <c r="L576" s="39">
        <v>0.37631944444444443</v>
      </c>
      <c r="M576" s="39">
        <v>0.7693402777777778</v>
      </c>
      <c r="N576">
        <v>9.43</v>
      </c>
      <c r="O576" t="s">
        <v>451</v>
      </c>
      <c r="P576">
        <v>0</v>
      </c>
      <c r="Q576" t="s">
        <v>1279</v>
      </c>
      <c r="R576">
        <v>0.96</v>
      </c>
      <c r="S576">
        <v>0.96</v>
      </c>
      <c r="T576" t="s">
        <v>474</v>
      </c>
      <c r="U576" t="s">
        <v>108</v>
      </c>
      <c r="V576" s="101">
        <v>46220</v>
      </c>
      <c r="W576">
        <v>1</v>
      </c>
      <c r="X576">
        <v>1</v>
      </c>
      <c r="Y576">
        <v>0</v>
      </c>
      <c r="Z576">
        <v>0</v>
      </c>
      <c r="AA576">
        <v>0</v>
      </c>
    </row>
    <row r="577" spans="1:27" x14ac:dyDescent="0.3">
      <c r="A577">
        <v>1094</v>
      </c>
      <c r="B577">
        <v>25.5</v>
      </c>
      <c r="C577">
        <v>1.5</v>
      </c>
      <c r="D577">
        <v>0</v>
      </c>
      <c r="E577">
        <v>0</v>
      </c>
      <c r="F577" t="s">
        <v>1261</v>
      </c>
      <c r="G577" s="101">
        <v>46221</v>
      </c>
      <c r="H577" t="s">
        <v>218</v>
      </c>
      <c r="I577" t="s">
        <v>441</v>
      </c>
      <c r="J577" t="s">
        <v>442</v>
      </c>
      <c r="K577" t="s">
        <v>382</v>
      </c>
      <c r="L577" s="39">
        <v>0.3745486111111111</v>
      </c>
      <c r="M577" s="39">
        <v>0.73265046296296299</v>
      </c>
      <c r="N577">
        <v>8.59</v>
      </c>
      <c r="O577" t="s">
        <v>648</v>
      </c>
      <c r="P577">
        <v>0</v>
      </c>
      <c r="Q577" t="s">
        <v>684</v>
      </c>
      <c r="R577">
        <v>0</v>
      </c>
      <c r="S577">
        <v>0</v>
      </c>
      <c r="T577" t="s">
        <v>474</v>
      </c>
      <c r="U577" t="s">
        <v>108</v>
      </c>
      <c r="V577" s="101">
        <v>46221</v>
      </c>
      <c r="W577">
        <v>1</v>
      </c>
      <c r="X577">
        <v>1</v>
      </c>
      <c r="Y577">
        <v>0</v>
      </c>
      <c r="Z577">
        <v>0</v>
      </c>
      <c r="AA577">
        <v>0</v>
      </c>
    </row>
    <row r="578" spans="1:27" x14ac:dyDescent="0.3">
      <c r="A578">
        <v>1094</v>
      </c>
      <c r="B578">
        <v>25.5</v>
      </c>
      <c r="C578">
        <v>1.5</v>
      </c>
      <c r="D578">
        <v>0</v>
      </c>
      <c r="E578">
        <v>0</v>
      </c>
      <c r="F578" t="s">
        <v>1261</v>
      </c>
      <c r="G578" s="101">
        <v>46222</v>
      </c>
      <c r="H578" t="s">
        <v>218</v>
      </c>
      <c r="I578" t="s">
        <v>441</v>
      </c>
      <c r="J578" t="s">
        <v>442</v>
      </c>
      <c r="K578" t="s">
        <v>383</v>
      </c>
      <c r="L578" s="39">
        <v>0</v>
      </c>
      <c r="M578" s="39">
        <v>0</v>
      </c>
      <c r="N578">
        <v>0</v>
      </c>
      <c r="O578" t="s">
        <v>384</v>
      </c>
      <c r="P578">
        <v>9</v>
      </c>
      <c r="Q578" t="s">
        <v>385</v>
      </c>
      <c r="R578">
        <v>0</v>
      </c>
      <c r="S578">
        <v>9</v>
      </c>
      <c r="T578" t="s">
        <v>474</v>
      </c>
      <c r="U578" t="s">
        <v>366</v>
      </c>
      <c r="V578" s="101">
        <v>46222</v>
      </c>
      <c r="W578">
        <v>0</v>
      </c>
      <c r="X578">
        <v>0</v>
      </c>
      <c r="Y578">
        <v>0</v>
      </c>
      <c r="Z578">
        <v>0</v>
      </c>
      <c r="AA578">
        <v>0</v>
      </c>
    </row>
    <row r="579" spans="1:27" x14ac:dyDescent="0.3">
      <c r="A579">
        <v>1094</v>
      </c>
      <c r="B579">
        <v>25.5</v>
      </c>
      <c r="C579">
        <v>1.5</v>
      </c>
      <c r="D579">
        <v>0</v>
      </c>
      <c r="E579">
        <v>0</v>
      </c>
      <c r="F579" t="s">
        <v>1261</v>
      </c>
      <c r="G579" s="101">
        <v>46223</v>
      </c>
      <c r="H579" t="s">
        <v>218</v>
      </c>
      <c r="I579" t="s">
        <v>441</v>
      </c>
      <c r="J579" t="s">
        <v>442</v>
      </c>
      <c r="K579" t="s">
        <v>382</v>
      </c>
      <c r="L579" s="39">
        <v>0.38476851851851851</v>
      </c>
      <c r="M579" s="39">
        <v>0.81199074074074074</v>
      </c>
      <c r="N579">
        <v>10.25</v>
      </c>
      <c r="O579" t="s">
        <v>1280</v>
      </c>
      <c r="P579">
        <v>0</v>
      </c>
      <c r="Q579" t="s">
        <v>1281</v>
      </c>
      <c r="R579">
        <v>1.99</v>
      </c>
      <c r="S579">
        <v>1.99</v>
      </c>
      <c r="T579" t="s">
        <v>474</v>
      </c>
      <c r="U579" t="s">
        <v>108</v>
      </c>
      <c r="V579" s="101">
        <v>46223</v>
      </c>
      <c r="W579">
        <v>1</v>
      </c>
      <c r="X579">
        <v>1</v>
      </c>
      <c r="Y579">
        <v>0</v>
      </c>
      <c r="Z579">
        <v>0</v>
      </c>
      <c r="AA579">
        <v>0</v>
      </c>
    </row>
    <row r="580" spans="1:27" x14ac:dyDescent="0.3">
      <c r="A580">
        <v>1094</v>
      </c>
      <c r="B580">
        <v>25.5</v>
      </c>
      <c r="C580">
        <v>1.5</v>
      </c>
      <c r="D580">
        <v>0</v>
      </c>
      <c r="E580">
        <v>0</v>
      </c>
      <c r="F580" t="s">
        <v>1261</v>
      </c>
      <c r="G580" s="101">
        <v>46224</v>
      </c>
      <c r="H580" t="s">
        <v>218</v>
      </c>
      <c r="I580" t="s">
        <v>441</v>
      </c>
      <c r="J580" t="s">
        <v>442</v>
      </c>
      <c r="K580" t="s">
        <v>382</v>
      </c>
      <c r="L580" s="39">
        <v>0.37557870370370372</v>
      </c>
      <c r="M580" s="39">
        <v>0.83111111111111113</v>
      </c>
      <c r="N580">
        <v>10.93</v>
      </c>
      <c r="O580" t="s">
        <v>1282</v>
      </c>
      <c r="P580">
        <v>0</v>
      </c>
      <c r="Q580" t="s">
        <v>1283</v>
      </c>
      <c r="R580">
        <v>2.4500000000000002</v>
      </c>
      <c r="S580">
        <v>2.4500000000000002</v>
      </c>
      <c r="T580" t="s">
        <v>474</v>
      </c>
      <c r="U580" t="s">
        <v>108</v>
      </c>
      <c r="V580" s="101">
        <v>46224</v>
      </c>
      <c r="W580">
        <v>1</v>
      </c>
      <c r="X580">
        <v>1</v>
      </c>
      <c r="Y580">
        <v>0</v>
      </c>
      <c r="Z580">
        <v>0</v>
      </c>
      <c r="AA580">
        <v>0</v>
      </c>
    </row>
    <row r="581" spans="1:27" x14ac:dyDescent="0.3">
      <c r="A581">
        <v>1094</v>
      </c>
      <c r="B581">
        <v>25.5</v>
      </c>
      <c r="C581">
        <v>1.5</v>
      </c>
      <c r="D581">
        <v>0</v>
      </c>
      <c r="E581">
        <v>0</v>
      </c>
      <c r="F581" t="s">
        <v>1261</v>
      </c>
      <c r="G581" s="101">
        <v>46225</v>
      </c>
      <c r="H581" t="s">
        <v>218</v>
      </c>
      <c r="I581" t="s">
        <v>441</v>
      </c>
      <c r="J581" t="s">
        <v>442</v>
      </c>
      <c r="K581" t="s">
        <v>382</v>
      </c>
      <c r="L581" s="39">
        <v>0.3730324074074074</v>
      </c>
      <c r="M581" s="39">
        <v>0.78379629629629632</v>
      </c>
      <c r="N581">
        <v>9.86</v>
      </c>
      <c r="O581" t="s">
        <v>1016</v>
      </c>
      <c r="P581">
        <v>0</v>
      </c>
      <c r="Q581" t="s">
        <v>1284</v>
      </c>
      <c r="R581">
        <v>1.31</v>
      </c>
      <c r="S581">
        <v>1.31</v>
      </c>
      <c r="T581" t="s">
        <v>474</v>
      </c>
      <c r="U581" t="s">
        <v>108</v>
      </c>
      <c r="V581" s="101">
        <v>46225</v>
      </c>
      <c r="W581">
        <v>1</v>
      </c>
      <c r="X581">
        <v>1</v>
      </c>
      <c r="Y581">
        <v>0</v>
      </c>
      <c r="Z581">
        <v>0</v>
      </c>
      <c r="AA581">
        <v>0</v>
      </c>
    </row>
    <row r="582" spans="1:27" x14ac:dyDescent="0.3">
      <c r="A582">
        <v>1094</v>
      </c>
      <c r="B582">
        <v>25.5</v>
      </c>
      <c r="C582">
        <v>1.5</v>
      </c>
      <c r="D582">
        <v>0</v>
      </c>
      <c r="E582">
        <v>0</v>
      </c>
      <c r="F582" t="s">
        <v>1261</v>
      </c>
      <c r="G582" s="101">
        <v>46226</v>
      </c>
      <c r="H582" t="s">
        <v>218</v>
      </c>
      <c r="I582" t="s">
        <v>441</v>
      </c>
      <c r="J582" t="s">
        <v>442</v>
      </c>
      <c r="K582" t="s">
        <v>382</v>
      </c>
      <c r="L582" s="39">
        <v>0.46895833333333331</v>
      </c>
      <c r="M582" s="39">
        <v>0.76850694444444445</v>
      </c>
      <c r="N582">
        <v>7.19</v>
      </c>
      <c r="O582" t="s">
        <v>1285</v>
      </c>
      <c r="P582">
        <v>0</v>
      </c>
      <c r="Q582" t="s">
        <v>1132</v>
      </c>
      <c r="R582">
        <v>0.94</v>
      </c>
      <c r="S582">
        <v>0.94</v>
      </c>
      <c r="T582" t="s">
        <v>474</v>
      </c>
      <c r="U582" t="s">
        <v>108</v>
      </c>
      <c r="V582" s="101">
        <v>46226</v>
      </c>
      <c r="W582">
        <v>1</v>
      </c>
      <c r="X582">
        <v>1</v>
      </c>
      <c r="Y582">
        <v>0</v>
      </c>
      <c r="Z582">
        <v>0</v>
      </c>
      <c r="AA582">
        <v>0</v>
      </c>
    </row>
    <row r="583" spans="1:27" x14ac:dyDescent="0.3">
      <c r="A583">
        <v>1094</v>
      </c>
      <c r="B583">
        <v>25.5</v>
      </c>
      <c r="C583">
        <v>1.5</v>
      </c>
      <c r="D583">
        <v>0</v>
      </c>
      <c r="E583">
        <v>0</v>
      </c>
      <c r="F583" t="s">
        <v>1261</v>
      </c>
      <c r="G583" s="101">
        <v>46227</v>
      </c>
      <c r="H583" t="s">
        <v>218</v>
      </c>
      <c r="I583" t="s">
        <v>441</v>
      </c>
      <c r="J583" t="s">
        <v>442</v>
      </c>
      <c r="K583" t="s">
        <v>382</v>
      </c>
      <c r="L583" s="39">
        <v>0.39630787037037035</v>
      </c>
      <c r="M583" s="39">
        <v>0.80890046296296292</v>
      </c>
      <c r="N583">
        <v>9.9</v>
      </c>
      <c r="O583" t="s">
        <v>1286</v>
      </c>
      <c r="P583">
        <v>0</v>
      </c>
      <c r="Q583" t="s">
        <v>1287</v>
      </c>
      <c r="R583">
        <v>1.91</v>
      </c>
      <c r="S583">
        <v>1.91</v>
      </c>
      <c r="T583" t="s">
        <v>474</v>
      </c>
      <c r="U583" t="s">
        <v>108</v>
      </c>
      <c r="V583" s="101">
        <v>46227</v>
      </c>
      <c r="W583">
        <v>1</v>
      </c>
      <c r="X583">
        <v>1</v>
      </c>
      <c r="Y583">
        <v>0</v>
      </c>
      <c r="Z583">
        <v>0</v>
      </c>
      <c r="AA583">
        <v>0</v>
      </c>
    </row>
    <row r="584" spans="1:27" x14ac:dyDescent="0.3">
      <c r="A584">
        <v>1094</v>
      </c>
      <c r="B584">
        <v>25.5</v>
      </c>
      <c r="C584">
        <v>1.5</v>
      </c>
      <c r="D584">
        <v>0</v>
      </c>
      <c r="E584">
        <v>0</v>
      </c>
      <c r="F584" t="s">
        <v>1261</v>
      </c>
      <c r="G584" s="101">
        <v>46228</v>
      </c>
      <c r="H584" t="s">
        <v>218</v>
      </c>
      <c r="I584" t="s">
        <v>441</v>
      </c>
      <c r="J584" t="s">
        <v>442</v>
      </c>
      <c r="K584" t="s">
        <v>382</v>
      </c>
      <c r="L584" s="39">
        <v>0.37738425925925928</v>
      </c>
      <c r="M584" s="39">
        <v>0.78989583333333335</v>
      </c>
      <c r="N584">
        <v>9.9</v>
      </c>
      <c r="O584" t="s">
        <v>429</v>
      </c>
      <c r="P584">
        <v>0</v>
      </c>
      <c r="Q584" t="s">
        <v>1288</v>
      </c>
      <c r="R584">
        <v>1.46</v>
      </c>
      <c r="S584">
        <v>1.46</v>
      </c>
      <c r="T584" t="s">
        <v>474</v>
      </c>
      <c r="U584" t="s">
        <v>108</v>
      </c>
      <c r="V584" s="101">
        <v>46228</v>
      </c>
      <c r="W584">
        <v>1</v>
      </c>
      <c r="X584">
        <v>1</v>
      </c>
      <c r="Y584">
        <v>0</v>
      </c>
      <c r="Z584">
        <v>0</v>
      </c>
      <c r="AA584">
        <v>0</v>
      </c>
    </row>
    <row r="585" spans="1:27" x14ac:dyDescent="0.3">
      <c r="A585">
        <v>1094</v>
      </c>
      <c r="B585">
        <v>25.5</v>
      </c>
      <c r="C585">
        <v>1.5</v>
      </c>
      <c r="D585">
        <v>0</v>
      </c>
      <c r="E585">
        <v>0</v>
      </c>
      <c r="F585" t="s">
        <v>1261</v>
      </c>
      <c r="G585" s="101">
        <v>46229</v>
      </c>
      <c r="H585" t="s">
        <v>218</v>
      </c>
      <c r="I585" t="s">
        <v>441</v>
      </c>
      <c r="J585" t="s">
        <v>442</v>
      </c>
      <c r="K585" t="s">
        <v>383</v>
      </c>
      <c r="L585" s="39">
        <v>0</v>
      </c>
      <c r="M585" s="39">
        <v>0</v>
      </c>
      <c r="N585">
        <v>0</v>
      </c>
      <c r="O585" t="s">
        <v>384</v>
      </c>
      <c r="P585">
        <v>9</v>
      </c>
      <c r="Q585" t="s">
        <v>385</v>
      </c>
      <c r="R585">
        <v>0</v>
      </c>
      <c r="S585">
        <v>9</v>
      </c>
      <c r="T585" t="s">
        <v>474</v>
      </c>
      <c r="U585" t="s">
        <v>366</v>
      </c>
      <c r="V585" s="101">
        <v>46229</v>
      </c>
      <c r="W585">
        <v>0</v>
      </c>
      <c r="X585">
        <v>0</v>
      </c>
      <c r="Y585">
        <v>0</v>
      </c>
      <c r="Z585">
        <v>0</v>
      </c>
      <c r="AA585">
        <v>0</v>
      </c>
    </row>
    <row r="586" spans="1:27" x14ac:dyDescent="0.3">
      <c r="A586">
        <v>1094</v>
      </c>
      <c r="B586">
        <v>25.5</v>
      </c>
      <c r="C586">
        <v>1.5</v>
      </c>
      <c r="D586">
        <v>0</v>
      </c>
      <c r="E586">
        <v>0</v>
      </c>
      <c r="F586" t="s">
        <v>1261</v>
      </c>
      <c r="G586" s="101">
        <v>46230</v>
      </c>
      <c r="H586" t="s">
        <v>218</v>
      </c>
      <c r="I586" t="s">
        <v>441</v>
      </c>
      <c r="J586" t="s">
        <v>442</v>
      </c>
      <c r="K586" t="s">
        <v>382</v>
      </c>
      <c r="L586" s="39">
        <v>0.37203703703703705</v>
      </c>
      <c r="M586" s="39">
        <v>0.7326273148148148</v>
      </c>
      <c r="N586">
        <v>8.65</v>
      </c>
      <c r="O586" t="s">
        <v>667</v>
      </c>
      <c r="P586">
        <v>0</v>
      </c>
      <c r="Q586" t="s">
        <v>1289</v>
      </c>
      <c r="R586">
        <v>0</v>
      </c>
      <c r="S586">
        <v>0</v>
      </c>
      <c r="T586" t="s">
        <v>474</v>
      </c>
      <c r="U586" t="s">
        <v>108</v>
      </c>
      <c r="V586" s="101">
        <v>46230</v>
      </c>
      <c r="W586">
        <v>1</v>
      </c>
      <c r="X586">
        <v>1</v>
      </c>
      <c r="Y586">
        <v>0</v>
      </c>
      <c r="Z586">
        <v>0</v>
      </c>
      <c r="AA586">
        <v>0</v>
      </c>
    </row>
    <row r="587" spans="1:27" x14ac:dyDescent="0.3">
      <c r="A587">
        <v>1094</v>
      </c>
      <c r="B587">
        <v>25.5</v>
      </c>
      <c r="C587">
        <v>1.5</v>
      </c>
      <c r="D587">
        <v>0</v>
      </c>
      <c r="E587">
        <v>0</v>
      </c>
      <c r="F587" t="s">
        <v>1261</v>
      </c>
      <c r="G587" s="101">
        <v>46231</v>
      </c>
      <c r="H587" t="s">
        <v>218</v>
      </c>
      <c r="I587" t="s">
        <v>441</v>
      </c>
      <c r="J587" t="s">
        <v>442</v>
      </c>
      <c r="K587" t="s">
        <v>382</v>
      </c>
      <c r="L587" s="39">
        <v>0.37631944444444443</v>
      </c>
      <c r="M587" s="39">
        <v>0.85189814814814813</v>
      </c>
      <c r="N587">
        <v>11.41</v>
      </c>
      <c r="O587" t="s">
        <v>451</v>
      </c>
      <c r="P587">
        <v>0</v>
      </c>
      <c r="Q587" t="s">
        <v>1290</v>
      </c>
      <c r="R587">
        <v>2.95</v>
      </c>
      <c r="S587">
        <v>2.95</v>
      </c>
      <c r="T587" t="s">
        <v>474</v>
      </c>
      <c r="U587" t="s">
        <v>108</v>
      </c>
      <c r="V587" s="101">
        <v>46231</v>
      </c>
      <c r="W587">
        <v>1</v>
      </c>
      <c r="X587">
        <v>1</v>
      </c>
      <c r="Y587">
        <v>0</v>
      </c>
      <c r="Z587">
        <v>0</v>
      </c>
      <c r="AA587">
        <v>0</v>
      </c>
    </row>
    <row r="588" spans="1:27" x14ac:dyDescent="0.3">
      <c r="A588">
        <v>1094</v>
      </c>
      <c r="B588">
        <v>25.5</v>
      </c>
      <c r="C588">
        <v>1.5</v>
      </c>
      <c r="D588">
        <v>0</v>
      </c>
      <c r="E588">
        <v>0</v>
      </c>
      <c r="F588" t="s">
        <v>1261</v>
      </c>
      <c r="G588" s="101">
        <v>46232</v>
      </c>
      <c r="H588" t="s">
        <v>218</v>
      </c>
      <c r="I588" t="s">
        <v>441</v>
      </c>
      <c r="J588" t="s">
        <v>442</v>
      </c>
      <c r="K588" t="s">
        <v>382</v>
      </c>
      <c r="L588" s="39">
        <v>0.37658564814814816</v>
      </c>
      <c r="M588" s="39">
        <v>0.87620370370370371</v>
      </c>
      <c r="N588">
        <v>11.99</v>
      </c>
      <c r="O588" t="s">
        <v>450</v>
      </c>
      <c r="P588">
        <v>0</v>
      </c>
      <c r="Q588" t="s">
        <v>1291</v>
      </c>
      <c r="R588">
        <v>3.53</v>
      </c>
      <c r="S588">
        <v>3.53</v>
      </c>
      <c r="T588" t="s">
        <v>474</v>
      </c>
      <c r="U588" t="s">
        <v>108</v>
      </c>
      <c r="V588" s="101">
        <v>46232</v>
      </c>
      <c r="W588">
        <v>1</v>
      </c>
      <c r="X588">
        <v>1</v>
      </c>
      <c r="Y588">
        <v>0</v>
      </c>
      <c r="Z588">
        <v>0</v>
      </c>
      <c r="AA588">
        <v>0</v>
      </c>
    </row>
    <row r="589" spans="1:27" x14ac:dyDescent="0.3">
      <c r="A589">
        <v>1094</v>
      </c>
      <c r="B589">
        <v>25.5</v>
      </c>
      <c r="C589">
        <v>1.5</v>
      </c>
      <c r="D589">
        <v>0</v>
      </c>
      <c r="E589">
        <v>0</v>
      </c>
      <c r="F589" t="s">
        <v>1261</v>
      </c>
      <c r="G589" s="101">
        <v>46233</v>
      </c>
      <c r="H589" t="s">
        <v>218</v>
      </c>
      <c r="I589" t="s">
        <v>441</v>
      </c>
      <c r="J589" t="s">
        <v>442</v>
      </c>
      <c r="K589" t="s">
        <v>382</v>
      </c>
      <c r="L589" s="39">
        <v>0.38248842592592591</v>
      </c>
      <c r="M589" s="39">
        <v>0.98086805555555556</v>
      </c>
      <c r="N589">
        <v>14.36</v>
      </c>
      <c r="O589" t="s">
        <v>1292</v>
      </c>
      <c r="P589">
        <v>0</v>
      </c>
      <c r="Q589" t="s">
        <v>1293</v>
      </c>
      <c r="R589">
        <v>6.04</v>
      </c>
      <c r="S589">
        <v>6.04</v>
      </c>
      <c r="T589" t="s">
        <v>474</v>
      </c>
      <c r="U589" t="s">
        <v>108</v>
      </c>
      <c r="V589" s="101">
        <v>46233</v>
      </c>
      <c r="W589">
        <v>1</v>
      </c>
      <c r="X589">
        <v>1</v>
      </c>
      <c r="Y589">
        <v>0</v>
      </c>
      <c r="Z589">
        <v>0</v>
      </c>
      <c r="AA589">
        <v>0</v>
      </c>
    </row>
    <row r="590" spans="1:27" x14ac:dyDescent="0.3">
      <c r="A590">
        <v>1094</v>
      </c>
      <c r="B590">
        <v>25.5</v>
      </c>
      <c r="C590">
        <v>1.5</v>
      </c>
      <c r="D590">
        <v>0</v>
      </c>
      <c r="E590">
        <v>0</v>
      </c>
      <c r="F590" t="s">
        <v>1261</v>
      </c>
      <c r="G590" s="101">
        <v>46234</v>
      </c>
      <c r="H590" t="s">
        <v>218</v>
      </c>
      <c r="I590" t="s">
        <v>441</v>
      </c>
      <c r="J590" t="s">
        <v>442</v>
      </c>
      <c r="K590" t="s">
        <v>382</v>
      </c>
      <c r="L590" s="39">
        <v>0.39060185185185187</v>
      </c>
      <c r="M590" s="39">
        <v>0.96202546296296299</v>
      </c>
      <c r="N590">
        <v>13.71</v>
      </c>
      <c r="O590" t="s">
        <v>1294</v>
      </c>
      <c r="P590">
        <v>0</v>
      </c>
      <c r="Q590" t="s">
        <v>1295</v>
      </c>
      <c r="R590">
        <v>5.59</v>
      </c>
      <c r="S590">
        <v>5.59</v>
      </c>
      <c r="T590" t="s">
        <v>474</v>
      </c>
      <c r="U590" t="s">
        <v>108</v>
      </c>
      <c r="V590" s="101">
        <v>46234</v>
      </c>
      <c r="W590">
        <v>1</v>
      </c>
      <c r="X590">
        <v>1</v>
      </c>
      <c r="Y590">
        <v>0</v>
      </c>
      <c r="Z590">
        <v>0</v>
      </c>
      <c r="AA590">
        <v>0</v>
      </c>
    </row>
    <row r="591" spans="1:27" x14ac:dyDescent="0.3">
      <c r="A591">
        <v>5002</v>
      </c>
      <c r="B591">
        <v>27</v>
      </c>
      <c r="C591">
        <v>0</v>
      </c>
      <c r="D591">
        <v>0</v>
      </c>
      <c r="E591">
        <v>0</v>
      </c>
      <c r="F591" t="s">
        <v>1296</v>
      </c>
      <c r="G591" s="101">
        <v>46204</v>
      </c>
      <c r="H591" t="s">
        <v>73</v>
      </c>
      <c r="I591" t="s">
        <v>441</v>
      </c>
      <c r="J591" t="s">
        <v>459</v>
      </c>
      <c r="K591" t="s">
        <v>382</v>
      </c>
      <c r="L591" s="39">
        <v>0.37396990740740743</v>
      </c>
      <c r="M591" s="39">
        <v>0.73155092592592597</v>
      </c>
      <c r="N591">
        <v>8.58</v>
      </c>
      <c r="O591" t="s">
        <v>483</v>
      </c>
      <c r="P591">
        <v>0</v>
      </c>
      <c r="Q591" t="s">
        <v>626</v>
      </c>
      <c r="R591">
        <v>0</v>
      </c>
      <c r="S591">
        <v>0</v>
      </c>
      <c r="T591" t="s">
        <v>475</v>
      </c>
      <c r="U591" t="s">
        <v>108</v>
      </c>
      <c r="V591" s="101">
        <v>46204</v>
      </c>
      <c r="W591">
        <v>1</v>
      </c>
      <c r="X591">
        <v>1</v>
      </c>
      <c r="Y591">
        <v>0</v>
      </c>
      <c r="Z591">
        <v>0</v>
      </c>
      <c r="AA591">
        <v>0</v>
      </c>
    </row>
    <row r="592" spans="1:27" x14ac:dyDescent="0.3">
      <c r="A592">
        <v>5002</v>
      </c>
      <c r="B592">
        <v>27</v>
      </c>
      <c r="C592">
        <v>0</v>
      </c>
      <c r="D592">
        <v>0</v>
      </c>
      <c r="E592">
        <v>0</v>
      </c>
      <c r="F592" t="s">
        <v>1296</v>
      </c>
      <c r="G592" s="101">
        <v>46205</v>
      </c>
      <c r="H592" t="s">
        <v>73</v>
      </c>
      <c r="I592" t="s">
        <v>441</v>
      </c>
      <c r="J592" t="s">
        <v>459</v>
      </c>
      <c r="K592" t="s">
        <v>382</v>
      </c>
      <c r="L592" s="39">
        <v>0.37649305555555557</v>
      </c>
      <c r="M592" s="39">
        <v>0.72770833333333329</v>
      </c>
      <c r="N592">
        <v>8.43</v>
      </c>
      <c r="O592" t="s">
        <v>449</v>
      </c>
      <c r="P592">
        <v>0</v>
      </c>
      <c r="Q592" t="s">
        <v>456</v>
      </c>
      <c r="R592">
        <v>0</v>
      </c>
      <c r="S592">
        <v>0</v>
      </c>
      <c r="T592" t="s">
        <v>475</v>
      </c>
      <c r="U592" t="s">
        <v>108</v>
      </c>
      <c r="V592" s="101">
        <v>46205</v>
      </c>
      <c r="W592">
        <v>1</v>
      </c>
      <c r="X592">
        <v>1</v>
      </c>
      <c r="Y592">
        <v>0</v>
      </c>
      <c r="Z592">
        <v>0</v>
      </c>
      <c r="AA592">
        <v>0</v>
      </c>
    </row>
    <row r="593" spans="1:27" x14ac:dyDescent="0.3">
      <c r="A593">
        <v>5002</v>
      </c>
      <c r="B593">
        <v>27</v>
      </c>
      <c r="C593">
        <v>0</v>
      </c>
      <c r="D593">
        <v>0</v>
      </c>
      <c r="E593">
        <v>0</v>
      </c>
      <c r="F593" t="s">
        <v>1296</v>
      </c>
      <c r="G593" s="101">
        <v>46206</v>
      </c>
      <c r="H593" t="s">
        <v>73</v>
      </c>
      <c r="I593" t="s">
        <v>441</v>
      </c>
      <c r="J593" t="s">
        <v>459</v>
      </c>
      <c r="K593" t="s">
        <v>382</v>
      </c>
      <c r="L593" s="39">
        <v>0.38138888888888889</v>
      </c>
      <c r="M593" s="39">
        <v>0.72994212962962968</v>
      </c>
      <c r="N593">
        <v>8.3699999999999992</v>
      </c>
      <c r="O593" t="s">
        <v>1297</v>
      </c>
      <c r="P593">
        <v>0</v>
      </c>
      <c r="Q593" t="s">
        <v>1298</v>
      </c>
      <c r="R593">
        <v>0</v>
      </c>
      <c r="S593">
        <v>0</v>
      </c>
      <c r="T593" t="s">
        <v>475</v>
      </c>
      <c r="U593" t="s">
        <v>108</v>
      </c>
      <c r="V593" s="101">
        <v>46206</v>
      </c>
      <c r="W593">
        <v>1</v>
      </c>
      <c r="X593">
        <v>1</v>
      </c>
      <c r="Y593">
        <v>0</v>
      </c>
      <c r="Z593">
        <v>0</v>
      </c>
      <c r="AA593">
        <v>0</v>
      </c>
    </row>
    <row r="594" spans="1:27" x14ac:dyDescent="0.3">
      <c r="A594">
        <v>5002</v>
      </c>
      <c r="B594">
        <v>27</v>
      </c>
      <c r="C594">
        <v>0</v>
      </c>
      <c r="D594">
        <v>0</v>
      </c>
      <c r="E594">
        <v>0</v>
      </c>
      <c r="F594" t="s">
        <v>1296</v>
      </c>
      <c r="G594" s="101">
        <v>46207</v>
      </c>
      <c r="H594" t="s">
        <v>73</v>
      </c>
      <c r="I594" t="s">
        <v>441</v>
      </c>
      <c r="J594" t="s">
        <v>459</v>
      </c>
      <c r="K594" t="s">
        <v>382</v>
      </c>
      <c r="L594" s="39">
        <v>0.38924768518518521</v>
      </c>
      <c r="M594" s="39">
        <v>0.72884259259259254</v>
      </c>
      <c r="N594">
        <v>8.15</v>
      </c>
      <c r="O594" t="s">
        <v>1299</v>
      </c>
      <c r="P594">
        <v>0</v>
      </c>
      <c r="Q594" t="s">
        <v>670</v>
      </c>
      <c r="R594">
        <v>0</v>
      </c>
      <c r="S594">
        <v>0</v>
      </c>
      <c r="T594" t="s">
        <v>475</v>
      </c>
      <c r="U594" t="s">
        <v>108</v>
      </c>
      <c r="V594" s="101">
        <v>46207</v>
      </c>
      <c r="W594">
        <v>1</v>
      </c>
      <c r="X594">
        <v>1</v>
      </c>
      <c r="Y594">
        <v>0</v>
      </c>
      <c r="Z594">
        <v>0</v>
      </c>
      <c r="AA594">
        <v>0</v>
      </c>
    </row>
    <row r="595" spans="1:27" x14ac:dyDescent="0.3">
      <c r="A595">
        <v>5002</v>
      </c>
      <c r="B595">
        <v>27</v>
      </c>
      <c r="C595">
        <v>0</v>
      </c>
      <c r="D595">
        <v>0</v>
      </c>
      <c r="E595">
        <v>0</v>
      </c>
      <c r="F595" t="s">
        <v>1296</v>
      </c>
      <c r="G595" s="101">
        <v>46208</v>
      </c>
      <c r="H595" t="s">
        <v>73</v>
      </c>
      <c r="I595" t="s">
        <v>441</v>
      </c>
      <c r="J595" t="s">
        <v>459</v>
      </c>
      <c r="K595" t="s">
        <v>382</v>
      </c>
      <c r="L595" s="39">
        <v>0.375</v>
      </c>
      <c r="M595" s="39">
        <v>0.52222222222222225</v>
      </c>
      <c r="N595">
        <v>3.53</v>
      </c>
      <c r="O595" t="s">
        <v>418</v>
      </c>
      <c r="P595">
        <v>0</v>
      </c>
      <c r="Q595" t="s">
        <v>1300</v>
      </c>
      <c r="R595">
        <v>0</v>
      </c>
      <c r="S595">
        <v>0</v>
      </c>
      <c r="T595" t="s">
        <v>475</v>
      </c>
      <c r="U595" t="s">
        <v>314</v>
      </c>
      <c r="V595" s="101">
        <v>46208</v>
      </c>
      <c r="W595">
        <v>0.5</v>
      </c>
      <c r="X595">
        <v>0</v>
      </c>
      <c r="Y595">
        <v>0.5</v>
      </c>
      <c r="Z595">
        <v>0</v>
      </c>
      <c r="AA595">
        <v>0</v>
      </c>
    </row>
    <row r="596" spans="1:27" x14ac:dyDescent="0.3">
      <c r="A596">
        <v>5002</v>
      </c>
      <c r="B596">
        <v>27</v>
      </c>
      <c r="C596">
        <v>0</v>
      </c>
      <c r="D596">
        <v>0</v>
      </c>
      <c r="E596">
        <v>0</v>
      </c>
      <c r="F596" t="s">
        <v>1296</v>
      </c>
      <c r="G596" s="101">
        <v>46209</v>
      </c>
      <c r="H596" t="s">
        <v>73</v>
      </c>
      <c r="I596" t="s">
        <v>441</v>
      </c>
      <c r="J596" t="s">
        <v>459</v>
      </c>
      <c r="K596" t="s">
        <v>382</v>
      </c>
      <c r="L596" s="39">
        <v>0.37918981481481484</v>
      </c>
      <c r="M596" s="39">
        <v>0.76859953703703698</v>
      </c>
      <c r="N596">
        <v>9.35</v>
      </c>
      <c r="O596" t="s">
        <v>990</v>
      </c>
      <c r="P596">
        <v>0</v>
      </c>
      <c r="Q596" t="s">
        <v>1301</v>
      </c>
      <c r="R596">
        <v>0.95</v>
      </c>
      <c r="S596">
        <v>0.95</v>
      </c>
      <c r="T596" t="s">
        <v>475</v>
      </c>
      <c r="U596" t="s">
        <v>108</v>
      </c>
      <c r="V596" s="101">
        <v>46209</v>
      </c>
      <c r="W596">
        <v>1</v>
      </c>
      <c r="X596">
        <v>1</v>
      </c>
      <c r="Y596">
        <v>0</v>
      </c>
      <c r="Z596">
        <v>0</v>
      </c>
      <c r="AA596">
        <v>0</v>
      </c>
    </row>
    <row r="597" spans="1:27" x14ac:dyDescent="0.3">
      <c r="A597">
        <v>5002</v>
      </c>
      <c r="B597">
        <v>27</v>
      </c>
      <c r="C597">
        <v>0</v>
      </c>
      <c r="D597">
        <v>0</v>
      </c>
      <c r="E597">
        <v>0</v>
      </c>
      <c r="F597" t="s">
        <v>1296</v>
      </c>
      <c r="G597" s="101">
        <v>46210</v>
      </c>
      <c r="H597" t="s">
        <v>73</v>
      </c>
      <c r="I597" t="s">
        <v>441</v>
      </c>
      <c r="J597" t="s">
        <v>459</v>
      </c>
      <c r="K597" t="s">
        <v>382</v>
      </c>
      <c r="L597" s="39">
        <v>0.37986111111111109</v>
      </c>
      <c r="M597" s="39">
        <v>0.85072916666666665</v>
      </c>
      <c r="N597">
        <v>11.3</v>
      </c>
      <c r="O597" t="s">
        <v>1302</v>
      </c>
      <c r="P597">
        <v>0</v>
      </c>
      <c r="Q597" t="s">
        <v>1303</v>
      </c>
      <c r="R597">
        <v>2.92</v>
      </c>
      <c r="S597">
        <v>2.92</v>
      </c>
      <c r="T597" t="s">
        <v>475</v>
      </c>
      <c r="U597" t="s">
        <v>108</v>
      </c>
      <c r="V597" s="101">
        <v>46210</v>
      </c>
      <c r="W597">
        <v>1</v>
      </c>
      <c r="X597">
        <v>1</v>
      </c>
      <c r="Y597">
        <v>0</v>
      </c>
      <c r="Z597">
        <v>0</v>
      </c>
      <c r="AA597">
        <v>0</v>
      </c>
    </row>
    <row r="598" spans="1:27" x14ac:dyDescent="0.3">
      <c r="A598">
        <v>5002</v>
      </c>
      <c r="B598">
        <v>27</v>
      </c>
      <c r="C598">
        <v>0</v>
      </c>
      <c r="D598">
        <v>0</v>
      </c>
      <c r="E598">
        <v>0</v>
      </c>
      <c r="F598" t="s">
        <v>1296</v>
      </c>
      <c r="G598" s="101">
        <v>46211</v>
      </c>
      <c r="H598" t="s">
        <v>73</v>
      </c>
      <c r="I598" t="s">
        <v>441</v>
      </c>
      <c r="J598" t="s">
        <v>459</v>
      </c>
      <c r="K598" t="s">
        <v>382</v>
      </c>
      <c r="L598" s="39">
        <v>0.41468749999999999</v>
      </c>
      <c r="M598" s="39">
        <v>1.9756944444444445E-2</v>
      </c>
      <c r="N598">
        <v>14.52</v>
      </c>
      <c r="O598" t="s">
        <v>1304</v>
      </c>
      <c r="P598">
        <v>0</v>
      </c>
      <c r="Q598" t="s">
        <v>1305</v>
      </c>
      <c r="R598">
        <v>0</v>
      </c>
      <c r="S598">
        <v>0</v>
      </c>
      <c r="T598" t="s">
        <v>475</v>
      </c>
      <c r="U598" t="s">
        <v>108</v>
      </c>
      <c r="V598" s="101">
        <v>46211</v>
      </c>
      <c r="W598">
        <v>1</v>
      </c>
      <c r="X598">
        <v>1</v>
      </c>
      <c r="Y598">
        <v>0</v>
      </c>
      <c r="Z598">
        <v>0</v>
      </c>
      <c r="AA598">
        <v>0</v>
      </c>
    </row>
    <row r="599" spans="1:27" x14ac:dyDescent="0.3">
      <c r="A599">
        <v>5002</v>
      </c>
      <c r="B599">
        <v>27</v>
      </c>
      <c r="C599">
        <v>0</v>
      </c>
      <c r="D599">
        <v>0</v>
      </c>
      <c r="E599">
        <v>0</v>
      </c>
      <c r="F599" t="s">
        <v>1296</v>
      </c>
      <c r="G599" s="101">
        <v>46212</v>
      </c>
      <c r="H599" t="s">
        <v>73</v>
      </c>
      <c r="I599" t="s">
        <v>441</v>
      </c>
      <c r="J599" t="s">
        <v>459</v>
      </c>
      <c r="K599" t="s">
        <v>382</v>
      </c>
      <c r="L599" s="39">
        <v>0.3885763888888889</v>
      </c>
      <c r="M599" s="39">
        <v>0.76839120370370373</v>
      </c>
      <c r="N599">
        <v>9.1199999999999992</v>
      </c>
      <c r="O599" t="s">
        <v>1306</v>
      </c>
      <c r="P599">
        <v>0</v>
      </c>
      <c r="Q599" t="s">
        <v>1031</v>
      </c>
      <c r="R599">
        <v>0.94</v>
      </c>
      <c r="S599">
        <v>0.94</v>
      </c>
      <c r="T599" t="s">
        <v>475</v>
      </c>
      <c r="U599" t="s">
        <v>108</v>
      </c>
      <c r="V599" s="101">
        <v>46212</v>
      </c>
      <c r="W599">
        <v>1</v>
      </c>
      <c r="X599">
        <v>1</v>
      </c>
      <c r="Y599">
        <v>0</v>
      </c>
      <c r="Z599">
        <v>0</v>
      </c>
      <c r="AA599">
        <v>0</v>
      </c>
    </row>
    <row r="600" spans="1:27" x14ac:dyDescent="0.3">
      <c r="A600">
        <v>5002</v>
      </c>
      <c r="B600">
        <v>27</v>
      </c>
      <c r="C600">
        <v>0</v>
      </c>
      <c r="D600">
        <v>0</v>
      </c>
      <c r="E600">
        <v>0</v>
      </c>
      <c r="F600" t="s">
        <v>1296</v>
      </c>
      <c r="G600" s="101">
        <v>46213</v>
      </c>
      <c r="H600" t="s">
        <v>73</v>
      </c>
      <c r="I600" t="s">
        <v>441</v>
      </c>
      <c r="J600" t="s">
        <v>459</v>
      </c>
      <c r="K600" t="s">
        <v>382</v>
      </c>
      <c r="L600" s="39">
        <v>0.37562499999999999</v>
      </c>
      <c r="M600" s="39">
        <v>0.99618055555555551</v>
      </c>
      <c r="N600">
        <v>14.89</v>
      </c>
      <c r="O600" t="s">
        <v>740</v>
      </c>
      <c r="P600">
        <v>0</v>
      </c>
      <c r="Q600" t="s">
        <v>1307</v>
      </c>
      <c r="R600">
        <v>6.41</v>
      </c>
      <c r="S600">
        <v>6.41</v>
      </c>
      <c r="T600" t="s">
        <v>475</v>
      </c>
      <c r="U600" t="s">
        <v>108</v>
      </c>
      <c r="V600" s="101">
        <v>46213</v>
      </c>
      <c r="W600">
        <v>1</v>
      </c>
      <c r="X600">
        <v>1</v>
      </c>
      <c r="Y600">
        <v>0</v>
      </c>
      <c r="Z600">
        <v>0</v>
      </c>
      <c r="AA600">
        <v>0</v>
      </c>
    </row>
    <row r="601" spans="1:27" x14ac:dyDescent="0.3">
      <c r="A601">
        <v>5002</v>
      </c>
      <c r="B601">
        <v>27</v>
      </c>
      <c r="C601">
        <v>0</v>
      </c>
      <c r="D601">
        <v>0</v>
      </c>
      <c r="E601">
        <v>0</v>
      </c>
      <c r="F601" t="s">
        <v>1296</v>
      </c>
      <c r="G601" s="101">
        <v>46214</v>
      </c>
      <c r="H601" t="s">
        <v>73</v>
      </c>
      <c r="I601" t="s">
        <v>441</v>
      </c>
      <c r="J601" t="s">
        <v>459</v>
      </c>
      <c r="K601" t="s">
        <v>382</v>
      </c>
      <c r="L601" s="39">
        <v>0.37239583333333331</v>
      </c>
      <c r="M601" s="39">
        <v>0.83460648148148153</v>
      </c>
      <c r="N601">
        <v>11.09</v>
      </c>
      <c r="O601" t="s">
        <v>1308</v>
      </c>
      <c r="P601">
        <v>0</v>
      </c>
      <c r="Q601" t="s">
        <v>1309</v>
      </c>
      <c r="R601">
        <v>2.5299999999999998</v>
      </c>
      <c r="S601">
        <v>2.5299999999999998</v>
      </c>
      <c r="T601" t="s">
        <v>475</v>
      </c>
      <c r="U601" t="s">
        <v>108</v>
      </c>
      <c r="V601" s="101">
        <v>46214</v>
      </c>
      <c r="W601">
        <v>1</v>
      </c>
      <c r="X601">
        <v>1</v>
      </c>
      <c r="Y601">
        <v>0</v>
      </c>
      <c r="Z601">
        <v>0</v>
      </c>
      <c r="AA601">
        <v>0</v>
      </c>
    </row>
    <row r="602" spans="1:27" x14ac:dyDescent="0.3">
      <c r="A602">
        <v>5002</v>
      </c>
      <c r="B602">
        <v>27</v>
      </c>
      <c r="C602">
        <v>0</v>
      </c>
      <c r="D602">
        <v>0</v>
      </c>
      <c r="E602">
        <v>0</v>
      </c>
      <c r="F602" t="s">
        <v>1296</v>
      </c>
      <c r="G602" s="101">
        <v>46215</v>
      </c>
      <c r="H602" t="s">
        <v>73</v>
      </c>
      <c r="I602" t="s">
        <v>441</v>
      </c>
      <c r="J602" t="s">
        <v>459</v>
      </c>
      <c r="K602" t="s">
        <v>382</v>
      </c>
      <c r="L602" s="39">
        <v>0.38325231481481481</v>
      </c>
      <c r="M602" s="39">
        <v>0.68885416666666666</v>
      </c>
      <c r="N602">
        <v>7.33</v>
      </c>
      <c r="O602" t="s">
        <v>1310</v>
      </c>
      <c r="P602">
        <v>0</v>
      </c>
      <c r="Q602" t="s">
        <v>1311</v>
      </c>
      <c r="R602">
        <v>0</v>
      </c>
      <c r="S602">
        <v>0</v>
      </c>
      <c r="T602" t="s">
        <v>475</v>
      </c>
      <c r="U602" t="s">
        <v>108</v>
      </c>
      <c r="V602" s="101">
        <v>46215</v>
      </c>
      <c r="W602">
        <v>1</v>
      </c>
      <c r="X602">
        <v>0</v>
      </c>
      <c r="Y602">
        <v>1</v>
      </c>
      <c r="Z602">
        <v>0</v>
      </c>
      <c r="AA602">
        <v>0</v>
      </c>
    </row>
    <row r="603" spans="1:27" x14ac:dyDescent="0.3">
      <c r="A603">
        <v>5002</v>
      </c>
      <c r="B603">
        <v>27</v>
      </c>
      <c r="C603">
        <v>0</v>
      </c>
      <c r="D603">
        <v>0</v>
      </c>
      <c r="E603">
        <v>0</v>
      </c>
      <c r="F603" t="s">
        <v>1296</v>
      </c>
      <c r="G603" s="101">
        <v>46216</v>
      </c>
      <c r="H603" t="s">
        <v>73</v>
      </c>
      <c r="I603" t="s">
        <v>441</v>
      </c>
      <c r="J603" t="s">
        <v>459</v>
      </c>
      <c r="K603" t="s">
        <v>382</v>
      </c>
      <c r="L603" s="39">
        <v>0.3800115740740741</v>
      </c>
      <c r="M603" s="39">
        <v>0.80021990740740745</v>
      </c>
      <c r="N603">
        <v>10.08</v>
      </c>
      <c r="O603" t="s">
        <v>1312</v>
      </c>
      <c r="P603">
        <v>0</v>
      </c>
      <c r="Q603" t="s">
        <v>1313</v>
      </c>
      <c r="R603">
        <v>1.71</v>
      </c>
      <c r="S603">
        <v>1.71</v>
      </c>
      <c r="T603" t="s">
        <v>475</v>
      </c>
      <c r="U603" t="s">
        <v>108</v>
      </c>
      <c r="V603" s="101">
        <v>46216</v>
      </c>
      <c r="W603">
        <v>1</v>
      </c>
      <c r="X603">
        <v>1</v>
      </c>
      <c r="Y603">
        <v>0</v>
      </c>
      <c r="Z603">
        <v>0</v>
      </c>
      <c r="AA603">
        <v>0</v>
      </c>
    </row>
    <row r="604" spans="1:27" x14ac:dyDescent="0.3">
      <c r="A604">
        <v>5002</v>
      </c>
      <c r="B604">
        <v>27</v>
      </c>
      <c r="C604">
        <v>0</v>
      </c>
      <c r="D604">
        <v>0</v>
      </c>
      <c r="E604">
        <v>0</v>
      </c>
      <c r="F604" t="s">
        <v>1296</v>
      </c>
      <c r="G604" s="101">
        <v>46217</v>
      </c>
      <c r="H604" t="s">
        <v>73</v>
      </c>
      <c r="I604" t="s">
        <v>441</v>
      </c>
      <c r="J604" t="s">
        <v>459</v>
      </c>
      <c r="K604" t="s">
        <v>382</v>
      </c>
      <c r="L604" s="39">
        <v>0.37387731481481479</v>
      </c>
      <c r="M604" s="39">
        <v>0.82700231481481479</v>
      </c>
      <c r="N604">
        <v>10.88</v>
      </c>
      <c r="O604" t="s">
        <v>642</v>
      </c>
      <c r="P604">
        <v>0</v>
      </c>
      <c r="Q604" t="s">
        <v>1314</v>
      </c>
      <c r="R604">
        <v>2.35</v>
      </c>
      <c r="S604">
        <v>2.35</v>
      </c>
      <c r="T604" t="s">
        <v>475</v>
      </c>
      <c r="U604" t="s">
        <v>108</v>
      </c>
      <c r="V604" s="101">
        <v>46217</v>
      </c>
      <c r="W604">
        <v>1</v>
      </c>
      <c r="X604">
        <v>1</v>
      </c>
      <c r="Y604">
        <v>0</v>
      </c>
      <c r="Z604">
        <v>0</v>
      </c>
      <c r="AA604">
        <v>0</v>
      </c>
    </row>
    <row r="605" spans="1:27" x14ac:dyDescent="0.3">
      <c r="A605">
        <v>5002</v>
      </c>
      <c r="B605">
        <v>27</v>
      </c>
      <c r="C605">
        <v>0</v>
      </c>
      <c r="D605">
        <v>0</v>
      </c>
      <c r="E605">
        <v>0</v>
      </c>
      <c r="F605" t="s">
        <v>1296</v>
      </c>
      <c r="G605" s="101">
        <v>46218</v>
      </c>
      <c r="H605" t="s">
        <v>73</v>
      </c>
      <c r="I605" t="s">
        <v>441</v>
      </c>
      <c r="J605" t="s">
        <v>459</v>
      </c>
      <c r="K605" t="s">
        <v>382</v>
      </c>
      <c r="L605" s="39">
        <v>0.37578703703703703</v>
      </c>
      <c r="M605" s="39">
        <v>0.7712268518518518</v>
      </c>
      <c r="N605">
        <v>9.49</v>
      </c>
      <c r="O605" t="s">
        <v>493</v>
      </c>
      <c r="P605">
        <v>0</v>
      </c>
      <c r="Q605" t="s">
        <v>571</v>
      </c>
      <c r="R605">
        <v>1.01</v>
      </c>
      <c r="S605">
        <v>1.01</v>
      </c>
      <c r="T605" t="s">
        <v>475</v>
      </c>
      <c r="U605" t="s">
        <v>108</v>
      </c>
      <c r="V605" s="101">
        <v>46218</v>
      </c>
      <c r="W605">
        <v>1</v>
      </c>
      <c r="X605">
        <v>1</v>
      </c>
      <c r="Y605">
        <v>0</v>
      </c>
      <c r="Z605">
        <v>0</v>
      </c>
      <c r="AA605">
        <v>0</v>
      </c>
    </row>
    <row r="606" spans="1:27" x14ac:dyDescent="0.3">
      <c r="A606">
        <v>5002</v>
      </c>
      <c r="B606">
        <v>27</v>
      </c>
      <c r="C606">
        <v>0</v>
      </c>
      <c r="D606">
        <v>0</v>
      </c>
      <c r="E606">
        <v>0</v>
      </c>
      <c r="F606" t="s">
        <v>1296</v>
      </c>
      <c r="G606" s="101">
        <v>46219</v>
      </c>
      <c r="H606" t="s">
        <v>73</v>
      </c>
      <c r="I606" t="s">
        <v>441</v>
      </c>
      <c r="J606" t="s">
        <v>459</v>
      </c>
      <c r="K606" t="s">
        <v>382</v>
      </c>
      <c r="L606" s="39">
        <v>0.37979166666666669</v>
      </c>
      <c r="M606" s="39">
        <v>0.85599537037037032</v>
      </c>
      <c r="N606">
        <v>11.43</v>
      </c>
      <c r="O606" t="s">
        <v>1315</v>
      </c>
      <c r="P606">
        <v>0</v>
      </c>
      <c r="Q606" t="s">
        <v>1316</v>
      </c>
      <c r="R606">
        <v>3.04</v>
      </c>
      <c r="S606">
        <v>3.04</v>
      </c>
      <c r="T606" t="s">
        <v>475</v>
      </c>
      <c r="U606" t="s">
        <v>108</v>
      </c>
      <c r="V606" s="101">
        <v>46219</v>
      </c>
      <c r="W606">
        <v>1</v>
      </c>
      <c r="X606">
        <v>1</v>
      </c>
      <c r="Y606">
        <v>0</v>
      </c>
      <c r="Z606">
        <v>0</v>
      </c>
      <c r="AA606">
        <v>0</v>
      </c>
    </row>
    <row r="607" spans="1:27" x14ac:dyDescent="0.3">
      <c r="A607">
        <v>5002</v>
      </c>
      <c r="B607">
        <v>27</v>
      </c>
      <c r="C607">
        <v>0</v>
      </c>
      <c r="D607">
        <v>0</v>
      </c>
      <c r="E607">
        <v>0</v>
      </c>
      <c r="F607" t="s">
        <v>1296</v>
      </c>
      <c r="G607" s="101">
        <v>46220</v>
      </c>
      <c r="H607" t="s">
        <v>73</v>
      </c>
      <c r="I607" t="s">
        <v>441</v>
      </c>
      <c r="J607" t="s">
        <v>459</v>
      </c>
      <c r="K607" t="s">
        <v>382</v>
      </c>
      <c r="L607" s="39">
        <v>0.37596064814814817</v>
      </c>
      <c r="M607" s="39">
        <v>0.7689583333333333</v>
      </c>
      <c r="N607">
        <v>9.43</v>
      </c>
      <c r="O607" t="s">
        <v>1114</v>
      </c>
      <c r="P607">
        <v>0</v>
      </c>
      <c r="Q607" t="s">
        <v>1095</v>
      </c>
      <c r="R607">
        <v>0.96</v>
      </c>
      <c r="S607">
        <v>0.96</v>
      </c>
      <c r="T607" t="s">
        <v>475</v>
      </c>
      <c r="U607" t="s">
        <v>108</v>
      </c>
      <c r="V607" s="101">
        <v>46220</v>
      </c>
      <c r="W607">
        <v>1</v>
      </c>
      <c r="X607">
        <v>1</v>
      </c>
      <c r="Y607">
        <v>0</v>
      </c>
      <c r="Z607">
        <v>0</v>
      </c>
      <c r="AA607">
        <v>0</v>
      </c>
    </row>
    <row r="608" spans="1:27" x14ac:dyDescent="0.3">
      <c r="A608">
        <v>5002</v>
      </c>
      <c r="B608">
        <v>27</v>
      </c>
      <c r="C608">
        <v>0</v>
      </c>
      <c r="D608">
        <v>0</v>
      </c>
      <c r="E608">
        <v>0</v>
      </c>
      <c r="F608" t="s">
        <v>1296</v>
      </c>
      <c r="G608" s="101">
        <v>46221</v>
      </c>
      <c r="H608" t="s">
        <v>73</v>
      </c>
      <c r="I608" t="s">
        <v>441</v>
      </c>
      <c r="J608" t="s">
        <v>459</v>
      </c>
      <c r="K608" t="s">
        <v>382</v>
      </c>
      <c r="L608" s="39">
        <v>0.37432870370370369</v>
      </c>
      <c r="M608" s="39">
        <v>0.73363425925925929</v>
      </c>
      <c r="N608">
        <v>8.6199999999999992</v>
      </c>
      <c r="O608" t="s">
        <v>624</v>
      </c>
      <c r="P608">
        <v>0</v>
      </c>
      <c r="Q608" t="s">
        <v>512</v>
      </c>
      <c r="R608">
        <v>0</v>
      </c>
      <c r="S608">
        <v>0</v>
      </c>
      <c r="T608" t="s">
        <v>475</v>
      </c>
      <c r="U608" t="s">
        <v>108</v>
      </c>
      <c r="V608" s="101">
        <v>46221</v>
      </c>
      <c r="W608">
        <v>1</v>
      </c>
      <c r="X608">
        <v>1</v>
      </c>
      <c r="Y608">
        <v>0</v>
      </c>
      <c r="Z608">
        <v>0</v>
      </c>
      <c r="AA608">
        <v>0</v>
      </c>
    </row>
    <row r="609" spans="1:27" x14ac:dyDescent="0.3">
      <c r="A609">
        <v>5002</v>
      </c>
      <c r="B609">
        <v>27</v>
      </c>
      <c r="C609">
        <v>0</v>
      </c>
      <c r="D609">
        <v>0</v>
      </c>
      <c r="E609">
        <v>0</v>
      </c>
      <c r="F609" t="s">
        <v>1296</v>
      </c>
      <c r="G609" s="101">
        <v>46222</v>
      </c>
      <c r="H609" t="s">
        <v>73</v>
      </c>
      <c r="I609" t="s">
        <v>441</v>
      </c>
      <c r="J609" t="s">
        <v>459</v>
      </c>
      <c r="K609" t="s">
        <v>382</v>
      </c>
      <c r="L609" s="39">
        <v>0.38377314814814817</v>
      </c>
      <c r="M609" s="39">
        <v>0.69106481481481485</v>
      </c>
      <c r="N609">
        <v>7.38</v>
      </c>
      <c r="O609" t="s">
        <v>1317</v>
      </c>
      <c r="P609">
        <v>0</v>
      </c>
      <c r="Q609" t="s">
        <v>1318</v>
      </c>
      <c r="R609">
        <v>0</v>
      </c>
      <c r="S609">
        <v>0</v>
      </c>
      <c r="T609" t="s">
        <v>475</v>
      </c>
      <c r="U609" t="s">
        <v>108</v>
      </c>
      <c r="V609" s="101">
        <v>46222</v>
      </c>
      <c r="W609">
        <v>1</v>
      </c>
      <c r="X609">
        <v>0</v>
      </c>
      <c r="Y609">
        <v>1</v>
      </c>
      <c r="Z609">
        <v>0</v>
      </c>
      <c r="AA609">
        <v>0</v>
      </c>
    </row>
    <row r="610" spans="1:27" x14ac:dyDescent="0.3">
      <c r="A610">
        <v>5002</v>
      </c>
      <c r="B610">
        <v>27</v>
      </c>
      <c r="C610">
        <v>0</v>
      </c>
      <c r="D610">
        <v>0</v>
      </c>
      <c r="E610">
        <v>0</v>
      </c>
      <c r="F610" t="s">
        <v>1296</v>
      </c>
      <c r="G610" s="101">
        <v>46223</v>
      </c>
      <c r="H610" t="s">
        <v>73</v>
      </c>
      <c r="I610" t="s">
        <v>441</v>
      </c>
      <c r="J610" t="s">
        <v>459</v>
      </c>
      <c r="K610" t="s">
        <v>382</v>
      </c>
      <c r="L610" s="39">
        <v>0.38451388888888888</v>
      </c>
      <c r="M610" s="39">
        <v>0.81287037037037035</v>
      </c>
      <c r="N610">
        <v>10.28</v>
      </c>
      <c r="O610" t="s">
        <v>1319</v>
      </c>
      <c r="P610">
        <v>0</v>
      </c>
      <c r="Q610" t="s">
        <v>1320</v>
      </c>
      <c r="R610">
        <v>2.0099999999999998</v>
      </c>
      <c r="S610">
        <v>2.0099999999999998</v>
      </c>
      <c r="T610" t="s">
        <v>475</v>
      </c>
      <c r="U610" t="s">
        <v>108</v>
      </c>
      <c r="V610" s="101">
        <v>46223</v>
      </c>
      <c r="W610">
        <v>1</v>
      </c>
      <c r="X610">
        <v>1</v>
      </c>
      <c r="Y610">
        <v>0</v>
      </c>
      <c r="Z610">
        <v>0</v>
      </c>
      <c r="AA610">
        <v>0</v>
      </c>
    </row>
    <row r="611" spans="1:27" x14ac:dyDescent="0.3">
      <c r="A611">
        <v>5002</v>
      </c>
      <c r="B611">
        <v>27</v>
      </c>
      <c r="C611">
        <v>0</v>
      </c>
      <c r="D611">
        <v>0</v>
      </c>
      <c r="E611">
        <v>0</v>
      </c>
      <c r="F611" t="s">
        <v>1296</v>
      </c>
      <c r="G611" s="101">
        <v>46224</v>
      </c>
      <c r="H611" t="s">
        <v>73</v>
      </c>
      <c r="I611" t="s">
        <v>441</v>
      </c>
      <c r="J611" t="s">
        <v>459</v>
      </c>
      <c r="K611" t="s">
        <v>382</v>
      </c>
      <c r="L611" s="39">
        <v>0.37663194444444442</v>
      </c>
      <c r="M611" s="39">
        <v>0</v>
      </c>
      <c r="N611">
        <v>14.96</v>
      </c>
      <c r="O611" t="s">
        <v>710</v>
      </c>
      <c r="P611">
        <v>0</v>
      </c>
      <c r="Q611" t="s">
        <v>385</v>
      </c>
      <c r="R611">
        <v>0</v>
      </c>
      <c r="S611">
        <v>0</v>
      </c>
      <c r="T611" t="s">
        <v>475</v>
      </c>
      <c r="U611" t="s">
        <v>108</v>
      </c>
      <c r="V611" s="101">
        <v>46224</v>
      </c>
      <c r="W611">
        <v>1</v>
      </c>
      <c r="X611">
        <v>1</v>
      </c>
      <c r="Y611">
        <v>0</v>
      </c>
      <c r="Z611">
        <v>0</v>
      </c>
      <c r="AA611">
        <v>0</v>
      </c>
    </row>
    <row r="612" spans="1:27" x14ac:dyDescent="0.3">
      <c r="A612">
        <v>5002</v>
      </c>
      <c r="B612">
        <v>27</v>
      </c>
      <c r="C612">
        <v>0</v>
      </c>
      <c r="D612">
        <v>0</v>
      </c>
      <c r="E612">
        <v>0</v>
      </c>
      <c r="F612" t="s">
        <v>1296</v>
      </c>
      <c r="G612" s="101">
        <v>46225</v>
      </c>
      <c r="H612" t="s">
        <v>73</v>
      </c>
      <c r="I612" t="s">
        <v>441</v>
      </c>
      <c r="J612" t="s">
        <v>459</v>
      </c>
      <c r="K612" t="s">
        <v>382</v>
      </c>
      <c r="L612" s="39">
        <v>0.3742361111111111</v>
      </c>
      <c r="M612" s="39">
        <v>0.76886574074074077</v>
      </c>
      <c r="N612">
        <v>9.4700000000000006</v>
      </c>
      <c r="O612" t="s">
        <v>1321</v>
      </c>
      <c r="P612">
        <v>0</v>
      </c>
      <c r="Q612" t="s">
        <v>1322</v>
      </c>
      <c r="R612">
        <v>0.95</v>
      </c>
      <c r="S612">
        <v>0.95</v>
      </c>
      <c r="T612" t="s">
        <v>475</v>
      </c>
      <c r="U612" t="s">
        <v>108</v>
      </c>
      <c r="V612" s="101">
        <v>46225</v>
      </c>
      <c r="W612">
        <v>1</v>
      </c>
      <c r="X612">
        <v>1</v>
      </c>
      <c r="Y612">
        <v>0</v>
      </c>
      <c r="Z612">
        <v>0</v>
      </c>
      <c r="AA612">
        <v>0</v>
      </c>
    </row>
    <row r="613" spans="1:27" x14ac:dyDescent="0.3">
      <c r="A613">
        <v>5002</v>
      </c>
      <c r="B613">
        <v>27</v>
      </c>
      <c r="C613">
        <v>0</v>
      </c>
      <c r="D613">
        <v>0</v>
      </c>
      <c r="E613">
        <v>0</v>
      </c>
      <c r="F613" t="s">
        <v>1296</v>
      </c>
      <c r="G613" s="101">
        <v>46226</v>
      </c>
      <c r="H613" t="s">
        <v>73</v>
      </c>
      <c r="I613" t="s">
        <v>441</v>
      </c>
      <c r="J613" t="s">
        <v>459</v>
      </c>
      <c r="K613" t="s">
        <v>382</v>
      </c>
      <c r="L613" s="39">
        <v>0.37717592592592591</v>
      </c>
      <c r="M613" s="39">
        <v>0.7686574074074074</v>
      </c>
      <c r="N613">
        <v>9.4</v>
      </c>
      <c r="O613" t="s">
        <v>506</v>
      </c>
      <c r="P613">
        <v>0</v>
      </c>
      <c r="Q613" t="s">
        <v>1138</v>
      </c>
      <c r="R613">
        <v>0.95</v>
      </c>
      <c r="S613">
        <v>0.95</v>
      </c>
      <c r="T613" t="s">
        <v>475</v>
      </c>
      <c r="U613" t="s">
        <v>108</v>
      </c>
      <c r="V613" s="101">
        <v>46226</v>
      </c>
      <c r="W613">
        <v>1</v>
      </c>
      <c r="X613">
        <v>1</v>
      </c>
      <c r="Y613">
        <v>0</v>
      </c>
      <c r="Z613">
        <v>0</v>
      </c>
      <c r="AA613">
        <v>0</v>
      </c>
    </row>
    <row r="614" spans="1:27" x14ac:dyDescent="0.3">
      <c r="A614">
        <v>5002</v>
      </c>
      <c r="B614">
        <v>27</v>
      </c>
      <c r="C614">
        <v>0</v>
      </c>
      <c r="D614">
        <v>0</v>
      </c>
      <c r="E614">
        <v>0</v>
      </c>
      <c r="F614" t="s">
        <v>1296</v>
      </c>
      <c r="G614" s="101">
        <v>46227</v>
      </c>
      <c r="H614" t="s">
        <v>73</v>
      </c>
      <c r="I614" t="s">
        <v>441</v>
      </c>
      <c r="J614" t="s">
        <v>459</v>
      </c>
      <c r="K614" t="s">
        <v>382</v>
      </c>
      <c r="L614" s="39">
        <v>0.39589120370370373</v>
      </c>
      <c r="M614" s="39">
        <v>0.81033564814814818</v>
      </c>
      <c r="N614">
        <v>9.9499999999999993</v>
      </c>
      <c r="O614" t="s">
        <v>1323</v>
      </c>
      <c r="P614">
        <v>0</v>
      </c>
      <c r="Q614" t="s">
        <v>1324</v>
      </c>
      <c r="R614">
        <v>1.95</v>
      </c>
      <c r="S614">
        <v>1.95</v>
      </c>
      <c r="T614" t="s">
        <v>475</v>
      </c>
      <c r="U614" t="s">
        <v>108</v>
      </c>
      <c r="V614" s="101">
        <v>46227</v>
      </c>
      <c r="W614">
        <v>1</v>
      </c>
      <c r="X614">
        <v>1</v>
      </c>
      <c r="Y614">
        <v>0</v>
      </c>
      <c r="Z614">
        <v>0</v>
      </c>
      <c r="AA614">
        <v>0</v>
      </c>
    </row>
    <row r="615" spans="1:27" x14ac:dyDescent="0.3">
      <c r="A615">
        <v>5002</v>
      </c>
      <c r="B615">
        <v>27</v>
      </c>
      <c r="C615">
        <v>0</v>
      </c>
      <c r="D615">
        <v>0</v>
      </c>
      <c r="E615">
        <v>0</v>
      </c>
      <c r="F615" t="s">
        <v>1296</v>
      </c>
      <c r="G615" s="101">
        <v>46228</v>
      </c>
      <c r="H615" t="s">
        <v>73</v>
      </c>
      <c r="I615" t="s">
        <v>441</v>
      </c>
      <c r="J615" t="s">
        <v>459</v>
      </c>
      <c r="K615" t="s">
        <v>382</v>
      </c>
      <c r="L615" s="39">
        <v>0.37767361111111108</v>
      </c>
      <c r="M615" s="39">
        <v>0.78997685185185185</v>
      </c>
      <c r="N615">
        <v>9.9</v>
      </c>
      <c r="O615" t="s">
        <v>576</v>
      </c>
      <c r="P615">
        <v>0</v>
      </c>
      <c r="Q615" t="s">
        <v>1325</v>
      </c>
      <c r="R615">
        <v>1.46</v>
      </c>
      <c r="S615">
        <v>1.46</v>
      </c>
      <c r="T615" t="s">
        <v>475</v>
      </c>
      <c r="U615" t="s">
        <v>108</v>
      </c>
      <c r="V615" s="101">
        <v>46228</v>
      </c>
      <c r="W615">
        <v>1</v>
      </c>
      <c r="X615">
        <v>1</v>
      </c>
      <c r="Y615">
        <v>0</v>
      </c>
      <c r="Z615">
        <v>0</v>
      </c>
      <c r="AA615">
        <v>0</v>
      </c>
    </row>
    <row r="616" spans="1:27" x14ac:dyDescent="0.3">
      <c r="A616">
        <v>5002</v>
      </c>
      <c r="B616">
        <v>27</v>
      </c>
      <c r="C616">
        <v>0</v>
      </c>
      <c r="D616">
        <v>0</v>
      </c>
      <c r="E616">
        <v>0</v>
      </c>
      <c r="F616" t="s">
        <v>1296</v>
      </c>
      <c r="G616" s="101">
        <v>46229</v>
      </c>
      <c r="H616" t="s">
        <v>73</v>
      </c>
      <c r="I616" t="s">
        <v>441</v>
      </c>
      <c r="J616" t="s">
        <v>459</v>
      </c>
      <c r="K616" t="s">
        <v>383</v>
      </c>
      <c r="L616" s="39">
        <v>0</v>
      </c>
      <c r="M616" s="39">
        <v>0</v>
      </c>
      <c r="N616">
        <v>0</v>
      </c>
      <c r="O616" t="s">
        <v>384</v>
      </c>
      <c r="P616">
        <v>9</v>
      </c>
      <c r="Q616" t="s">
        <v>385</v>
      </c>
      <c r="R616">
        <v>0</v>
      </c>
      <c r="S616">
        <v>9</v>
      </c>
      <c r="T616" t="s">
        <v>475</v>
      </c>
      <c r="U616" t="s">
        <v>366</v>
      </c>
      <c r="V616" s="101">
        <v>46229</v>
      </c>
      <c r="W616">
        <v>0</v>
      </c>
      <c r="X616">
        <v>0</v>
      </c>
      <c r="Y616">
        <v>0</v>
      </c>
      <c r="Z616">
        <v>0</v>
      </c>
      <c r="AA616">
        <v>0</v>
      </c>
    </row>
    <row r="617" spans="1:27" x14ac:dyDescent="0.3">
      <c r="A617">
        <v>5002</v>
      </c>
      <c r="B617">
        <v>27</v>
      </c>
      <c r="C617">
        <v>0</v>
      </c>
      <c r="D617">
        <v>0</v>
      </c>
      <c r="E617">
        <v>0</v>
      </c>
      <c r="F617" t="s">
        <v>1296</v>
      </c>
      <c r="G617" s="101">
        <v>46230</v>
      </c>
      <c r="H617" t="s">
        <v>73</v>
      </c>
      <c r="I617" t="s">
        <v>441</v>
      </c>
      <c r="J617" t="s">
        <v>459</v>
      </c>
      <c r="K617" t="s">
        <v>382</v>
      </c>
      <c r="L617" s="39">
        <v>0.37168981481481483</v>
      </c>
      <c r="M617" s="39">
        <v>0.76902777777777775</v>
      </c>
      <c r="N617">
        <v>9.5399999999999991</v>
      </c>
      <c r="O617" t="s">
        <v>1326</v>
      </c>
      <c r="P617">
        <v>0</v>
      </c>
      <c r="Q617" t="s">
        <v>1327</v>
      </c>
      <c r="R617">
        <v>0.96</v>
      </c>
      <c r="S617">
        <v>0.96</v>
      </c>
      <c r="T617" t="s">
        <v>475</v>
      </c>
      <c r="U617" t="s">
        <v>108</v>
      </c>
      <c r="V617" s="101">
        <v>46230</v>
      </c>
      <c r="W617">
        <v>1</v>
      </c>
      <c r="X617">
        <v>1</v>
      </c>
      <c r="Y617">
        <v>0</v>
      </c>
      <c r="Z617">
        <v>0</v>
      </c>
      <c r="AA617">
        <v>0</v>
      </c>
    </row>
    <row r="618" spans="1:27" x14ac:dyDescent="0.3">
      <c r="A618">
        <v>5002</v>
      </c>
      <c r="B618">
        <v>27</v>
      </c>
      <c r="C618">
        <v>0</v>
      </c>
      <c r="D618">
        <v>0</v>
      </c>
      <c r="E618">
        <v>0</v>
      </c>
      <c r="F618" t="s">
        <v>1296</v>
      </c>
      <c r="G618" s="101">
        <v>46231</v>
      </c>
      <c r="H618" t="s">
        <v>73</v>
      </c>
      <c r="I618" t="s">
        <v>441</v>
      </c>
      <c r="J618" t="s">
        <v>459</v>
      </c>
      <c r="K618" t="s">
        <v>382</v>
      </c>
      <c r="L618" s="39">
        <v>0.37194444444444447</v>
      </c>
      <c r="M618" s="39">
        <v>0.84943287037037041</v>
      </c>
      <c r="N618">
        <v>11.46</v>
      </c>
      <c r="O618" t="s">
        <v>434</v>
      </c>
      <c r="P618">
        <v>0</v>
      </c>
      <c r="Q618" t="s">
        <v>1328</v>
      </c>
      <c r="R618">
        <v>2.89</v>
      </c>
      <c r="S618">
        <v>2.89</v>
      </c>
      <c r="T618" t="s">
        <v>475</v>
      </c>
      <c r="U618" t="s">
        <v>108</v>
      </c>
      <c r="V618" s="101">
        <v>46231</v>
      </c>
      <c r="W618">
        <v>1</v>
      </c>
      <c r="X618">
        <v>1</v>
      </c>
      <c r="Y618">
        <v>0</v>
      </c>
      <c r="Z618">
        <v>0</v>
      </c>
      <c r="AA618">
        <v>0</v>
      </c>
    </row>
    <row r="619" spans="1:27" x14ac:dyDescent="0.3">
      <c r="A619">
        <v>5002</v>
      </c>
      <c r="B619">
        <v>27</v>
      </c>
      <c r="C619">
        <v>0</v>
      </c>
      <c r="D619">
        <v>0</v>
      </c>
      <c r="E619">
        <v>0</v>
      </c>
      <c r="F619" t="s">
        <v>1296</v>
      </c>
      <c r="G619" s="101">
        <v>46232</v>
      </c>
      <c r="H619" t="s">
        <v>73</v>
      </c>
      <c r="I619" t="s">
        <v>441</v>
      </c>
      <c r="J619" t="s">
        <v>459</v>
      </c>
      <c r="K619" t="s">
        <v>382</v>
      </c>
      <c r="L619" s="39">
        <v>0.37618055555555557</v>
      </c>
      <c r="M619" s="39">
        <v>0.87293981481481486</v>
      </c>
      <c r="N619">
        <v>11.92</v>
      </c>
      <c r="O619" t="s">
        <v>435</v>
      </c>
      <c r="P619">
        <v>0</v>
      </c>
      <c r="Q619" t="s">
        <v>1329</v>
      </c>
      <c r="R619">
        <v>3.45</v>
      </c>
      <c r="S619">
        <v>3.45</v>
      </c>
      <c r="T619" t="s">
        <v>475</v>
      </c>
      <c r="U619" t="s">
        <v>108</v>
      </c>
      <c r="V619" s="101">
        <v>46232</v>
      </c>
      <c r="W619">
        <v>1</v>
      </c>
      <c r="X619">
        <v>1</v>
      </c>
      <c r="Y619">
        <v>0</v>
      </c>
      <c r="Z619">
        <v>0</v>
      </c>
      <c r="AA619">
        <v>0</v>
      </c>
    </row>
    <row r="620" spans="1:27" x14ac:dyDescent="0.3">
      <c r="A620">
        <v>5002</v>
      </c>
      <c r="B620">
        <v>27</v>
      </c>
      <c r="C620">
        <v>0</v>
      </c>
      <c r="D620">
        <v>0</v>
      </c>
      <c r="E620">
        <v>0</v>
      </c>
      <c r="F620" t="s">
        <v>1296</v>
      </c>
      <c r="G620" s="101">
        <v>46233</v>
      </c>
      <c r="H620" t="s">
        <v>73</v>
      </c>
      <c r="I620" t="s">
        <v>441</v>
      </c>
      <c r="J620" t="s">
        <v>459</v>
      </c>
      <c r="K620" t="s">
        <v>382</v>
      </c>
      <c r="L620" s="39">
        <v>0.38310185185185186</v>
      </c>
      <c r="M620" s="39">
        <v>0.98162037037037042</v>
      </c>
      <c r="N620">
        <v>14.36</v>
      </c>
      <c r="O620" t="s">
        <v>1330</v>
      </c>
      <c r="P620">
        <v>0</v>
      </c>
      <c r="Q620" t="s">
        <v>1331</v>
      </c>
      <c r="R620">
        <v>6.06</v>
      </c>
      <c r="S620">
        <v>6.06</v>
      </c>
      <c r="T620" t="s">
        <v>475</v>
      </c>
      <c r="U620" t="s">
        <v>108</v>
      </c>
      <c r="V620" s="101">
        <v>46233</v>
      </c>
      <c r="W620">
        <v>1</v>
      </c>
      <c r="X620">
        <v>1</v>
      </c>
      <c r="Y620">
        <v>0</v>
      </c>
      <c r="Z620">
        <v>0</v>
      </c>
      <c r="AA620">
        <v>0</v>
      </c>
    </row>
    <row r="621" spans="1:27" x14ac:dyDescent="0.3">
      <c r="A621">
        <v>5002</v>
      </c>
      <c r="B621">
        <v>27</v>
      </c>
      <c r="C621">
        <v>0</v>
      </c>
      <c r="D621">
        <v>0</v>
      </c>
      <c r="E621">
        <v>0</v>
      </c>
      <c r="F621" t="s">
        <v>1296</v>
      </c>
      <c r="G621" s="101">
        <v>46234</v>
      </c>
      <c r="H621" t="s">
        <v>73</v>
      </c>
      <c r="I621" t="s">
        <v>441</v>
      </c>
      <c r="J621" t="s">
        <v>459</v>
      </c>
      <c r="K621" t="s">
        <v>382</v>
      </c>
      <c r="L621" s="39">
        <v>0.38980324074074074</v>
      </c>
      <c r="M621" s="39">
        <v>0.96312500000000001</v>
      </c>
      <c r="N621">
        <v>13.76</v>
      </c>
      <c r="O621" t="s">
        <v>1332</v>
      </c>
      <c r="P621">
        <v>0</v>
      </c>
      <c r="Q621" t="s">
        <v>1333</v>
      </c>
      <c r="R621">
        <v>5.62</v>
      </c>
      <c r="S621">
        <v>5.62</v>
      </c>
      <c r="T621" t="s">
        <v>475</v>
      </c>
      <c r="U621" t="s">
        <v>108</v>
      </c>
      <c r="V621" s="101">
        <v>46234</v>
      </c>
      <c r="W621">
        <v>1</v>
      </c>
      <c r="X621">
        <v>1</v>
      </c>
      <c r="Y621">
        <v>0</v>
      </c>
      <c r="Z621">
        <v>0</v>
      </c>
      <c r="AA621">
        <v>0</v>
      </c>
    </row>
    <row r="622" spans="1:27" x14ac:dyDescent="0.3">
      <c r="A622">
        <v>5006</v>
      </c>
      <c r="B622">
        <v>24</v>
      </c>
      <c r="C622">
        <v>3</v>
      </c>
      <c r="D622">
        <v>0</v>
      </c>
      <c r="E622">
        <v>0</v>
      </c>
      <c r="F622" t="s">
        <v>1334</v>
      </c>
      <c r="G622" s="101">
        <v>46204</v>
      </c>
      <c r="H622" t="s">
        <v>169</v>
      </c>
      <c r="I622" t="s">
        <v>445</v>
      </c>
      <c r="J622" t="s">
        <v>442</v>
      </c>
      <c r="K622" t="s">
        <v>382</v>
      </c>
      <c r="L622" s="39">
        <v>0.36950231481481483</v>
      </c>
      <c r="M622" s="39">
        <v>0.72750000000000004</v>
      </c>
      <c r="N622">
        <v>8.59</v>
      </c>
      <c r="O622" t="s">
        <v>1335</v>
      </c>
      <c r="P622">
        <v>0</v>
      </c>
      <c r="Q622" t="s">
        <v>431</v>
      </c>
      <c r="R622">
        <v>0</v>
      </c>
      <c r="S622">
        <v>0</v>
      </c>
      <c r="T622" t="s">
        <v>476</v>
      </c>
      <c r="U622" t="s">
        <v>108</v>
      </c>
      <c r="V622" s="101">
        <v>46204</v>
      </c>
      <c r="W622">
        <v>1</v>
      </c>
      <c r="X622">
        <v>1</v>
      </c>
      <c r="Y622">
        <v>0</v>
      </c>
      <c r="Z622">
        <v>0</v>
      </c>
      <c r="AA622">
        <v>0</v>
      </c>
    </row>
    <row r="623" spans="1:27" x14ac:dyDescent="0.3">
      <c r="A623">
        <v>5006</v>
      </c>
      <c r="B623">
        <v>24</v>
      </c>
      <c r="C623">
        <v>3</v>
      </c>
      <c r="D623">
        <v>0</v>
      </c>
      <c r="E623">
        <v>0</v>
      </c>
      <c r="F623" t="s">
        <v>1334</v>
      </c>
      <c r="G623" s="101">
        <v>46205</v>
      </c>
      <c r="H623" t="s">
        <v>169</v>
      </c>
      <c r="I623" t="s">
        <v>445</v>
      </c>
      <c r="J623" t="s">
        <v>442</v>
      </c>
      <c r="K623" t="s">
        <v>383</v>
      </c>
      <c r="L623" s="39">
        <v>0</v>
      </c>
      <c r="M623" s="39">
        <v>0</v>
      </c>
      <c r="N623">
        <v>0</v>
      </c>
      <c r="O623" t="s">
        <v>384</v>
      </c>
      <c r="P623">
        <v>9</v>
      </c>
      <c r="Q623" t="s">
        <v>385</v>
      </c>
      <c r="R623">
        <v>0</v>
      </c>
      <c r="S623">
        <v>9</v>
      </c>
      <c r="T623" t="s">
        <v>476</v>
      </c>
      <c r="U623" t="s">
        <v>366</v>
      </c>
      <c r="V623" s="101">
        <v>46205</v>
      </c>
      <c r="W623">
        <v>0</v>
      </c>
      <c r="X623">
        <v>0</v>
      </c>
      <c r="Y623">
        <v>0</v>
      </c>
      <c r="Z623">
        <v>0</v>
      </c>
      <c r="AA623">
        <v>0</v>
      </c>
    </row>
    <row r="624" spans="1:27" x14ac:dyDescent="0.3">
      <c r="A624">
        <v>5006</v>
      </c>
      <c r="B624">
        <v>24</v>
      </c>
      <c r="C624">
        <v>3</v>
      </c>
      <c r="D624">
        <v>0</v>
      </c>
      <c r="E624">
        <v>0</v>
      </c>
      <c r="F624" t="s">
        <v>1334</v>
      </c>
      <c r="G624" s="101">
        <v>46206</v>
      </c>
      <c r="H624" t="s">
        <v>169</v>
      </c>
      <c r="I624" t="s">
        <v>445</v>
      </c>
      <c r="J624" t="s">
        <v>442</v>
      </c>
      <c r="K624" t="s">
        <v>382</v>
      </c>
      <c r="L624" s="39">
        <v>0.37302083333333336</v>
      </c>
      <c r="M624" s="39">
        <v>0.72822916666666671</v>
      </c>
      <c r="N624">
        <v>8.52</v>
      </c>
      <c r="O624" t="s">
        <v>444</v>
      </c>
      <c r="P624">
        <v>0</v>
      </c>
      <c r="Q624" t="s">
        <v>749</v>
      </c>
      <c r="R624">
        <v>0</v>
      </c>
      <c r="S624">
        <v>0</v>
      </c>
      <c r="T624" t="s">
        <v>476</v>
      </c>
      <c r="U624" t="s">
        <v>108</v>
      </c>
      <c r="V624" s="101">
        <v>46206</v>
      </c>
      <c r="W624">
        <v>1</v>
      </c>
      <c r="X624">
        <v>1</v>
      </c>
      <c r="Y624">
        <v>0</v>
      </c>
      <c r="Z624">
        <v>0</v>
      </c>
      <c r="AA624">
        <v>0</v>
      </c>
    </row>
    <row r="625" spans="1:27" x14ac:dyDescent="0.3">
      <c r="A625">
        <v>5006</v>
      </c>
      <c r="B625">
        <v>24</v>
      </c>
      <c r="C625">
        <v>3</v>
      </c>
      <c r="D625">
        <v>0</v>
      </c>
      <c r="E625">
        <v>0</v>
      </c>
      <c r="F625" t="s">
        <v>1334</v>
      </c>
      <c r="G625" s="101">
        <v>46207</v>
      </c>
      <c r="H625" t="s">
        <v>169</v>
      </c>
      <c r="I625" t="s">
        <v>445</v>
      </c>
      <c r="J625" t="s">
        <v>442</v>
      </c>
      <c r="K625" t="s">
        <v>382</v>
      </c>
      <c r="L625" s="39">
        <v>0.37208333333333332</v>
      </c>
      <c r="M625" s="39">
        <v>0.72660879629629627</v>
      </c>
      <c r="N625">
        <v>8.51</v>
      </c>
      <c r="O625" t="s">
        <v>424</v>
      </c>
      <c r="P625">
        <v>0</v>
      </c>
      <c r="Q625" t="s">
        <v>848</v>
      </c>
      <c r="R625">
        <v>0</v>
      </c>
      <c r="S625">
        <v>0</v>
      </c>
      <c r="T625" t="s">
        <v>476</v>
      </c>
      <c r="U625" t="s">
        <v>108</v>
      </c>
      <c r="V625" s="101">
        <v>46207</v>
      </c>
      <c r="W625">
        <v>1</v>
      </c>
      <c r="X625">
        <v>1</v>
      </c>
      <c r="Y625">
        <v>0</v>
      </c>
      <c r="Z625">
        <v>0</v>
      </c>
      <c r="AA625">
        <v>0</v>
      </c>
    </row>
    <row r="626" spans="1:27" x14ac:dyDescent="0.3">
      <c r="A626">
        <v>5006</v>
      </c>
      <c r="B626">
        <v>24</v>
      </c>
      <c r="C626">
        <v>3</v>
      </c>
      <c r="D626">
        <v>0</v>
      </c>
      <c r="E626">
        <v>0</v>
      </c>
      <c r="F626" t="s">
        <v>1334</v>
      </c>
      <c r="G626" s="101">
        <v>46208</v>
      </c>
      <c r="H626" t="s">
        <v>169</v>
      </c>
      <c r="I626" t="s">
        <v>445</v>
      </c>
      <c r="J626" t="s">
        <v>442</v>
      </c>
      <c r="K626" t="s">
        <v>383</v>
      </c>
      <c r="L626" s="39">
        <v>0</v>
      </c>
      <c r="M626" s="39">
        <v>0</v>
      </c>
      <c r="N626">
        <v>0</v>
      </c>
      <c r="O626" t="s">
        <v>384</v>
      </c>
      <c r="P626">
        <v>9</v>
      </c>
      <c r="Q626" t="s">
        <v>385</v>
      </c>
      <c r="R626">
        <v>0</v>
      </c>
      <c r="S626">
        <v>9</v>
      </c>
      <c r="T626" t="s">
        <v>476</v>
      </c>
      <c r="U626" t="s">
        <v>366</v>
      </c>
      <c r="V626" s="101">
        <v>46208</v>
      </c>
      <c r="W626">
        <v>0</v>
      </c>
      <c r="X626">
        <v>0</v>
      </c>
      <c r="Y626">
        <v>0</v>
      </c>
      <c r="Z626">
        <v>0</v>
      </c>
      <c r="AA626">
        <v>0</v>
      </c>
    </row>
    <row r="627" spans="1:27" x14ac:dyDescent="0.3">
      <c r="A627">
        <v>5006</v>
      </c>
      <c r="B627">
        <v>24</v>
      </c>
      <c r="C627">
        <v>3</v>
      </c>
      <c r="D627">
        <v>0</v>
      </c>
      <c r="E627">
        <v>0</v>
      </c>
      <c r="F627" t="s">
        <v>1334</v>
      </c>
      <c r="G627" s="101">
        <v>46209</v>
      </c>
      <c r="H627" t="s">
        <v>169</v>
      </c>
      <c r="I627" t="s">
        <v>445</v>
      </c>
      <c r="J627" t="s">
        <v>442</v>
      </c>
      <c r="K627" t="s">
        <v>382</v>
      </c>
      <c r="L627" s="39">
        <v>0.36910879629629628</v>
      </c>
      <c r="M627" s="39">
        <v>0.76884259259259258</v>
      </c>
      <c r="N627">
        <v>9.59</v>
      </c>
      <c r="O627" t="s">
        <v>1336</v>
      </c>
      <c r="P627">
        <v>0</v>
      </c>
      <c r="Q627" t="s">
        <v>1337</v>
      </c>
      <c r="R627">
        <v>0.95</v>
      </c>
      <c r="S627">
        <v>0.95</v>
      </c>
      <c r="T627" t="s">
        <v>476</v>
      </c>
      <c r="U627" t="s">
        <v>108</v>
      </c>
      <c r="V627" s="101">
        <v>46209</v>
      </c>
      <c r="W627">
        <v>1</v>
      </c>
      <c r="X627">
        <v>1</v>
      </c>
      <c r="Y627">
        <v>0</v>
      </c>
      <c r="Z627">
        <v>0</v>
      </c>
      <c r="AA627">
        <v>0</v>
      </c>
    </row>
    <row r="628" spans="1:27" x14ac:dyDescent="0.3">
      <c r="A628">
        <v>5006</v>
      </c>
      <c r="B628">
        <v>24</v>
      </c>
      <c r="C628">
        <v>3</v>
      </c>
      <c r="D628">
        <v>0</v>
      </c>
      <c r="E628">
        <v>0</v>
      </c>
      <c r="F628" t="s">
        <v>1334</v>
      </c>
      <c r="G628" s="101">
        <v>46210</v>
      </c>
      <c r="H628" t="s">
        <v>169</v>
      </c>
      <c r="I628" t="s">
        <v>445</v>
      </c>
      <c r="J628" t="s">
        <v>442</v>
      </c>
      <c r="K628" t="s">
        <v>382</v>
      </c>
      <c r="L628" s="39">
        <v>0.37037037037037035</v>
      </c>
      <c r="M628" s="39">
        <v>0.76804398148148145</v>
      </c>
      <c r="N628">
        <v>9.5399999999999991</v>
      </c>
      <c r="O628" t="s">
        <v>682</v>
      </c>
      <c r="P628">
        <v>0</v>
      </c>
      <c r="Q628" t="s">
        <v>1338</v>
      </c>
      <c r="R628">
        <v>0.93</v>
      </c>
      <c r="S628">
        <v>0.93</v>
      </c>
      <c r="T628" t="s">
        <v>476</v>
      </c>
      <c r="U628" t="s">
        <v>108</v>
      </c>
      <c r="V628" s="101">
        <v>46210</v>
      </c>
      <c r="W628">
        <v>1</v>
      </c>
      <c r="X628">
        <v>1</v>
      </c>
      <c r="Y628">
        <v>0</v>
      </c>
      <c r="Z628">
        <v>0</v>
      </c>
      <c r="AA628">
        <v>0</v>
      </c>
    </row>
    <row r="629" spans="1:27" x14ac:dyDescent="0.3">
      <c r="A629">
        <v>5006</v>
      </c>
      <c r="B629">
        <v>24</v>
      </c>
      <c r="C629">
        <v>3</v>
      </c>
      <c r="D629">
        <v>0</v>
      </c>
      <c r="E629">
        <v>0</v>
      </c>
      <c r="F629" t="s">
        <v>1334</v>
      </c>
      <c r="G629" s="101">
        <v>46211</v>
      </c>
      <c r="H629" t="s">
        <v>169</v>
      </c>
      <c r="I629" t="s">
        <v>445</v>
      </c>
      <c r="J629" t="s">
        <v>442</v>
      </c>
      <c r="K629" t="s">
        <v>382</v>
      </c>
      <c r="L629" s="39">
        <v>0.37243055555555554</v>
      </c>
      <c r="M629" s="39">
        <v>0.76894675925925926</v>
      </c>
      <c r="N629">
        <v>9.52</v>
      </c>
      <c r="O629" t="s">
        <v>1339</v>
      </c>
      <c r="P629">
        <v>0</v>
      </c>
      <c r="Q629" t="s">
        <v>1340</v>
      </c>
      <c r="R629">
        <v>0.95</v>
      </c>
      <c r="S629">
        <v>0.95</v>
      </c>
      <c r="T629" t="s">
        <v>476</v>
      </c>
      <c r="U629" t="s">
        <v>108</v>
      </c>
      <c r="V629" s="101">
        <v>46211</v>
      </c>
      <c r="W629">
        <v>1</v>
      </c>
      <c r="X629">
        <v>1</v>
      </c>
      <c r="Y629">
        <v>0</v>
      </c>
      <c r="Z629">
        <v>0</v>
      </c>
      <c r="AA629">
        <v>0</v>
      </c>
    </row>
    <row r="630" spans="1:27" x14ac:dyDescent="0.3">
      <c r="A630">
        <v>5006</v>
      </c>
      <c r="B630">
        <v>24</v>
      </c>
      <c r="C630">
        <v>3</v>
      </c>
      <c r="D630">
        <v>0</v>
      </c>
      <c r="E630">
        <v>0</v>
      </c>
      <c r="F630" t="s">
        <v>1334</v>
      </c>
      <c r="G630" s="101">
        <v>46212</v>
      </c>
      <c r="H630" t="s">
        <v>169</v>
      </c>
      <c r="I630" t="s">
        <v>445</v>
      </c>
      <c r="J630" t="s">
        <v>442</v>
      </c>
      <c r="K630" t="s">
        <v>382</v>
      </c>
      <c r="L630" s="39">
        <v>0.36855324074074075</v>
      </c>
      <c r="M630" s="39">
        <v>0.76814814814814814</v>
      </c>
      <c r="N630">
        <v>9.59</v>
      </c>
      <c r="O630" t="s">
        <v>633</v>
      </c>
      <c r="P630">
        <v>0</v>
      </c>
      <c r="Q630" t="s">
        <v>463</v>
      </c>
      <c r="R630">
        <v>0.94</v>
      </c>
      <c r="S630">
        <v>0.94</v>
      </c>
      <c r="T630" t="s">
        <v>476</v>
      </c>
      <c r="U630" t="s">
        <v>108</v>
      </c>
      <c r="V630" s="101">
        <v>46212</v>
      </c>
      <c r="W630">
        <v>1</v>
      </c>
      <c r="X630">
        <v>1</v>
      </c>
      <c r="Y630">
        <v>0</v>
      </c>
      <c r="Z630">
        <v>0</v>
      </c>
      <c r="AA630">
        <v>0</v>
      </c>
    </row>
    <row r="631" spans="1:27" x14ac:dyDescent="0.3">
      <c r="A631">
        <v>5006</v>
      </c>
      <c r="B631">
        <v>24</v>
      </c>
      <c r="C631">
        <v>3</v>
      </c>
      <c r="D631">
        <v>0</v>
      </c>
      <c r="E631">
        <v>0</v>
      </c>
      <c r="F631" t="s">
        <v>1334</v>
      </c>
      <c r="G631" s="101">
        <v>46213</v>
      </c>
      <c r="H631" t="s">
        <v>169</v>
      </c>
      <c r="I631" t="s">
        <v>445</v>
      </c>
      <c r="J631" t="s">
        <v>442</v>
      </c>
      <c r="K631" t="s">
        <v>382</v>
      </c>
      <c r="L631" s="39">
        <v>0.37353009259259257</v>
      </c>
      <c r="M631" s="39">
        <v>0.7680555555555556</v>
      </c>
      <c r="N631">
        <v>9.4700000000000006</v>
      </c>
      <c r="O631" t="s">
        <v>1047</v>
      </c>
      <c r="P631">
        <v>0</v>
      </c>
      <c r="Q631" t="s">
        <v>1078</v>
      </c>
      <c r="R631">
        <v>0.93</v>
      </c>
      <c r="S631">
        <v>0.93</v>
      </c>
      <c r="T631" t="s">
        <v>476</v>
      </c>
      <c r="U631" t="s">
        <v>108</v>
      </c>
      <c r="V631" s="101">
        <v>46213</v>
      </c>
      <c r="W631">
        <v>1</v>
      </c>
      <c r="X631">
        <v>1</v>
      </c>
      <c r="Y631">
        <v>0</v>
      </c>
      <c r="Z631">
        <v>0</v>
      </c>
      <c r="AA631">
        <v>0</v>
      </c>
    </row>
    <row r="632" spans="1:27" x14ac:dyDescent="0.3">
      <c r="A632">
        <v>5006</v>
      </c>
      <c r="B632">
        <v>24</v>
      </c>
      <c r="C632">
        <v>3</v>
      </c>
      <c r="D632">
        <v>0</v>
      </c>
      <c r="E632">
        <v>0</v>
      </c>
      <c r="F632" t="s">
        <v>1334</v>
      </c>
      <c r="G632" s="101">
        <v>46214</v>
      </c>
      <c r="H632" t="s">
        <v>169</v>
      </c>
      <c r="I632" t="s">
        <v>445</v>
      </c>
      <c r="J632" t="s">
        <v>442</v>
      </c>
      <c r="K632" t="s">
        <v>382</v>
      </c>
      <c r="L632" s="39">
        <v>0.37533564814814813</v>
      </c>
      <c r="M632" s="39">
        <v>0.76840277777777777</v>
      </c>
      <c r="N632">
        <v>9.43</v>
      </c>
      <c r="O632" t="s">
        <v>572</v>
      </c>
      <c r="P632">
        <v>0</v>
      </c>
      <c r="Q632" t="s">
        <v>509</v>
      </c>
      <c r="R632">
        <v>0.94</v>
      </c>
      <c r="S632">
        <v>0.94</v>
      </c>
      <c r="T632" t="s">
        <v>476</v>
      </c>
      <c r="U632" t="s">
        <v>108</v>
      </c>
      <c r="V632" s="101">
        <v>46214</v>
      </c>
      <c r="W632">
        <v>1</v>
      </c>
      <c r="X632">
        <v>1</v>
      </c>
      <c r="Y632">
        <v>0</v>
      </c>
      <c r="Z632">
        <v>0</v>
      </c>
      <c r="AA632">
        <v>0</v>
      </c>
    </row>
    <row r="633" spans="1:27" x14ac:dyDescent="0.3">
      <c r="A633">
        <v>5006</v>
      </c>
      <c r="B633">
        <v>24</v>
      </c>
      <c r="C633">
        <v>3</v>
      </c>
      <c r="D633">
        <v>0</v>
      </c>
      <c r="E633">
        <v>0</v>
      </c>
      <c r="F633" t="s">
        <v>1334</v>
      </c>
      <c r="G633" s="101">
        <v>46215</v>
      </c>
      <c r="H633" t="s">
        <v>169</v>
      </c>
      <c r="I633" t="s">
        <v>445</v>
      </c>
      <c r="J633" t="s">
        <v>442</v>
      </c>
      <c r="K633" t="s">
        <v>383</v>
      </c>
      <c r="L633" s="39">
        <v>0</v>
      </c>
      <c r="M633" s="39">
        <v>0</v>
      </c>
      <c r="N633">
        <v>0</v>
      </c>
      <c r="O633" t="s">
        <v>384</v>
      </c>
      <c r="P633">
        <v>9</v>
      </c>
      <c r="Q633" t="s">
        <v>385</v>
      </c>
      <c r="R633">
        <v>0</v>
      </c>
      <c r="S633">
        <v>9</v>
      </c>
      <c r="T633" t="s">
        <v>476</v>
      </c>
      <c r="U633" t="s">
        <v>366</v>
      </c>
      <c r="V633" s="101">
        <v>46215</v>
      </c>
      <c r="W633">
        <v>0</v>
      </c>
      <c r="X633">
        <v>0</v>
      </c>
      <c r="Y633">
        <v>0</v>
      </c>
      <c r="Z633">
        <v>0</v>
      </c>
      <c r="AA633">
        <v>0</v>
      </c>
    </row>
    <row r="634" spans="1:27" x14ac:dyDescent="0.3">
      <c r="A634">
        <v>5006</v>
      </c>
      <c r="B634">
        <v>24</v>
      </c>
      <c r="C634">
        <v>3</v>
      </c>
      <c r="D634">
        <v>0</v>
      </c>
      <c r="E634">
        <v>0</v>
      </c>
      <c r="F634" t="s">
        <v>1334</v>
      </c>
      <c r="G634" s="101">
        <v>46216</v>
      </c>
      <c r="H634" t="s">
        <v>169</v>
      </c>
      <c r="I634" t="s">
        <v>445</v>
      </c>
      <c r="J634" t="s">
        <v>442</v>
      </c>
      <c r="K634" t="s">
        <v>382</v>
      </c>
      <c r="L634" s="39">
        <v>0.36652777777777779</v>
      </c>
      <c r="M634" s="39">
        <v>0.76913194444444444</v>
      </c>
      <c r="N634">
        <v>9.66</v>
      </c>
      <c r="O634" t="s">
        <v>744</v>
      </c>
      <c r="P634">
        <v>0</v>
      </c>
      <c r="Q634" t="s">
        <v>1341</v>
      </c>
      <c r="R634">
        <v>0.96</v>
      </c>
      <c r="S634">
        <v>0.96</v>
      </c>
      <c r="T634" t="s">
        <v>476</v>
      </c>
      <c r="U634" t="s">
        <v>108</v>
      </c>
      <c r="V634" s="101">
        <v>46216</v>
      </c>
      <c r="W634">
        <v>1</v>
      </c>
      <c r="X634">
        <v>1</v>
      </c>
      <c r="Y634">
        <v>0</v>
      </c>
      <c r="Z634">
        <v>0</v>
      </c>
      <c r="AA634">
        <v>0</v>
      </c>
    </row>
    <row r="635" spans="1:27" x14ac:dyDescent="0.3">
      <c r="A635">
        <v>5006</v>
      </c>
      <c r="B635">
        <v>24</v>
      </c>
      <c r="C635">
        <v>3</v>
      </c>
      <c r="D635">
        <v>0</v>
      </c>
      <c r="E635">
        <v>0</v>
      </c>
      <c r="F635" t="s">
        <v>1334</v>
      </c>
      <c r="G635" s="101">
        <v>46217</v>
      </c>
      <c r="H635" t="s">
        <v>169</v>
      </c>
      <c r="I635" t="s">
        <v>445</v>
      </c>
      <c r="J635" t="s">
        <v>442</v>
      </c>
      <c r="K635" t="s">
        <v>382</v>
      </c>
      <c r="L635" s="39">
        <v>0.37193287037037037</v>
      </c>
      <c r="M635" s="39">
        <v>0.76811342592592591</v>
      </c>
      <c r="N635">
        <v>9.51</v>
      </c>
      <c r="O635" t="s">
        <v>680</v>
      </c>
      <c r="P635">
        <v>0</v>
      </c>
      <c r="Q635" t="s">
        <v>583</v>
      </c>
      <c r="R635">
        <v>0.93</v>
      </c>
      <c r="S635">
        <v>0.93</v>
      </c>
      <c r="T635" t="s">
        <v>476</v>
      </c>
      <c r="U635" t="s">
        <v>108</v>
      </c>
      <c r="V635" s="101">
        <v>46217</v>
      </c>
      <c r="W635">
        <v>1</v>
      </c>
      <c r="X635">
        <v>1</v>
      </c>
      <c r="Y635">
        <v>0</v>
      </c>
      <c r="Z635">
        <v>0</v>
      </c>
      <c r="AA635">
        <v>0</v>
      </c>
    </row>
    <row r="636" spans="1:27" x14ac:dyDescent="0.3">
      <c r="A636">
        <v>5006</v>
      </c>
      <c r="B636">
        <v>24</v>
      </c>
      <c r="C636">
        <v>3</v>
      </c>
      <c r="D636">
        <v>0</v>
      </c>
      <c r="E636">
        <v>0</v>
      </c>
      <c r="F636" t="s">
        <v>1334</v>
      </c>
      <c r="G636" s="101">
        <v>46218</v>
      </c>
      <c r="H636" t="s">
        <v>169</v>
      </c>
      <c r="I636" t="s">
        <v>445</v>
      </c>
      <c r="J636" t="s">
        <v>442</v>
      </c>
      <c r="K636" t="s">
        <v>382</v>
      </c>
      <c r="L636" s="39">
        <v>0.36954861111111109</v>
      </c>
      <c r="M636" s="39">
        <v>0.76857638888888891</v>
      </c>
      <c r="N636">
        <v>9.58</v>
      </c>
      <c r="O636" t="s">
        <v>1342</v>
      </c>
      <c r="P636">
        <v>0</v>
      </c>
      <c r="Q636" t="s">
        <v>1136</v>
      </c>
      <c r="R636">
        <v>0.95</v>
      </c>
      <c r="S636">
        <v>0.95</v>
      </c>
      <c r="T636" t="s">
        <v>476</v>
      </c>
      <c r="U636" t="s">
        <v>108</v>
      </c>
      <c r="V636" s="101">
        <v>46218</v>
      </c>
      <c r="W636">
        <v>1</v>
      </c>
      <c r="X636">
        <v>1</v>
      </c>
      <c r="Y636">
        <v>0</v>
      </c>
      <c r="Z636">
        <v>0</v>
      </c>
      <c r="AA636">
        <v>0</v>
      </c>
    </row>
    <row r="637" spans="1:27" x14ac:dyDescent="0.3">
      <c r="A637">
        <v>5006</v>
      </c>
      <c r="B637">
        <v>24</v>
      </c>
      <c r="C637">
        <v>3</v>
      </c>
      <c r="D637">
        <v>0</v>
      </c>
      <c r="E637">
        <v>0</v>
      </c>
      <c r="F637" t="s">
        <v>1334</v>
      </c>
      <c r="G637" s="101">
        <v>46219</v>
      </c>
      <c r="H637" t="s">
        <v>169</v>
      </c>
      <c r="I637" t="s">
        <v>445</v>
      </c>
      <c r="J637" t="s">
        <v>442</v>
      </c>
      <c r="K637" t="s">
        <v>382</v>
      </c>
      <c r="L637" s="39">
        <v>0.37048611111111113</v>
      </c>
      <c r="M637" s="39">
        <v>0.76815972222222217</v>
      </c>
      <c r="N637">
        <v>9.5399999999999991</v>
      </c>
      <c r="O637" t="s">
        <v>464</v>
      </c>
      <c r="P637">
        <v>0</v>
      </c>
      <c r="Q637" t="s">
        <v>1081</v>
      </c>
      <c r="R637">
        <v>0.94</v>
      </c>
      <c r="S637">
        <v>0.94</v>
      </c>
      <c r="T637" t="s">
        <v>476</v>
      </c>
      <c r="U637" t="s">
        <v>108</v>
      </c>
      <c r="V637" s="101">
        <v>46219</v>
      </c>
      <c r="W637">
        <v>1</v>
      </c>
      <c r="X637">
        <v>1</v>
      </c>
      <c r="Y637">
        <v>0</v>
      </c>
      <c r="Z637">
        <v>0</v>
      </c>
      <c r="AA637">
        <v>0</v>
      </c>
    </row>
    <row r="638" spans="1:27" x14ac:dyDescent="0.3">
      <c r="A638">
        <v>5006</v>
      </c>
      <c r="B638">
        <v>24</v>
      </c>
      <c r="C638">
        <v>3</v>
      </c>
      <c r="D638">
        <v>0</v>
      </c>
      <c r="E638">
        <v>0</v>
      </c>
      <c r="F638" t="s">
        <v>1334</v>
      </c>
      <c r="G638" s="101">
        <v>46220</v>
      </c>
      <c r="H638" t="s">
        <v>169</v>
      </c>
      <c r="I638" t="s">
        <v>445</v>
      </c>
      <c r="J638" t="s">
        <v>442</v>
      </c>
      <c r="K638" t="s">
        <v>382</v>
      </c>
      <c r="L638" s="39">
        <v>0.49709490740740742</v>
      </c>
      <c r="M638" s="39">
        <v>0.76739583333333339</v>
      </c>
      <c r="N638">
        <v>6.49</v>
      </c>
      <c r="O638" t="s">
        <v>1343</v>
      </c>
      <c r="P638">
        <v>0</v>
      </c>
      <c r="Q638" t="s">
        <v>1344</v>
      </c>
      <c r="R638">
        <v>0.92</v>
      </c>
      <c r="S638">
        <v>0.92</v>
      </c>
      <c r="T638" t="s">
        <v>476</v>
      </c>
      <c r="U638" t="s">
        <v>108</v>
      </c>
      <c r="V638" s="101">
        <v>46220</v>
      </c>
      <c r="W638">
        <v>1</v>
      </c>
      <c r="X638">
        <v>1</v>
      </c>
      <c r="Y638">
        <v>0</v>
      </c>
      <c r="Z638">
        <v>0</v>
      </c>
      <c r="AA638">
        <v>0</v>
      </c>
    </row>
    <row r="639" spans="1:27" x14ac:dyDescent="0.3">
      <c r="A639">
        <v>5006</v>
      </c>
      <c r="B639">
        <v>24</v>
      </c>
      <c r="C639">
        <v>3</v>
      </c>
      <c r="D639">
        <v>0</v>
      </c>
      <c r="E639">
        <v>0</v>
      </c>
      <c r="F639" t="s">
        <v>1334</v>
      </c>
      <c r="G639" s="101">
        <v>46221</v>
      </c>
      <c r="H639" t="s">
        <v>169</v>
      </c>
      <c r="I639" t="s">
        <v>445</v>
      </c>
      <c r="J639" t="s">
        <v>442</v>
      </c>
      <c r="K639" t="s">
        <v>382</v>
      </c>
      <c r="L639" s="39">
        <v>0.37379629629629629</v>
      </c>
      <c r="M639" s="39">
        <v>0.72961805555555559</v>
      </c>
      <c r="N639">
        <v>8.5399999999999991</v>
      </c>
      <c r="O639" t="s">
        <v>685</v>
      </c>
      <c r="P639">
        <v>0</v>
      </c>
      <c r="Q639" t="s">
        <v>648</v>
      </c>
      <c r="R639">
        <v>0</v>
      </c>
      <c r="S639">
        <v>0</v>
      </c>
      <c r="T639" t="s">
        <v>476</v>
      </c>
      <c r="U639" t="s">
        <v>108</v>
      </c>
      <c r="V639" s="101">
        <v>46221</v>
      </c>
      <c r="W639">
        <v>1</v>
      </c>
      <c r="X639">
        <v>1</v>
      </c>
      <c r="Y639">
        <v>0</v>
      </c>
      <c r="Z639">
        <v>0</v>
      </c>
      <c r="AA639">
        <v>0</v>
      </c>
    </row>
    <row r="640" spans="1:27" x14ac:dyDescent="0.3">
      <c r="A640">
        <v>5006</v>
      </c>
      <c r="B640">
        <v>24</v>
      </c>
      <c r="C640">
        <v>3</v>
      </c>
      <c r="D640">
        <v>0</v>
      </c>
      <c r="E640">
        <v>0</v>
      </c>
      <c r="F640" t="s">
        <v>1334</v>
      </c>
      <c r="G640" s="101">
        <v>46222</v>
      </c>
      <c r="H640" t="s">
        <v>169</v>
      </c>
      <c r="I640" t="s">
        <v>445</v>
      </c>
      <c r="J640" t="s">
        <v>442</v>
      </c>
      <c r="K640" t="s">
        <v>382</v>
      </c>
      <c r="L640" s="39">
        <v>0.37417824074074074</v>
      </c>
      <c r="M640" s="39">
        <v>0.6860532407407407</v>
      </c>
      <c r="N640">
        <v>7.48</v>
      </c>
      <c r="O640" t="s">
        <v>1345</v>
      </c>
      <c r="P640">
        <v>0</v>
      </c>
      <c r="Q640" t="s">
        <v>1346</v>
      </c>
      <c r="R640">
        <v>0</v>
      </c>
      <c r="S640">
        <v>0</v>
      </c>
      <c r="T640" t="s">
        <v>476</v>
      </c>
      <c r="U640" t="s">
        <v>108</v>
      </c>
      <c r="V640" s="101">
        <v>46222</v>
      </c>
      <c r="W640">
        <v>1</v>
      </c>
      <c r="X640">
        <v>0</v>
      </c>
      <c r="Y640">
        <v>1</v>
      </c>
      <c r="Z640">
        <v>0</v>
      </c>
      <c r="AA640">
        <v>0</v>
      </c>
    </row>
    <row r="641" spans="1:27" x14ac:dyDescent="0.3">
      <c r="A641">
        <v>5006</v>
      </c>
      <c r="B641">
        <v>24</v>
      </c>
      <c r="C641">
        <v>3</v>
      </c>
      <c r="D641">
        <v>0</v>
      </c>
      <c r="E641">
        <v>0</v>
      </c>
      <c r="F641" t="s">
        <v>1334</v>
      </c>
      <c r="G641" s="101">
        <v>46223</v>
      </c>
      <c r="H641" t="s">
        <v>169</v>
      </c>
      <c r="I641" t="s">
        <v>445</v>
      </c>
      <c r="J641" t="s">
        <v>442</v>
      </c>
      <c r="K641" t="s">
        <v>382</v>
      </c>
      <c r="L641" s="39">
        <v>0.37263888888888891</v>
      </c>
      <c r="M641" s="39">
        <v>0.76800925925925922</v>
      </c>
      <c r="N641">
        <v>9.49</v>
      </c>
      <c r="O641" t="s">
        <v>689</v>
      </c>
      <c r="P641">
        <v>0</v>
      </c>
      <c r="Q641" t="s">
        <v>1165</v>
      </c>
      <c r="R641">
        <v>0.93</v>
      </c>
      <c r="S641">
        <v>0.93</v>
      </c>
      <c r="T641" t="s">
        <v>476</v>
      </c>
      <c r="U641" t="s">
        <v>108</v>
      </c>
      <c r="V641" s="101">
        <v>46223</v>
      </c>
      <c r="W641">
        <v>1</v>
      </c>
      <c r="X641">
        <v>1</v>
      </c>
      <c r="Y641">
        <v>0</v>
      </c>
      <c r="Z641">
        <v>0</v>
      </c>
      <c r="AA641">
        <v>0</v>
      </c>
    </row>
    <row r="642" spans="1:27" x14ac:dyDescent="0.3">
      <c r="A642">
        <v>5006</v>
      </c>
      <c r="B642">
        <v>24</v>
      </c>
      <c r="C642">
        <v>3</v>
      </c>
      <c r="D642">
        <v>0</v>
      </c>
      <c r="E642">
        <v>0</v>
      </c>
      <c r="F642" t="s">
        <v>1334</v>
      </c>
      <c r="G642" s="101">
        <v>46224</v>
      </c>
      <c r="H642" t="s">
        <v>169</v>
      </c>
      <c r="I642" t="s">
        <v>445</v>
      </c>
      <c r="J642" t="s">
        <v>442</v>
      </c>
      <c r="K642" t="s">
        <v>382</v>
      </c>
      <c r="L642" s="39">
        <v>0.36984953703703705</v>
      </c>
      <c r="M642" s="39">
        <v>0.7280092592592593</v>
      </c>
      <c r="N642">
        <v>8.6</v>
      </c>
      <c r="O642" t="s">
        <v>508</v>
      </c>
      <c r="P642">
        <v>0</v>
      </c>
      <c r="Q642" t="s">
        <v>1074</v>
      </c>
      <c r="R642">
        <v>0</v>
      </c>
      <c r="S642">
        <v>0</v>
      </c>
      <c r="T642" t="s">
        <v>476</v>
      </c>
      <c r="U642" t="s">
        <v>108</v>
      </c>
      <c r="V642" s="101">
        <v>46224</v>
      </c>
      <c r="W642">
        <v>1</v>
      </c>
      <c r="X642">
        <v>1</v>
      </c>
      <c r="Y642">
        <v>0</v>
      </c>
      <c r="Z642">
        <v>0</v>
      </c>
      <c r="AA642">
        <v>0</v>
      </c>
    </row>
    <row r="643" spans="1:27" x14ac:dyDescent="0.3">
      <c r="A643">
        <v>5006</v>
      </c>
      <c r="B643">
        <v>24</v>
      </c>
      <c r="C643">
        <v>3</v>
      </c>
      <c r="D643">
        <v>0</v>
      </c>
      <c r="E643">
        <v>0</v>
      </c>
      <c r="F643" t="s">
        <v>1334</v>
      </c>
      <c r="G643" s="101">
        <v>46225</v>
      </c>
      <c r="H643" t="s">
        <v>169</v>
      </c>
      <c r="I643" t="s">
        <v>445</v>
      </c>
      <c r="J643" t="s">
        <v>442</v>
      </c>
      <c r="K643" t="s">
        <v>382</v>
      </c>
      <c r="L643" s="39">
        <v>0.37041666666666667</v>
      </c>
      <c r="M643" s="39">
        <v>0.76820601851851855</v>
      </c>
      <c r="N643">
        <v>9.5500000000000007</v>
      </c>
      <c r="O643" t="s">
        <v>597</v>
      </c>
      <c r="P643">
        <v>0</v>
      </c>
      <c r="Q643" t="s">
        <v>1347</v>
      </c>
      <c r="R643">
        <v>0.94</v>
      </c>
      <c r="S643">
        <v>0.94</v>
      </c>
      <c r="T643" t="s">
        <v>476</v>
      </c>
      <c r="U643" t="s">
        <v>108</v>
      </c>
      <c r="V643" s="101">
        <v>46225</v>
      </c>
      <c r="W643">
        <v>1</v>
      </c>
      <c r="X643">
        <v>1</v>
      </c>
      <c r="Y643">
        <v>0</v>
      </c>
      <c r="Z643">
        <v>0</v>
      </c>
      <c r="AA643">
        <v>0</v>
      </c>
    </row>
    <row r="644" spans="1:27" x14ac:dyDescent="0.3">
      <c r="A644">
        <v>5006</v>
      </c>
      <c r="B644">
        <v>24</v>
      </c>
      <c r="C644">
        <v>3</v>
      </c>
      <c r="D644">
        <v>0</v>
      </c>
      <c r="E644">
        <v>0</v>
      </c>
      <c r="F644" t="s">
        <v>1334</v>
      </c>
      <c r="G644" s="101">
        <v>46226</v>
      </c>
      <c r="H644" t="s">
        <v>169</v>
      </c>
      <c r="I644" t="s">
        <v>445</v>
      </c>
      <c r="J644" t="s">
        <v>442</v>
      </c>
      <c r="K644" t="s">
        <v>382</v>
      </c>
      <c r="L644" s="39">
        <v>0.37160879629629628</v>
      </c>
      <c r="M644" s="39">
        <v>0.73097222222222225</v>
      </c>
      <c r="N644">
        <v>8.6199999999999992</v>
      </c>
      <c r="O644" t="s">
        <v>1348</v>
      </c>
      <c r="P644">
        <v>0</v>
      </c>
      <c r="Q644" t="s">
        <v>1349</v>
      </c>
      <c r="R644">
        <v>0</v>
      </c>
      <c r="S644">
        <v>0</v>
      </c>
      <c r="T644" t="s">
        <v>476</v>
      </c>
      <c r="U644" t="s">
        <v>108</v>
      </c>
      <c r="V644" s="101">
        <v>46226</v>
      </c>
      <c r="W644">
        <v>1</v>
      </c>
      <c r="X644">
        <v>1</v>
      </c>
      <c r="Y644">
        <v>0</v>
      </c>
      <c r="Z644">
        <v>0</v>
      </c>
      <c r="AA644">
        <v>0</v>
      </c>
    </row>
    <row r="645" spans="1:27" x14ac:dyDescent="0.3">
      <c r="A645">
        <v>5006</v>
      </c>
      <c r="B645">
        <v>24</v>
      </c>
      <c r="C645">
        <v>3</v>
      </c>
      <c r="D645">
        <v>0</v>
      </c>
      <c r="E645">
        <v>0</v>
      </c>
      <c r="F645" t="s">
        <v>1334</v>
      </c>
      <c r="G645" s="101">
        <v>46227</v>
      </c>
      <c r="H645" t="s">
        <v>169</v>
      </c>
      <c r="I645" t="s">
        <v>445</v>
      </c>
      <c r="J645" t="s">
        <v>442</v>
      </c>
      <c r="K645" t="s">
        <v>382</v>
      </c>
      <c r="L645" s="39">
        <v>0.37136574074074075</v>
      </c>
      <c r="M645" s="39">
        <v>0.77008101851851851</v>
      </c>
      <c r="N645">
        <v>9.57</v>
      </c>
      <c r="O645" t="s">
        <v>686</v>
      </c>
      <c r="P645">
        <v>0</v>
      </c>
      <c r="Q645" t="s">
        <v>1072</v>
      </c>
      <c r="R645">
        <v>0.98</v>
      </c>
      <c r="S645">
        <v>0.98</v>
      </c>
      <c r="T645" t="s">
        <v>476</v>
      </c>
      <c r="U645" t="s">
        <v>108</v>
      </c>
      <c r="V645" s="101">
        <v>46227</v>
      </c>
      <c r="W645">
        <v>1</v>
      </c>
      <c r="X645">
        <v>1</v>
      </c>
      <c r="Y645">
        <v>0</v>
      </c>
      <c r="Z645">
        <v>0</v>
      </c>
      <c r="AA645">
        <v>0</v>
      </c>
    </row>
    <row r="646" spans="1:27" x14ac:dyDescent="0.3">
      <c r="A646">
        <v>5006</v>
      </c>
      <c r="B646">
        <v>24</v>
      </c>
      <c r="C646">
        <v>3</v>
      </c>
      <c r="D646">
        <v>0</v>
      </c>
      <c r="E646">
        <v>0</v>
      </c>
      <c r="F646" t="s">
        <v>1334</v>
      </c>
      <c r="G646" s="101">
        <v>46228</v>
      </c>
      <c r="H646" t="s">
        <v>169</v>
      </c>
      <c r="I646" t="s">
        <v>445</v>
      </c>
      <c r="J646" t="s">
        <v>442</v>
      </c>
      <c r="K646" t="s">
        <v>383</v>
      </c>
      <c r="L646" s="39">
        <v>0</v>
      </c>
      <c r="M646" s="39">
        <v>0</v>
      </c>
      <c r="N646">
        <v>0</v>
      </c>
      <c r="O646" t="s">
        <v>384</v>
      </c>
      <c r="P646">
        <v>9</v>
      </c>
      <c r="Q646" t="s">
        <v>385</v>
      </c>
      <c r="R646">
        <v>0</v>
      </c>
      <c r="S646">
        <v>9</v>
      </c>
      <c r="T646" t="s">
        <v>476</v>
      </c>
      <c r="U646" t="s">
        <v>366</v>
      </c>
      <c r="V646" s="101">
        <v>46228</v>
      </c>
      <c r="W646">
        <v>0</v>
      </c>
      <c r="X646">
        <v>0</v>
      </c>
      <c r="Y646">
        <v>0</v>
      </c>
      <c r="Z646">
        <v>0</v>
      </c>
      <c r="AA646">
        <v>0</v>
      </c>
    </row>
    <row r="647" spans="1:27" x14ac:dyDescent="0.3">
      <c r="A647">
        <v>5006</v>
      </c>
      <c r="B647">
        <v>24</v>
      </c>
      <c r="C647">
        <v>3</v>
      </c>
      <c r="D647">
        <v>0</v>
      </c>
      <c r="E647">
        <v>0</v>
      </c>
      <c r="F647" t="s">
        <v>1334</v>
      </c>
      <c r="G647" s="101">
        <v>46229</v>
      </c>
      <c r="H647" t="s">
        <v>169</v>
      </c>
      <c r="I647" t="s">
        <v>445</v>
      </c>
      <c r="J647" t="s">
        <v>442</v>
      </c>
      <c r="K647" t="s">
        <v>383</v>
      </c>
      <c r="L647" s="39">
        <v>0</v>
      </c>
      <c r="M647" s="39">
        <v>0</v>
      </c>
      <c r="N647">
        <v>0</v>
      </c>
      <c r="O647" t="s">
        <v>384</v>
      </c>
      <c r="P647">
        <v>9</v>
      </c>
      <c r="Q647" t="s">
        <v>385</v>
      </c>
      <c r="R647">
        <v>0</v>
      </c>
      <c r="S647">
        <v>9</v>
      </c>
      <c r="T647" t="s">
        <v>476</v>
      </c>
      <c r="U647" t="s">
        <v>366</v>
      </c>
      <c r="V647" s="101">
        <v>46229</v>
      </c>
      <c r="W647">
        <v>0</v>
      </c>
      <c r="X647">
        <v>0</v>
      </c>
      <c r="Y647">
        <v>0</v>
      </c>
      <c r="Z647">
        <v>0</v>
      </c>
      <c r="AA647">
        <v>0</v>
      </c>
    </row>
    <row r="648" spans="1:27" x14ac:dyDescent="0.3">
      <c r="A648">
        <v>5006</v>
      </c>
      <c r="B648">
        <v>24</v>
      </c>
      <c r="C648">
        <v>3</v>
      </c>
      <c r="D648">
        <v>0</v>
      </c>
      <c r="E648">
        <v>0</v>
      </c>
      <c r="F648" t="s">
        <v>1334</v>
      </c>
      <c r="G648" s="101">
        <v>46230</v>
      </c>
      <c r="H648" t="s">
        <v>169</v>
      </c>
      <c r="I648" t="s">
        <v>445</v>
      </c>
      <c r="J648" t="s">
        <v>442</v>
      </c>
      <c r="K648" t="s">
        <v>383</v>
      </c>
      <c r="L648" s="39">
        <v>0</v>
      </c>
      <c r="M648" s="39">
        <v>0</v>
      </c>
      <c r="N648">
        <v>0</v>
      </c>
      <c r="O648" t="s">
        <v>384</v>
      </c>
      <c r="P648">
        <v>9</v>
      </c>
      <c r="Q648" t="s">
        <v>385</v>
      </c>
      <c r="R648">
        <v>0</v>
      </c>
      <c r="S648">
        <v>9</v>
      </c>
      <c r="T648" t="s">
        <v>476</v>
      </c>
      <c r="U648" t="s">
        <v>366</v>
      </c>
      <c r="V648" s="101">
        <v>46230</v>
      </c>
      <c r="W648">
        <v>0</v>
      </c>
      <c r="X648">
        <v>0</v>
      </c>
      <c r="Y648">
        <v>0</v>
      </c>
      <c r="Z648">
        <v>0</v>
      </c>
      <c r="AA648">
        <v>0</v>
      </c>
    </row>
    <row r="649" spans="1:27" x14ac:dyDescent="0.3">
      <c r="A649">
        <v>5006</v>
      </c>
      <c r="B649">
        <v>24</v>
      </c>
      <c r="C649">
        <v>3</v>
      </c>
      <c r="D649">
        <v>0</v>
      </c>
      <c r="E649">
        <v>0</v>
      </c>
      <c r="F649" t="s">
        <v>1334</v>
      </c>
      <c r="G649" s="101">
        <v>46231</v>
      </c>
      <c r="H649" t="s">
        <v>169</v>
      </c>
      <c r="I649" t="s">
        <v>445</v>
      </c>
      <c r="J649" t="s">
        <v>442</v>
      </c>
      <c r="K649" t="s">
        <v>382</v>
      </c>
      <c r="L649" s="39">
        <v>0.36916666666666664</v>
      </c>
      <c r="M649" s="39">
        <v>0.76784722222222224</v>
      </c>
      <c r="N649">
        <v>9.57</v>
      </c>
      <c r="O649" t="s">
        <v>1350</v>
      </c>
      <c r="P649">
        <v>0</v>
      </c>
      <c r="Q649" t="s">
        <v>1351</v>
      </c>
      <c r="R649">
        <v>0.93</v>
      </c>
      <c r="S649">
        <v>0.93</v>
      </c>
      <c r="T649" t="s">
        <v>476</v>
      </c>
      <c r="U649" t="s">
        <v>108</v>
      </c>
      <c r="V649" s="101">
        <v>46231</v>
      </c>
      <c r="W649">
        <v>1</v>
      </c>
      <c r="X649">
        <v>1</v>
      </c>
      <c r="Y649">
        <v>0</v>
      </c>
      <c r="Z649">
        <v>0</v>
      </c>
      <c r="AA649">
        <v>0</v>
      </c>
    </row>
    <row r="650" spans="1:27" x14ac:dyDescent="0.3">
      <c r="A650">
        <v>5006</v>
      </c>
      <c r="B650">
        <v>24</v>
      </c>
      <c r="C650">
        <v>3</v>
      </c>
      <c r="D650">
        <v>0</v>
      </c>
      <c r="E650">
        <v>0</v>
      </c>
      <c r="F650" t="s">
        <v>1334</v>
      </c>
      <c r="G650" s="101">
        <v>46232</v>
      </c>
      <c r="H650" t="s">
        <v>169</v>
      </c>
      <c r="I650" t="s">
        <v>445</v>
      </c>
      <c r="J650" t="s">
        <v>442</v>
      </c>
      <c r="K650" t="s">
        <v>382</v>
      </c>
      <c r="L650" s="39">
        <v>0.37024305555555553</v>
      </c>
      <c r="M650" s="39">
        <v>0.72980324074074077</v>
      </c>
      <c r="N650">
        <v>8.6300000000000008</v>
      </c>
      <c r="O650" t="s">
        <v>1352</v>
      </c>
      <c r="P650">
        <v>0</v>
      </c>
      <c r="Q650" t="s">
        <v>1353</v>
      </c>
      <c r="R650">
        <v>0</v>
      </c>
      <c r="S650">
        <v>0</v>
      </c>
      <c r="T650" t="s">
        <v>476</v>
      </c>
      <c r="U650" t="s">
        <v>108</v>
      </c>
      <c r="V650" s="101">
        <v>46232</v>
      </c>
      <c r="W650">
        <v>1</v>
      </c>
      <c r="X650">
        <v>1</v>
      </c>
      <c r="Y650">
        <v>0</v>
      </c>
      <c r="Z650">
        <v>0</v>
      </c>
      <c r="AA650">
        <v>0</v>
      </c>
    </row>
    <row r="651" spans="1:27" x14ac:dyDescent="0.3">
      <c r="A651">
        <v>5006</v>
      </c>
      <c r="B651">
        <v>24</v>
      </c>
      <c r="C651">
        <v>3</v>
      </c>
      <c r="D651">
        <v>0</v>
      </c>
      <c r="E651">
        <v>0</v>
      </c>
      <c r="F651" t="s">
        <v>1334</v>
      </c>
      <c r="G651" s="101">
        <v>46233</v>
      </c>
      <c r="H651" t="s">
        <v>169</v>
      </c>
      <c r="I651" t="s">
        <v>445</v>
      </c>
      <c r="J651" t="s">
        <v>442</v>
      </c>
      <c r="K651" t="s">
        <v>382</v>
      </c>
      <c r="L651" s="39">
        <v>0.37365740740740738</v>
      </c>
      <c r="M651" s="39">
        <v>0.76734953703703701</v>
      </c>
      <c r="N651">
        <v>9.4499999999999993</v>
      </c>
      <c r="O651" t="s">
        <v>615</v>
      </c>
      <c r="P651">
        <v>0</v>
      </c>
      <c r="Q651" t="s">
        <v>1354</v>
      </c>
      <c r="R651">
        <v>0.92</v>
      </c>
      <c r="S651">
        <v>0.92</v>
      </c>
      <c r="T651" t="s">
        <v>476</v>
      </c>
      <c r="U651" t="s">
        <v>108</v>
      </c>
      <c r="V651" s="101">
        <v>46233</v>
      </c>
      <c r="W651">
        <v>1</v>
      </c>
      <c r="X651">
        <v>1</v>
      </c>
      <c r="Y651">
        <v>0</v>
      </c>
      <c r="Z651">
        <v>0</v>
      </c>
      <c r="AA651">
        <v>0</v>
      </c>
    </row>
    <row r="652" spans="1:27" x14ac:dyDescent="0.3">
      <c r="A652">
        <v>5006</v>
      </c>
      <c r="B652">
        <v>24</v>
      </c>
      <c r="C652">
        <v>3</v>
      </c>
      <c r="D652">
        <v>0</v>
      </c>
      <c r="E652">
        <v>0</v>
      </c>
      <c r="F652" t="s">
        <v>1334</v>
      </c>
      <c r="G652" s="101">
        <v>46234</v>
      </c>
      <c r="H652" t="s">
        <v>169</v>
      </c>
      <c r="I652" t="s">
        <v>445</v>
      </c>
      <c r="J652" t="s">
        <v>442</v>
      </c>
      <c r="K652" t="s">
        <v>382</v>
      </c>
      <c r="L652" s="39">
        <v>0.37311342592592595</v>
      </c>
      <c r="M652" s="39">
        <v>0.65372685185185186</v>
      </c>
      <c r="N652">
        <v>6.73</v>
      </c>
      <c r="O652" t="s">
        <v>703</v>
      </c>
      <c r="P652">
        <v>0</v>
      </c>
      <c r="Q652" t="s">
        <v>1355</v>
      </c>
      <c r="R652">
        <v>0</v>
      </c>
      <c r="S652">
        <v>0</v>
      </c>
      <c r="T652" t="s">
        <v>476</v>
      </c>
      <c r="U652" t="s">
        <v>108</v>
      </c>
      <c r="V652" s="101">
        <v>46234</v>
      </c>
      <c r="W652">
        <v>1</v>
      </c>
      <c r="X652">
        <v>1</v>
      </c>
      <c r="Y652">
        <v>0</v>
      </c>
      <c r="Z652">
        <v>0</v>
      </c>
      <c r="AA652">
        <v>0</v>
      </c>
    </row>
    <row r="653" spans="1:27" x14ac:dyDescent="0.3">
      <c r="A653">
        <v>5055</v>
      </c>
      <c r="B653">
        <v>24.5</v>
      </c>
      <c r="C653">
        <v>2.5</v>
      </c>
      <c r="D653">
        <v>0</v>
      </c>
      <c r="E653">
        <v>0</v>
      </c>
      <c r="F653" t="s">
        <v>1356</v>
      </c>
      <c r="G653" s="101">
        <v>46204</v>
      </c>
      <c r="H653" t="s">
        <v>477</v>
      </c>
      <c r="I653" t="s">
        <v>457</v>
      </c>
      <c r="J653" t="s">
        <v>442</v>
      </c>
      <c r="K653" t="s">
        <v>382</v>
      </c>
      <c r="L653" s="39">
        <v>0.37365740740740738</v>
      </c>
      <c r="M653" s="39">
        <v>0.73063657407407412</v>
      </c>
      <c r="N653">
        <v>8.57</v>
      </c>
      <c r="O653" t="s">
        <v>615</v>
      </c>
      <c r="P653">
        <v>0</v>
      </c>
      <c r="Q653" t="s">
        <v>1047</v>
      </c>
      <c r="R653">
        <v>0</v>
      </c>
      <c r="S653">
        <v>0</v>
      </c>
      <c r="T653" t="s">
        <v>478</v>
      </c>
      <c r="U653" t="s">
        <v>108</v>
      </c>
      <c r="V653" s="101">
        <v>46204</v>
      </c>
      <c r="W653">
        <v>1</v>
      </c>
      <c r="X653">
        <v>1</v>
      </c>
      <c r="Y653">
        <v>0</v>
      </c>
      <c r="Z653">
        <v>0</v>
      </c>
      <c r="AA653">
        <v>0</v>
      </c>
    </row>
    <row r="654" spans="1:27" x14ac:dyDescent="0.3">
      <c r="A654">
        <v>5055</v>
      </c>
      <c r="B654">
        <v>24.5</v>
      </c>
      <c r="C654">
        <v>2.5</v>
      </c>
      <c r="D654">
        <v>0</v>
      </c>
      <c r="E654">
        <v>0</v>
      </c>
      <c r="F654" t="s">
        <v>1356</v>
      </c>
      <c r="G654" s="101">
        <v>46205</v>
      </c>
      <c r="H654" t="s">
        <v>477</v>
      </c>
      <c r="I654" t="s">
        <v>457</v>
      </c>
      <c r="J654" t="s">
        <v>442</v>
      </c>
      <c r="K654" t="s">
        <v>382</v>
      </c>
      <c r="L654" s="39">
        <v>0.37756944444444446</v>
      </c>
      <c r="M654" s="39">
        <v>0.72993055555555553</v>
      </c>
      <c r="N654">
        <v>8.4600000000000009</v>
      </c>
      <c r="O654" t="s">
        <v>1357</v>
      </c>
      <c r="P654">
        <v>0</v>
      </c>
      <c r="Q654" t="s">
        <v>1321</v>
      </c>
      <c r="R654">
        <v>0</v>
      </c>
      <c r="S654">
        <v>0</v>
      </c>
      <c r="T654" t="s">
        <v>478</v>
      </c>
      <c r="U654" t="s">
        <v>108</v>
      </c>
      <c r="V654" s="101">
        <v>46205</v>
      </c>
      <c r="W654">
        <v>1</v>
      </c>
      <c r="X654">
        <v>1</v>
      </c>
      <c r="Y654">
        <v>0</v>
      </c>
      <c r="Z654">
        <v>0</v>
      </c>
      <c r="AA654">
        <v>0</v>
      </c>
    </row>
    <row r="655" spans="1:27" x14ac:dyDescent="0.3">
      <c r="A655">
        <v>5055</v>
      </c>
      <c r="B655">
        <v>24.5</v>
      </c>
      <c r="C655">
        <v>2.5</v>
      </c>
      <c r="D655">
        <v>0</v>
      </c>
      <c r="E655">
        <v>0</v>
      </c>
      <c r="F655" t="s">
        <v>1356</v>
      </c>
      <c r="G655" s="101">
        <v>46206</v>
      </c>
      <c r="H655" t="s">
        <v>477</v>
      </c>
      <c r="I655" t="s">
        <v>457</v>
      </c>
      <c r="J655" t="s">
        <v>442</v>
      </c>
      <c r="K655" t="s">
        <v>382</v>
      </c>
      <c r="L655" s="39">
        <v>0.37531249999999999</v>
      </c>
      <c r="M655" s="39">
        <v>0.73141203703703705</v>
      </c>
      <c r="N655">
        <v>8.5500000000000007</v>
      </c>
      <c r="O655" t="s">
        <v>707</v>
      </c>
      <c r="P655">
        <v>0</v>
      </c>
      <c r="Q655" t="s">
        <v>700</v>
      </c>
      <c r="R655">
        <v>0</v>
      </c>
      <c r="S655">
        <v>0</v>
      </c>
      <c r="T655" t="s">
        <v>478</v>
      </c>
      <c r="U655" t="s">
        <v>108</v>
      </c>
      <c r="V655" s="101">
        <v>46206</v>
      </c>
      <c r="W655">
        <v>1</v>
      </c>
      <c r="X655">
        <v>1</v>
      </c>
      <c r="Y655">
        <v>0</v>
      </c>
      <c r="Z655">
        <v>0</v>
      </c>
      <c r="AA655">
        <v>0</v>
      </c>
    </row>
    <row r="656" spans="1:27" x14ac:dyDescent="0.3">
      <c r="A656">
        <v>5055</v>
      </c>
      <c r="B656">
        <v>24.5</v>
      </c>
      <c r="C656">
        <v>2.5</v>
      </c>
      <c r="D656">
        <v>0</v>
      </c>
      <c r="E656">
        <v>0</v>
      </c>
      <c r="F656" t="s">
        <v>1356</v>
      </c>
      <c r="G656" s="101">
        <v>46207</v>
      </c>
      <c r="H656" t="s">
        <v>477</v>
      </c>
      <c r="I656" t="s">
        <v>457</v>
      </c>
      <c r="J656" t="s">
        <v>442</v>
      </c>
      <c r="K656" t="s">
        <v>382</v>
      </c>
      <c r="L656" s="39">
        <v>0.37202546296296296</v>
      </c>
      <c r="M656" s="39">
        <v>0.73001157407407402</v>
      </c>
      <c r="N656">
        <v>8.59</v>
      </c>
      <c r="O656" t="s">
        <v>649</v>
      </c>
      <c r="P656">
        <v>0</v>
      </c>
      <c r="Q656" t="s">
        <v>603</v>
      </c>
      <c r="R656">
        <v>0</v>
      </c>
      <c r="S656">
        <v>0</v>
      </c>
      <c r="T656" t="s">
        <v>478</v>
      </c>
      <c r="U656" t="s">
        <v>108</v>
      </c>
      <c r="V656" s="101">
        <v>46207</v>
      </c>
      <c r="W656">
        <v>1</v>
      </c>
      <c r="X656">
        <v>1</v>
      </c>
      <c r="Y656">
        <v>0</v>
      </c>
      <c r="Z656">
        <v>0</v>
      </c>
      <c r="AA656">
        <v>0</v>
      </c>
    </row>
    <row r="657" spans="1:27" x14ac:dyDescent="0.3">
      <c r="A657">
        <v>5055</v>
      </c>
      <c r="B657">
        <v>24.5</v>
      </c>
      <c r="C657">
        <v>2.5</v>
      </c>
      <c r="D657">
        <v>0</v>
      </c>
      <c r="E657">
        <v>0</v>
      </c>
      <c r="F657" t="s">
        <v>1356</v>
      </c>
      <c r="G657" s="101">
        <v>46208</v>
      </c>
      <c r="H657" t="s">
        <v>477</v>
      </c>
      <c r="I657" t="s">
        <v>457</v>
      </c>
      <c r="J657" t="s">
        <v>442</v>
      </c>
      <c r="K657" t="s">
        <v>383</v>
      </c>
      <c r="L657" s="39">
        <v>0</v>
      </c>
      <c r="M657" s="39">
        <v>0</v>
      </c>
      <c r="N657">
        <v>0</v>
      </c>
      <c r="O657" t="s">
        <v>384</v>
      </c>
      <c r="P657">
        <v>9</v>
      </c>
      <c r="Q657" t="s">
        <v>385</v>
      </c>
      <c r="R657">
        <v>0</v>
      </c>
      <c r="S657">
        <v>9</v>
      </c>
      <c r="T657" t="s">
        <v>478</v>
      </c>
      <c r="U657" t="s">
        <v>366</v>
      </c>
      <c r="V657" s="101">
        <v>46208</v>
      </c>
      <c r="W657">
        <v>0</v>
      </c>
      <c r="X657">
        <v>0</v>
      </c>
      <c r="Y657">
        <v>0</v>
      </c>
      <c r="Z657">
        <v>0</v>
      </c>
      <c r="AA657">
        <v>0</v>
      </c>
    </row>
    <row r="658" spans="1:27" x14ac:dyDescent="0.3">
      <c r="A658">
        <v>5055</v>
      </c>
      <c r="B658">
        <v>24.5</v>
      </c>
      <c r="C658">
        <v>2.5</v>
      </c>
      <c r="D658">
        <v>0</v>
      </c>
      <c r="E658">
        <v>0</v>
      </c>
      <c r="F658" t="s">
        <v>1356</v>
      </c>
      <c r="G658" s="101">
        <v>46209</v>
      </c>
      <c r="H658" t="s">
        <v>477</v>
      </c>
      <c r="I658" t="s">
        <v>457</v>
      </c>
      <c r="J658" t="s">
        <v>442</v>
      </c>
      <c r="K658" t="s">
        <v>382</v>
      </c>
      <c r="L658" s="39">
        <v>0.3795486111111111</v>
      </c>
      <c r="M658" s="39">
        <v>0.73097222222222225</v>
      </c>
      <c r="N658">
        <v>8.43</v>
      </c>
      <c r="O658" t="s">
        <v>1358</v>
      </c>
      <c r="P658">
        <v>0</v>
      </c>
      <c r="Q658" t="s">
        <v>1349</v>
      </c>
      <c r="R658">
        <v>0</v>
      </c>
      <c r="S658">
        <v>0</v>
      </c>
      <c r="T658" t="s">
        <v>478</v>
      </c>
      <c r="U658" t="s">
        <v>108</v>
      </c>
      <c r="V658" s="101">
        <v>46209</v>
      </c>
      <c r="W658">
        <v>1</v>
      </c>
      <c r="X658">
        <v>1</v>
      </c>
      <c r="Y658">
        <v>0</v>
      </c>
      <c r="Z658">
        <v>0</v>
      </c>
      <c r="AA658">
        <v>0</v>
      </c>
    </row>
    <row r="659" spans="1:27" x14ac:dyDescent="0.3">
      <c r="A659">
        <v>5055</v>
      </c>
      <c r="B659">
        <v>24.5</v>
      </c>
      <c r="C659">
        <v>2.5</v>
      </c>
      <c r="D659">
        <v>0</v>
      </c>
      <c r="E659">
        <v>0</v>
      </c>
      <c r="F659" t="s">
        <v>1356</v>
      </c>
      <c r="G659" s="101">
        <v>46210</v>
      </c>
      <c r="H659" t="s">
        <v>477</v>
      </c>
      <c r="I659" t="s">
        <v>457</v>
      </c>
      <c r="J659" t="s">
        <v>442</v>
      </c>
      <c r="K659" t="s">
        <v>382</v>
      </c>
      <c r="L659" s="39">
        <v>0.37555555555555553</v>
      </c>
      <c r="M659" s="39">
        <v>0.77177083333333329</v>
      </c>
      <c r="N659">
        <v>9.51</v>
      </c>
      <c r="O659" t="s">
        <v>637</v>
      </c>
      <c r="P659">
        <v>0</v>
      </c>
      <c r="Q659" t="s">
        <v>1359</v>
      </c>
      <c r="R659">
        <v>1.02</v>
      </c>
      <c r="S659">
        <v>1.02</v>
      </c>
      <c r="T659" t="s">
        <v>478</v>
      </c>
      <c r="U659" t="s">
        <v>108</v>
      </c>
      <c r="V659" s="101">
        <v>46210</v>
      </c>
      <c r="W659">
        <v>1</v>
      </c>
      <c r="X659">
        <v>1</v>
      </c>
      <c r="Y659">
        <v>0</v>
      </c>
      <c r="Z659">
        <v>0</v>
      </c>
      <c r="AA659">
        <v>0</v>
      </c>
    </row>
    <row r="660" spans="1:27" x14ac:dyDescent="0.3">
      <c r="A660">
        <v>5055</v>
      </c>
      <c r="B660">
        <v>24.5</v>
      </c>
      <c r="C660">
        <v>2.5</v>
      </c>
      <c r="D660">
        <v>0</v>
      </c>
      <c r="E660">
        <v>0</v>
      </c>
      <c r="F660" t="s">
        <v>1356</v>
      </c>
      <c r="G660" s="101">
        <v>46211</v>
      </c>
      <c r="H660" t="s">
        <v>477</v>
      </c>
      <c r="I660" t="s">
        <v>457</v>
      </c>
      <c r="J660" t="s">
        <v>442</v>
      </c>
      <c r="K660" t="s">
        <v>382</v>
      </c>
      <c r="L660" s="39">
        <v>0.37532407407407409</v>
      </c>
      <c r="M660" s="39">
        <v>0.77124999999999999</v>
      </c>
      <c r="N660">
        <v>9.5</v>
      </c>
      <c r="O660" t="s">
        <v>670</v>
      </c>
      <c r="P660">
        <v>0</v>
      </c>
      <c r="Q660" t="s">
        <v>1360</v>
      </c>
      <c r="R660">
        <v>1.01</v>
      </c>
      <c r="S660">
        <v>1.01</v>
      </c>
      <c r="T660" t="s">
        <v>478</v>
      </c>
      <c r="U660" t="s">
        <v>108</v>
      </c>
      <c r="V660" s="101">
        <v>46211</v>
      </c>
      <c r="W660">
        <v>1</v>
      </c>
      <c r="X660">
        <v>1</v>
      </c>
      <c r="Y660">
        <v>0</v>
      </c>
      <c r="Z660">
        <v>0</v>
      </c>
      <c r="AA660">
        <v>0</v>
      </c>
    </row>
    <row r="661" spans="1:27" x14ac:dyDescent="0.3">
      <c r="A661">
        <v>5055</v>
      </c>
      <c r="B661">
        <v>24.5</v>
      </c>
      <c r="C661">
        <v>2.5</v>
      </c>
      <c r="D661">
        <v>0</v>
      </c>
      <c r="E661">
        <v>0</v>
      </c>
      <c r="F661" t="s">
        <v>1356</v>
      </c>
      <c r="G661" s="101">
        <v>46212</v>
      </c>
      <c r="H661" t="s">
        <v>477</v>
      </c>
      <c r="I661" t="s">
        <v>457</v>
      </c>
      <c r="J661" t="s">
        <v>442</v>
      </c>
      <c r="K661" t="s">
        <v>382</v>
      </c>
      <c r="L661" s="39">
        <v>0.37572916666666667</v>
      </c>
      <c r="M661" s="39">
        <v>0.77209490740740738</v>
      </c>
      <c r="N661">
        <v>9.51</v>
      </c>
      <c r="O661" t="s">
        <v>702</v>
      </c>
      <c r="P661">
        <v>0</v>
      </c>
      <c r="Q661" t="s">
        <v>994</v>
      </c>
      <c r="R661">
        <v>1.03</v>
      </c>
      <c r="S661">
        <v>1.03</v>
      </c>
      <c r="T661" t="s">
        <v>478</v>
      </c>
      <c r="U661" t="s">
        <v>108</v>
      </c>
      <c r="V661" s="101">
        <v>46212</v>
      </c>
      <c r="W661">
        <v>1</v>
      </c>
      <c r="X661">
        <v>1</v>
      </c>
      <c r="Y661">
        <v>0</v>
      </c>
      <c r="Z661">
        <v>0</v>
      </c>
      <c r="AA661">
        <v>0</v>
      </c>
    </row>
    <row r="662" spans="1:27" x14ac:dyDescent="0.3">
      <c r="A662">
        <v>5055</v>
      </c>
      <c r="B662">
        <v>24.5</v>
      </c>
      <c r="C662">
        <v>2.5</v>
      </c>
      <c r="D662">
        <v>0</v>
      </c>
      <c r="E662">
        <v>0</v>
      </c>
      <c r="F662" t="s">
        <v>1356</v>
      </c>
      <c r="G662" s="101">
        <v>46213</v>
      </c>
      <c r="H662" t="s">
        <v>477</v>
      </c>
      <c r="I662" t="s">
        <v>457</v>
      </c>
      <c r="J662" t="s">
        <v>442</v>
      </c>
      <c r="K662" t="s">
        <v>382</v>
      </c>
      <c r="L662" s="39">
        <v>0.3767476851851852</v>
      </c>
      <c r="M662" s="39">
        <v>0.77155092592592589</v>
      </c>
      <c r="N662">
        <v>9.48</v>
      </c>
      <c r="O662" t="s">
        <v>618</v>
      </c>
      <c r="P662">
        <v>0</v>
      </c>
      <c r="Q662" t="s">
        <v>1060</v>
      </c>
      <c r="R662">
        <v>1.02</v>
      </c>
      <c r="S662">
        <v>1.02</v>
      </c>
      <c r="T662" t="s">
        <v>478</v>
      </c>
      <c r="U662" t="s">
        <v>108</v>
      </c>
      <c r="V662" s="101">
        <v>46213</v>
      </c>
      <c r="W662">
        <v>1</v>
      </c>
      <c r="X662">
        <v>1</v>
      </c>
      <c r="Y662">
        <v>0</v>
      </c>
      <c r="Z662">
        <v>0</v>
      </c>
      <c r="AA662">
        <v>0</v>
      </c>
    </row>
    <row r="663" spans="1:27" x14ac:dyDescent="0.3">
      <c r="A663">
        <v>5055</v>
      </c>
      <c r="B663">
        <v>24.5</v>
      </c>
      <c r="C663">
        <v>2.5</v>
      </c>
      <c r="D663">
        <v>0</v>
      </c>
      <c r="E663">
        <v>0</v>
      </c>
      <c r="F663" t="s">
        <v>1356</v>
      </c>
      <c r="G663" s="101">
        <v>46214</v>
      </c>
      <c r="H663" t="s">
        <v>477</v>
      </c>
      <c r="I663" t="s">
        <v>457</v>
      </c>
      <c r="J663" t="s">
        <v>442</v>
      </c>
      <c r="K663" t="s">
        <v>382</v>
      </c>
      <c r="L663" s="39">
        <v>0.3925925925925926</v>
      </c>
      <c r="M663" s="39">
        <v>0.77188657407407413</v>
      </c>
      <c r="N663">
        <v>9.1</v>
      </c>
      <c r="O663" t="s">
        <v>1361</v>
      </c>
      <c r="P663">
        <v>0</v>
      </c>
      <c r="Q663" t="s">
        <v>1362</v>
      </c>
      <c r="R663">
        <v>1.03</v>
      </c>
      <c r="S663">
        <v>1.03</v>
      </c>
      <c r="T663" t="s">
        <v>478</v>
      </c>
      <c r="U663" t="s">
        <v>108</v>
      </c>
      <c r="V663" s="101">
        <v>46214</v>
      </c>
      <c r="W663">
        <v>1</v>
      </c>
      <c r="X663">
        <v>1</v>
      </c>
      <c r="Y663">
        <v>0</v>
      </c>
      <c r="Z663">
        <v>0</v>
      </c>
      <c r="AA663">
        <v>0</v>
      </c>
    </row>
    <row r="664" spans="1:27" x14ac:dyDescent="0.3">
      <c r="A664">
        <v>5055</v>
      </c>
      <c r="B664">
        <v>24.5</v>
      </c>
      <c r="C664">
        <v>2.5</v>
      </c>
      <c r="D664">
        <v>0</v>
      </c>
      <c r="E664">
        <v>0</v>
      </c>
      <c r="F664" t="s">
        <v>1356</v>
      </c>
      <c r="G664" s="101">
        <v>46215</v>
      </c>
      <c r="H664" t="s">
        <v>477</v>
      </c>
      <c r="I664" t="s">
        <v>457</v>
      </c>
      <c r="J664" t="s">
        <v>442</v>
      </c>
      <c r="K664" t="s">
        <v>383</v>
      </c>
      <c r="L664" s="39">
        <v>0</v>
      </c>
      <c r="M664" s="39">
        <v>0</v>
      </c>
      <c r="N664">
        <v>0</v>
      </c>
      <c r="O664" t="s">
        <v>384</v>
      </c>
      <c r="P664">
        <v>9</v>
      </c>
      <c r="Q664" t="s">
        <v>385</v>
      </c>
      <c r="R664">
        <v>0</v>
      </c>
      <c r="S664">
        <v>9</v>
      </c>
      <c r="T664" t="s">
        <v>478</v>
      </c>
      <c r="U664" t="s">
        <v>366</v>
      </c>
      <c r="V664" s="101">
        <v>46215</v>
      </c>
      <c r="W664">
        <v>0</v>
      </c>
      <c r="X664">
        <v>0</v>
      </c>
      <c r="Y664">
        <v>0</v>
      </c>
      <c r="Z664">
        <v>0</v>
      </c>
      <c r="AA664">
        <v>0</v>
      </c>
    </row>
    <row r="665" spans="1:27" x14ac:dyDescent="0.3">
      <c r="A665">
        <v>5055</v>
      </c>
      <c r="B665">
        <v>24.5</v>
      </c>
      <c r="C665">
        <v>2.5</v>
      </c>
      <c r="D665">
        <v>0</v>
      </c>
      <c r="E665">
        <v>0</v>
      </c>
      <c r="F665" t="s">
        <v>1356</v>
      </c>
      <c r="G665" s="101">
        <v>46216</v>
      </c>
      <c r="H665" t="s">
        <v>477</v>
      </c>
      <c r="I665" t="s">
        <v>457</v>
      </c>
      <c r="J665" t="s">
        <v>442</v>
      </c>
      <c r="K665" t="s">
        <v>382</v>
      </c>
      <c r="L665" s="39">
        <v>0.36929398148148146</v>
      </c>
      <c r="M665" s="39">
        <v>0.77193287037037039</v>
      </c>
      <c r="N665">
        <v>9.66</v>
      </c>
      <c r="O665" t="s">
        <v>1363</v>
      </c>
      <c r="P665">
        <v>0</v>
      </c>
      <c r="Q665" t="s">
        <v>1364</v>
      </c>
      <c r="R665">
        <v>1.03</v>
      </c>
      <c r="S665">
        <v>1.03</v>
      </c>
      <c r="T665" t="s">
        <v>478</v>
      </c>
      <c r="U665" t="s">
        <v>108</v>
      </c>
      <c r="V665" s="101">
        <v>46216</v>
      </c>
      <c r="W665">
        <v>1</v>
      </c>
      <c r="X665">
        <v>1</v>
      </c>
      <c r="Y665">
        <v>0</v>
      </c>
      <c r="Z665">
        <v>0</v>
      </c>
      <c r="AA665">
        <v>0</v>
      </c>
    </row>
    <row r="666" spans="1:27" x14ac:dyDescent="0.3">
      <c r="A666">
        <v>5055</v>
      </c>
      <c r="B666">
        <v>24.5</v>
      </c>
      <c r="C666">
        <v>2.5</v>
      </c>
      <c r="D666">
        <v>0</v>
      </c>
      <c r="E666">
        <v>0</v>
      </c>
      <c r="F666" t="s">
        <v>1356</v>
      </c>
      <c r="G666" s="101">
        <v>46217</v>
      </c>
      <c r="H666" t="s">
        <v>477</v>
      </c>
      <c r="I666" t="s">
        <v>457</v>
      </c>
      <c r="J666" t="s">
        <v>442</v>
      </c>
      <c r="K666" t="s">
        <v>383</v>
      </c>
      <c r="L666" s="39">
        <v>0</v>
      </c>
      <c r="M666" s="39">
        <v>0</v>
      </c>
      <c r="N666">
        <v>0</v>
      </c>
      <c r="O666" t="s">
        <v>384</v>
      </c>
      <c r="P666">
        <v>9</v>
      </c>
      <c r="Q666" t="s">
        <v>385</v>
      </c>
      <c r="R666">
        <v>0</v>
      </c>
      <c r="S666">
        <v>9</v>
      </c>
      <c r="T666" t="s">
        <v>478</v>
      </c>
      <c r="U666" t="s">
        <v>366</v>
      </c>
      <c r="V666" s="101">
        <v>46217</v>
      </c>
      <c r="W666">
        <v>0</v>
      </c>
      <c r="X666">
        <v>0</v>
      </c>
      <c r="Y666">
        <v>0</v>
      </c>
      <c r="Z666">
        <v>0</v>
      </c>
      <c r="AA666">
        <v>0</v>
      </c>
    </row>
    <row r="667" spans="1:27" x14ac:dyDescent="0.3">
      <c r="A667">
        <v>5055</v>
      </c>
      <c r="B667">
        <v>24.5</v>
      </c>
      <c r="C667">
        <v>2.5</v>
      </c>
      <c r="D667">
        <v>0</v>
      </c>
      <c r="E667">
        <v>0</v>
      </c>
      <c r="F667" t="s">
        <v>1356</v>
      </c>
      <c r="G667" s="101">
        <v>46218</v>
      </c>
      <c r="H667" t="s">
        <v>477</v>
      </c>
      <c r="I667" t="s">
        <v>457</v>
      </c>
      <c r="J667" t="s">
        <v>442</v>
      </c>
      <c r="K667" t="s">
        <v>382</v>
      </c>
      <c r="L667" s="39">
        <v>0.37340277777777775</v>
      </c>
      <c r="M667" s="39">
        <v>0.5961805555555556</v>
      </c>
      <c r="N667">
        <v>5.35</v>
      </c>
      <c r="O667" t="s">
        <v>709</v>
      </c>
      <c r="P667">
        <v>0</v>
      </c>
      <c r="Q667" t="s">
        <v>1365</v>
      </c>
      <c r="R667">
        <v>0</v>
      </c>
      <c r="S667">
        <v>0</v>
      </c>
      <c r="T667" t="s">
        <v>478</v>
      </c>
      <c r="U667" t="s">
        <v>314</v>
      </c>
      <c r="V667" s="101">
        <v>46218</v>
      </c>
      <c r="W667">
        <v>0.5</v>
      </c>
      <c r="X667">
        <v>0.5</v>
      </c>
      <c r="Y667">
        <v>0</v>
      </c>
      <c r="Z667">
        <v>0</v>
      </c>
      <c r="AA667">
        <v>0</v>
      </c>
    </row>
    <row r="668" spans="1:27" x14ac:dyDescent="0.3">
      <c r="A668">
        <v>5055</v>
      </c>
      <c r="B668">
        <v>24.5</v>
      </c>
      <c r="C668">
        <v>2.5</v>
      </c>
      <c r="D668">
        <v>0</v>
      </c>
      <c r="E668">
        <v>0</v>
      </c>
      <c r="F668" t="s">
        <v>1356</v>
      </c>
      <c r="G668" s="101">
        <v>46219</v>
      </c>
      <c r="H668" t="s">
        <v>477</v>
      </c>
      <c r="I668" t="s">
        <v>457</v>
      </c>
      <c r="J668" t="s">
        <v>442</v>
      </c>
      <c r="K668" t="s">
        <v>382</v>
      </c>
      <c r="L668" s="39">
        <v>0.3712847222222222</v>
      </c>
      <c r="M668" s="39">
        <v>0.77162037037037035</v>
      </c>
      <c r="N668">
        <v>9.61</v>
      </c>
      <c r="O668" t="s">
        <v>1022</v>
      </c>
      <c r="P668">
        <v>0</v>
      </c>
      <c r="Q668" t="s">
        <v>1366</v>
      </c>
      <c r="R668">
        <v>1.02</v>
      </c>
      <c r="S668">
        <v>1.02</v>
      </c>
      <c r="T668" t="s">
        <v>478</v>
      </c>
      <c r="U668" t="s">
        <v>108</v>
      </c>
      <c r="V668" s="101">
        <v>46219</v>
      </c>
      <c r="W668">
        <v>1</v>
      </c>
      <c r="X668">
        <v>1</v>
      </c>
      <c r="Y668">
        <v>0</v>
      </c>
      <c r="Z668">
        <v>0</v>
      </c>
      <c r="AA668">
        <v>0</v>
      </c>
    </row>
    <row r="669" spans="1:27" x14ac:dyDescent="0.3">
      <c r="A669">
        <v>5055</v>
      </c>
      <c r="B669">
        <v>24.5</v>
      </c>
      <c r="C669">
        <v>2.5</v>
      </c>
      <c r="D669">
        <v>0</v>
      </c>
      <c r="E669">
        <v>0</v>
      </c>
      <c r="F669" t="s">
        <v>1356</v>
      </c>
      <c r="G669" s="101">
        <v>46220</v>
      </c>
      <c r="H669" t="s">
        <v>477</v>
      </c>
      <c r="I669" t="s">
        <v>457</v>
      </c>
      <c r="J669" t="s">
        <v>442</v>
      </c>
      <c r="K669" t="s">
        <v>382</v>
      </c>
      <c r="L669" s="39">
        <v>0.3753009259259259</v>
      </c>
      <c r="M669" s="39">
        <v>0.77115740740740746</v>
      </c>
      <c r="N669">
        <v>9.5</v>
      </c>
      <c r="O669" t="s">
        <v>546</v>
      </c>
      <c r="P669">
        <v>0</v>
      </c>
      <c r="Q669" t="s">
        <v>1367</v>
      </c>
      <c r="R669">
        <v>1.01</v>
      </c>
      <c r="S669">
        <v>1.01</v>
      </c>
      <c r="T669" t="s">
        <v>478</v>
      </c>
      <c r="U669" t="s">
        <v>108</v>
      </c>
      <c r="V669" s="101">
        <v>46220</v>
      </c>
      <c r="W669">
        <v>1</v>
      </c>
      <c r="X669">
        <v>1</v>
      </c>
      <c r="Y669">
        <v>0</v>
      </c>
      <c r="Z669">
        <v>0</v>
      </c>
      <c r="AA669">
        <v>0</v>
      </c>
    </row>
    <row r="670" spans="1:27" x14ac:dyDescent="0.3">
      <c r="A670">
        <v>5055</v>
      </c>
      <c r="B670">
        <v>24.5</v>
      </c>
      <c r="C670">
        <v>2.5</v>
      </c>
      <c r="D670">
        <v>0</v>
      </c>
      <c r="E670">
        <v>0</v>
      </c>
      <c r="F670" t="s">
        <v>1356</v>
      </c>
      <c r="G670" s="101">
        <v>46221</v>
      </c>
      <c r="H670" t="s">
        <v>477</v>
      </c>
      <c r="I670" t="s">
        <v>457</v>
      </c>
      <c r="J670" t="s">
        <v>442</v>
      </c>
      <c r="K670" t="s">
        <v>382</v>
      </c>
      <c r="L670" s="39">
        <v>0.37414351851851851</v>
      </c>
      <c r="M670" s="39">
        <v>0.73192129629629632</v>
      </c>
      <c r="N670">
        <v>8.59</v>
      </c>
      <c r="O670" t="s">
        <v>1368</v>
      </c>
      <c r="P670">
        <v>0</v>
      </c>
      <c r="Q670" t="s">
        <v>1369</v>
      </c>
      <c r="R670">
        <v>0</v>
      </c>
      <c r="S670">
        <v>0</v>
      </c>
      <c r="T670" t="s">
        <v>478</v>
      </c>
      <c r="U670" t="s">
        <v>108</v>
      </c>
      <c r="V670" s="101">
        <v>46221</v>
      </c>
      <c r="W670">
        <v>1</v>
      </c>
      <c r="X670">
        <v>1</v>
      </c>
      <c r="Y670">
        <v>0</v>
      </c>
      <c r="Z670">
        <v>0</v>
      </c>
      <c r="AA670">
        <v>0</v>
      </c>
    </row>
    <row r="671" spans="1:27" x14ac:dyDescent="0.3">
      <c r="A671">
        <v>5055</v>
      </c>
      <c r="B671">
        <v>24.5</v>
      </c>
      <c r="C671">
        <v>2.5</v>
      </c>
      <c r="D671">
        <v>0</v>
      </c>
      <c r="E671">
        <v>0</v>
      </c>
      <c r="F671" t="s">
        <v>1356</v>
      </c>
      <c r="G671" s="101">
        <v>46222</v>
      </c>
      <c r="H671" t="s">
        <v>477</v>
      </c>
      <c r="I671" t="s">
        <v>457</v>
      </c>
      <c r="J671" t="s">
        <v>442</v>
      </c>
      <c r="K671" t="s">
        <v>382</v>
      </c>
      <c r="L671" s="39">
        <v>0.38378472222222221</v>
      </c>
      <c r="M671" s="39">
        <v>0.68979166666666669</v>
      </c>
      <c r="N671">
        <v>7.34</v>
      </c>
      <c r="O671" t="s">
        <v>1370</v>
      </c>
      <c r="P671">
        <v>0</v>
      </c>
      <c r="Q671" t="s">
        <v>1371</v>
      </c>
      <c r="R671">
        <v>0</v>
      </c>
      <c r="S671">
        <v>0</v>
      </c>
      <c r="T671" t="s">
        <v>478</v>
      </c>
      <c r="U671" t="s">
        <v>108</v>
      </c>
      <c r="V671" s="101">
        <v>46222</v>
      </c>
      <c r="W671">
        <v>1</v>
      </c>
      <c r="X671">
        <v>0</v>
      </c>
      <c r="Y671">
        <v>1</v>
      </c>
      <c r="Z671">
        <v>0</v>
      </c>
      <c r="AA671">
        <v>0</v>
      </c>
    </row>
    <row r="672" spans="1:27" x14ac:dyDescent="0.3">
      <c r="A672">
        <v>5055</v>
      </c>
      <c r="B672">
        <v>24.5</v>
      </c>
      <c r="C672">
        <v>2.5</v>
      </c>
      <c r="D672">
        <v>0</v>
      </c>
      <c r="E672">
        <v>0</v>
      </c>
      <c r="F672" t="s">
        <v>1356</v>
      </c>
      <c r="G672" s="101">
        <v>46223</v>
      </c>
      <c r="H672" t="s">
        <v>477</v>
      </c>
      <c r="I672" t="s">
        <v>457</v>
      </c>
      <c r="J672" t="s">
        <v>442</v>
      </c>
      <c r="K672" t="s">
        <v>382</v>
      </c>
      <c r="L672" s="39">
        <v>0.37346064814814817</v>
      </c>
      <c r="M672" s="39">
        <v>0.77083333333333337</v>
      </c>
      <c r="N672">
        <v>9.5399999999999991</v>
      </c>
      <c r="O672" t="s">
        <v>489</v>
      </c>
      <c r="P672">
        <v>0</v>
      </c>
      <c r="Q672" t="s">
        <v>417</v>
      </c>
      <c r="R672">
        <v>1</v>
      </c>
      <c r="S672">
        <v>1</v>
      </c>
      <c r="T672" t="s">
        <v>478</v>
      </c>
      <c r="U672" t="s">
        <v>108</v>
      </c>
      <c r="V672" s="101">
        <v>46223</v>
      </c>
      <c r="W672">
        <v>1</v>
      </c>
      <c r="X672">
        <v>1</v>
      </c>
      <c r="Y672">
        <v>0</v>
      </c>
      <c r="Z672">
        <v>0</v>
      </c>
      <c r="AA672">
        <v>0</v>
      </c>
    </row>
    <row r="673" spans="1:27" x14ac:dyDescent="0.3">
      <c r="A673">
        <v>5055</v>
      </c>
      <c r="B673">
        <v>24.5</v>
      </c>
      <c r="C673">
        <v>2.5</v>
      </c>
      <c r="D673">
        <v>0</v>
      </c>
      <c r="E673">
        <v>0</v>
      </c>
      <c r="F673" t="s">
        <v>1356</v>
      </c>
      <c r="G673" s="101">
        <v>46224</v>
      </c>
      <c r="H673" t="s">
        <v>477</v>
      </c>
      <c r="I673" t="s">
        <v>457</v>
      </c>
      <c r="J673" t="s">
        <v>442</v>
      </c>
      <c r="K673" t="s">
        <v>382</v>
      </c>
      <c r="L673" s="39">
        <v>0.37385416666666665</v>
      </c>
      <c r="M673" s="39">
        <v>0.7308796296296296</v>
      </c>
      <c r="N673">
        <v>8.57</v>
      </c>
      <c r="O673" t="s">
        <v>928</v>
      </c>
      <c r="P673">
        <v>0</v>
      </c>
      <c r="Q673" t="s">
        <v>687</v>
      </c>
      <c r="R673">
        <v>0</v>
      </c>
      <c r="S673">
        <v>0</v>
      </c>
      <c r="T673" t="s">
        <v>478</v>
      </c>
      <c r="U673" t="s">
        <v>108</v>
      </c>
      <c r="V673" s="101">
        <v>46224</v>
      </c>
      <c r="W673">
        <v>1</v>
      </c>
      <c r="X673">
        <v>1</v>
      </c>
      <c r="Y673">
        <v>0</v>
      </c>
      <c r="Z673">
        <v>0</v>
      </c>
      <c r="AA673">
        <v>0</v>
      </c>
    </row>
    <row r="674" spans="1:27" x14ac:dyDescent="0.3">
      <c r="A674">
        <v>5055</v>
      </c>
      <c r="B674">
        <v>24.5</v>
      </c>
      <c r="C674">
        <v>2.5</v>
      </c>
      <c r="D674">
        <v>0</v>
      </c>
      <c r="E674">
        <v>0</v>
      </c>
      <c r="F674" t="s">
        <v>1356</v>
      </c>
      <c r="G674" s="101">
        <v>46225</v>
      </c>
      <c r="H674" t="s">
        <v>477</v>
      </c>
      <c r="I674" t="s">
        <v>457</v>
      </c>
      <c r="J674" t="s">
        <v>442</v>
      </c>
      <c r="K674" t="s">
        <v>382</v>
      </c>
      <c r="L674" s="39">
        <v>0.37234953703703705</v>
      </c>
      <c r="M674" s="39">
        <v>0.73329861111111116</v>
      </c>
      <c r="N674">
        <v>8.66</v>
      </c>
      <c r="O674" t="s">
        <v>557</v>
      </c>
      <c r="P674">
        <v>0</v>
      </c>
      <c r="Q674" t="s">
        <v>715</v>
      </c>
      <c r="R674">
        <v>0</v>
      </c>
      <c r="S674">
        <v>0</v>
      </c>
      <c r="T674" t="s">
        <v>478</v>
      </c>
      <c r="U674" t="s">
        <v>108</v>
      </c>
      <c r="V674" s="101">
        <v>46225</v>
      </c>
      <c r="W674">
        <v>1</v>
      </c>
      <c r="X674">
        <v>1</v>
      </c>
      <c r="Y674">
        <v>0</v>
      </c>
      <c r="Z674">
        <v>0</v>
      </c>
      <c r="AA674">
        <v>0</v>
      </c>
    </row>
    <row r="675" spans="1:27" x14ac:dyDescent="0.3">
      <c r="A675">
        <v>5055</v>
      </c>
      <c r="B675">
        <v>24.5</v>
      </c>
      <c r="C675">
        <v>2.5</v>
      </c>
      <c r="D675">
        <v>0</v>
      </c>
      <c r="E675">
        <v>0</v>
      </c>
      <c r="F675" t="s">
        <v>1356</v>
      </c>
      <c r="G675" s="101">
        <v>46226</v>
      </c>
      <c r="H675" t="s">
        <v>477</v>
      </c>
      <c r="I675" t="s">
        <v>457</v>
      </c>
      <c r="J675" t="s">
        <v>442</v>
      </c>
      <c r="K675" t="s">
        <v>383</v>
      </c>
      <c r="L675" s="39">
        <v>0</v>
      </c>
      <c r="M675" s="39">
        <v>0</v>
      </c>
      <c r="N675">
        <v>0</v>
      </c>
      <c r="O675" t="s">
        <v>384</v>
      </c>
      <c r="P675">
        <v>9</v>
      </c>
      <c r="Q675" t="s">
        <v>385</v>
      </c>
      <c r="R675">
        <v>0</v>
      </c>
      <c r="S675">
        <v>9</v>
      </c>
      <c r="T675" t="s">
        <v>478</v>
      </c>
      <c r="U675" t="s">
        <v>366</v>
      </c>
      <c r="V675" s="101">
        <v>46226</v>
      </c>
      <c r="W675">
        <v>0</v>
      </c>
      <c r="X675">
        <v>0</v>
      </c>
      <c r="Y675">
        <v>0</v>
      </c>
      <c r="Z675">
        <v>0</v>
      </c>
      <c r="AA675">
        <v>0</v>
      </c>
    </row>
    <row r="676" spans="1:27" x14ac:dyDescent="0.3">
      <c r="A676">
        <v>5055</v>
      </c>
      <c r="B676">
        <v>24.5</v>
      </c>
      <c r="C676">
        <v>2.5</v>
      </c>
      <c r="D676">
        <v>0</v>
      </c>
      <c r="E676">
        <v>0</v>
      </c>
      <c r="F676" t="s">
        <v>1356</v>
      </c>
      <c r="G676" s="101">
        <v>46227</v>
      </c>
      <c r="H676" t="s">
        <v>477</v>
      </c>
      <c r="I676" t="s">
        <v>457</v>
      </c>
      <c r="J676" t="s">
        <v>442</v>
      </c>
      <c r="K676" t="s">
        <v>382</v>
      </c>
      <c r="L676" s="39">
        <v>0.37243055555555554</v>
      </c>
      <c r="M676" s="39">
        <v>0.77303240740740742</v>
      </c>
      <c r="N676">
        <v>9.61</v>
      </c>
      <c r="O676" t="s">
        <v>1339</v>
      </c>
      <c r="P676">
        <v>0</v>
      </c>
      <c r="Q676" t="s">
        <v>1372</v>
      </c>
      <c r="R676">
        <v>1.05</v>
      </c>
      <c r="S676">
        <v>1.05</v>
      </c>
      <c r="T676" t="s">
        <v>478</v>
      </c>
      <c r="U676" t="s">
        <v>108</v>
      </c>
      <c r="V676" s="101">
        <v>46227</v>
      </c>
      <c r="W676">
        <v>1</v>
      </c>
      <c r="X676">
        <v>1</v>
      </c>
      <c r="Y676">
        <v>0</v>
      </c>
      <c r="Z676">
        <v>0</v>
      </c>
      <c r="AA676">
        <v>0</v>
      </c>
    </row>
    <row r="677" spans="1:27" x14ac:dyDescent="0.3">
      <c r="A677">
        <v>5055</v>
      </c>
      <c r="B677">
        <v>24.5</v>
      </c>
      <c r="C677">
        <v>2.5</v>
      </c>
      <c r="D677">
        <v>0</v>
      </c>
      <c r="E677">
        <v>0</v>
      </c>
      <c r="F677" t="s">
        <v>1356</v>
      </c>
      <c r="G677" s="101">
        <v>46228</v>
      </c>
      <c r="H677" t="s">
        <v>477</v>
      </c>
      <c r="I677" t="s">
        <v>457</v>
      </c>
      <c r="J677" t="s">
        <v>442</v>
      </c>
      <c r="K677" t="s">
        <v>382</v>
      </c>
      <c r="L677" s="39">
        <v>0.37289351851851854</v>
      </c>
      <c r="M677" s="39">
        <v>0.77155092592592589</v>
      </c>
      <c r="N677">
        <v>9.57</v>
      </c>
      <c r="O677" t="s">
        <v>837</v>
      </c>
      <c r="P677">
        <v>0</v>
      </c>
      <c r="Q677" t="s">
        <v>1060</v>
      </c>
      <c r="R677">
        <v>1.02</v>
      </c>
      <c r="S677">
        <v>1.02</v>
      </c>
      <c r="T677" t="s">
        <v>478</v>
      </c>
      <c r="U677" t="s">
        <v>108</v>
      </c>
      <c r="V677" s="101">
        <v>46228</v>
      </c>
      <c r="W677">
        <v>1</v>
      </c>
      <c r="X677">
        <v>1</v>
      </c>
      <c r="Y677">
        <v>0</v>
      </c>
      <c r="Z677">
        <v>0</v>
      </c>
      <c r="AA677">
        <v>0</v>
      </c>
    </row>
    <row r="678" spans="1:27" x14ac:dyDescent="0.3">
      <c r="A678">
        <v>5055</v>
      </c>
      <c r="B678">
        <v>24.5</v>
      </c>
      <c r="C678">
        <v>2.5</v>
      </c>
      <c r="D678">
        <v>0</v>
      </c>
      <c r="E678">
        <v>0</v>
      </c>
      <c r="F678" t="s">
        <v>1356</v>
      </c>
      <c r="G678" s="101">
        <v>46229</v>
      </c>
      <c r="H678" t="s">
        <v>477</v>
      </c>
      <c r="I678" t="s">
        <v>457</v>
      </c>
      <c r="J678" t="s">
        <v>442</v>
      </c>
      <c r="K678" t="s">
        <v>383</v>
      </c>
      <c r="L678" s="39">
        <v>0</v>
      </c>
      <c r="M678" s="39">
        <v>0</v>
      </c>
      <c r="N678">
        <v>0</v>
      </c>
      <c r="O678" t="s">
        <v>384</v>
      </c>
      <c r="P678">
        <v>9</v>
      </c>
      <c r="Q678" t="s">
        <v>385</v>
      </c>
      <c r="R678">
        <v>0</v>
      </c>
      <c r="S678">
        <v>9</v>
      </c>
      <c r="T678" t="s">
        <v>478</v>
      </c>
      <c r="U678" t="s">
        <v>366</v>
      </c>
      <c r="V678" s="101">
        <v>46229</v>
      </c>
      <c r="W678">
        <v>0</v>
      </c>
      <c r="X678">
        <v>0</v>
      </c>
      <c r="Y678">
        <v>0</v>
      </c>
      <c r="Z678">
        <v>0</v>
      </c>
      <c r="AA678">
        <v>0</v>
      </c>
    </row>
    <row r="679" spans="1:27" x14ac:dyDescent="0.3">
      <c r="A679">
        <v>5055</v>
      </c>
      <c r="B679">
        <v>24.5</v>
      </c>
      <c r="C679">
        <v>2.5</v>
      </c>
      <c r="D679">
        <v>0</v>
      </c>
      <c r="E679">
        <v>0</v>
      </c>
      <c r="F679" t="s">
        <v>1356</v>
      </c>
      <c r="G679" s="101">
        <v>46230</v>
      </c>
      <c r="H679" t="s">
        <v>477</v>
      </c>
      <c r="I679" t="s">
        <v>457</v>
      </c>
      <c r="J679" t="s">
        <v>442</v>
      </c>
      <c r="K679" t="s">
        <v>382</v>
      </c>
      <c r="L679" s="39">
        <v>0.37078703703703703</v>
      </c>
      <c r="M679" s="39">
        <v>0.77195601851851847</v>
      </c>
      <c r="N679">
        <v>9.6300000000000008</v>
      </c>
      <c r="O679" t="s">
        <v>658</v>
      </c>
      <c r="P679">
        <v>0</v>
      </c>
      <c r="Q679" t="s">
        <v>1373</v>
      </c>
      <c r="R679">
        <v>1.03</v>
      </c>
      <c r="S679">
        <v>1.03</v>
      </c>
      <c r="T679" t="s">
        <v>478</v>
      </c>
      <c r="U679" t="s">
        <v>108</v>
      </c>
      <c r="V679" s="101">
        <v>46230</v>
      </c>
      <c r="W679">
        <v>1</v>
      </c>
      <c r="X679">
        <v>1</v>
      </c>
      <c r="Y679">
        <v>0</v>
      </c>
      <c r="Z679">
        <v>0</v>
      </c>
      <c r="AA679">
        <v>0</v>
      </c>
    </row>
    <row r="680" spans="1:27" x14ac:dyDescent="0.3">
      <c r="A680">
        <v>5055</v>
      </c>
      <c r="B680">
        <v>24.5</v>
      </c>
      <c r="C680">
        <v>2.5</v>
      </c>
      <c r="D680">
        <v>0</v>
      </c>
      <c r="E680">
        <v>0</v>
      </c>
      <c r="F680" t="s">
        <v>1356</v>
      </c>
      <c r="G680" s="101">
        <v>46231</v>
      </c>
      <c r="H680" t="s">
        <v>477</v>
      </c>
      <c r="I680" t="s">
        <v>457</v>
      </c>
      <c r="J680" t="s">
        <v>442</v>
      </c>
      <c r="K680" t="s">
        <v>382</v>
      </c>
      <c r="L680" s="39">
        <v>0.37079861111111112</v>
      </c>
      <c r="M680" s="39">
        <v>0</v>
      </c>
      <c r="N680">
        <v>15.1</v>
      </c>
      <c r="O680" t="s">
        <v>636</v>
      </c>
      <c r="P680">
        <v>0</v>
      </c>
      <c r="Q680" t="s">
        <v>385</v>
      </c>
      <c r="R680">
        <v>0</v>
      </c>
      <c r="S680">
        <v>0</v>
      </c>
      <c r="T680" t="s">
        <v>478</v>
      </c>
      <c r="U680" t="s">
        <v>108</v>
      </c>
      <c r="V680" s="101">
        <v>46231</v>
      </c>
      <c r="W680">
        <v>1</v>
      </c>
      <c r="X680">
        <v>1</v>
      </c>
      <c r="Y680">
        <v>0</v>
      </c>
      <c r="Z680">
        <v>0</v>
      </c>
      <c r="AA680">
        <v>0</v>
      </c>
    </row>
    <row r="681" spans="1:27" x14ac:dyDescent="0.3">
      <c r="A681">
        <v>5055</v>
      </c>
      <c r="B681">
        <v>24.5</v>
      </c>
      <c r="C681">
        <v>2.5</v>
      </c>
      <c r="D681">
        <v>0</v>
      </c>
      <c r="E681">
        <v>0</v>
      </c>
      <c r="F681" t="s">
        <v>1356</v>
      </c>
      <c r="G681" s="101">
        <v>46232</v>
      </c>
      <c r="H681" t="s">
        <v>477</v>
      </c>
      <c r="I681" t="s">
        <v>457</v>
      </c>
      <c r="J681" t="s">
        <v>442</v>
      </c>
      <c r="K681" t="s">
        <v>382</v>
      </c>
      <c r="L681" s="39">
        <v>0.37210648148148145</v>
      </c>
      <c r="M681" s="39">
        <v>0.77067129629629627</v>
      </c>
      <c r="N681">
        <v>9.57</v>
      </c>
      <c r="O681" t="s">
        <v>592</v>
      </c>
      <c r="P681">
        <v>0</v>
      </c>
      <c r="Q681" t="s">
        <v>737</v>
      </c>
      <c r="R681">
        <v>1</v>
      </c>
      <c r="S681">
        <v>1</v>
      </c>
      <c r="T681" t="s">
        <v>478</v>
      </c>
      <c r="U681" t="s">
        <v>108</v>
      </c>
      <c r="V681" s="101">
        <v>46232</v>
      </c>
      <c r="W681">
        <v>1</v>
      </c>
      <c r="X681">
        <v>1</v>
      </c>
      <c r="Y681">
        <v>0</v>
      </c>
      <c r="Z681">
        <v>0</v>
      </c>
      <c r="AA681">
        <v>0</v>
      </c>
    </row>
    <row r="682" spans="1:27" x14ac:dyDescent="0.3">
      <c r="A682">
        <v>5055</v>
      </c>
      <c r="B682">
        <v>24.5</v>
      </c>
      <c r="C682">
        <v>2.5</v>
      </c>
      <c r="D682">
        <v>0</v>
      </c>
      <c r="E682">
        <v>0</v>
      </c>
      <c r="F682" t="s">
        <v>1356</v>
      </c>
      <c r="G682" s="101">
        <v>46233</v>
      </c>
      <c r="H682" t="s">
        <v>477</v>
      </c>
      <c r="I682" t="s">
        <v>457</v>
      </c>
      <c r="J682" t="s">
        <v>442</v>
      </c>
      <c r="K682" t="s">
        <v>382</v>
      </c>
      <c r="L682" s="39">
        <v>0.37422453703703706</v>
      </c>
      <c r="M682" s="39">
        <v>0.77153935185185185</v>
      </c>
      <c r="N682">
        <v>9.5399999999999991</v>
      </c>
      <c r="O682" t="s">
        <v>1298</v>
      </c>
      <c r="P682">
        <v>0</v>
      </c>
      <c r="Q682" t="s">
        <v>1374</v>
      </c>
      <c r="R682">
        <v>1.02</v>
      </c>
      <c r="S682">
        <v>1.02</v>
      </c>
      <c r="T682" t="s">
        <v>478</v>
      </c>
      <c r="U682" t="s">
        <v>108</v>
      </c>
      <c r="V682" s="101">
        <v>46233</v>
      </c>
      <c r="W682">
        <v>1</v>
      </c>
      <c r="X682">
        <v>1</v>
      </c>
      <c r="Y682">
        <v>0</v>
      </c>
      <c r="Z682">
        <v>0</v>
      </c>
      <c r="AA682">
        <v>0</v>
      </c>
    </row>
    <row r="683" spans="1:27" x14ac:dyDescent="0.3">
      <c r="A683">
        <v>5055</v>
      </c>
      <c r="B683">
        <v>24.5</v>
      </c>
      <c r="C683">
        <v>2.5</v>
      </c>
      <c r="D683">
        <v>0</v>
      </c>
      <c r="E683">
        <v>0</v>
      </c>
      <c r="F683" t="s">
        <v>1356</v>
      </c>
      <c r="G683" s="101">
        <v>46234</v>
      </c>
      <c r="H683" t="s">
        <v>477</v>
      </c>
      <c r="I683" t="s">
        <v>457</v>
      </c>
      <c r="J683" t="s">
        <v>442</v>
      </c>
      <c r="K683" t="s">
        <v>382</v>
      </c>
      <c r="L683" s="39">
        <v>0.37233796296296295</v>
      </c>
      <c r="M683" s="39">
        <v>0.77032407407407411</v>
      </c>
      <c r="N683">
        <v>9.5500000000000007</v>
      </c>
      <c r="O683" t="s">
        <v>1375</v>
      </c>
      <c r="P683">
        <v>0</v>
      </c>
      <c r="Q683" t="s">
        <v>1376</v>
      </c>
      <c r="R683">
        <v>0.99</v>
      </c>
      <c r="S683">
        <v>0.99</v>
      </c>
      <c r="T683" t="s">
        <v>478</v>
      </c>
      <c r="U683" t="s">
        <v>108</v>
      </c>
      <c r="V683" s="101">
        <v>46234</v>
      </c>
      <c r="W683">
        <v>1</v>
      </c>
      <c r="X683">
        <v>1</v>
      </c>
      <c r="Y683">
        <v>0</v>
      </c>
      <c r="Z683">
        <v>0</v>
      </c>
      <c r="AA683">
        <v>0</v>
      </c>
    </row>
    <row r="684" spans="1:27" x14ac:dyDescent="0.3">
      <c r="A684">
        <v>5060</v>
      </c>
      <c r="B684">
        <v>25.5</v>
      </c>
      <c r="C684">
        <v>1.5</v>
      </c>
      <c r="D684">
        <v>0</v>
      </c>
      <c r="E684">
        <v>0</v>
      </c>
      <c r="F684" t="s">
        <v>1377</v>
      </c>
      <c r="G684" s="101">
        <v>46204</v>
      </c>
      <c r="H684" t="s">
        <v>762</v>
      </c>
      <c r="I684" t="s">
        <v>461</v>
      </c>
      <c r="J684" t="s">
        <v>387</v>
      </c>
      <c r="K684" t="s">
        <v>382</v>
      </c>
      <c r="L684" s="39">
        <v>0.33333333333333331</v>
      </c>
      <c r="M684" s="39">
        <v>0.66666666666666663</v>
      </c>
      <c r="N684">
        <v>8</v>
      </c>
      <c r="O684" t="s">
        <v>417</v>
      </c>
      <c r="P684">
        <v>1</v>
      </c>
      <c r="Q684" t="s">
        <v>764</v>
      </c>
      <c r="R684">
        <v>0</v>
      </c>
      <c r="S684">
        <v>1</v>
      </c>
      <c r="T684" t="s">
        <v>763</v>
      </c>
      <c r="U684" t="s">
        <v>108</v>
      </c>
      <c r="V684" s="101">
        <v>46204</v>
      </c>
      <c r="W684">
        <v>1</v>
      </c>
      <c r="X684">
        <v>1</v>
      </c>
      <c r="Y684">
        <v>0</v>
      </c>
      <c r="Z684">
        <v>0</v>
      </c>
      <c r="AA684">
        <v>0</v>
      </c>
    </row>
    <row r="685" spans="1:27" x14ac:dyDescent="0.3">
      <c r="A685">
        <v>5060</v>
      </c>
      <c r="B685">
        <v>25.5</v>
      </c>
      <c r="C685">
        <v>1.5</v>
      </c>
      <c r="D685">
        <v>0</v>
      </c>
      <c r="E685">
        <v>0</v>
      </c>
      <c r="F685" t="s">
        <v>1377</v>
      </c>
      <c r="G685" s="101">
        <v>46205</v>
      </c>
      <c r="H685" t="s">
        <v>762</v>
      </c>
      <c r="I685" t="s">
        <v>461</v>
      </c>
      <c r="J685" t="s">
        <v>387</v>
      </c>
      <c r="K685" t="s">
        <v>382</v>
      </c>
      <c r="L685" s="39">
        <v>0.33333333333333331</v>
      </c>
      <c r="M685" s="39">
        <v>0.68449074074074079</v>
      </c>
      <c r="N685">
        <v>8.43</v>
      </c>
      <c r="O685" t="s">
        <v>417</v>
      </c>
      <c r="P685">
        <v>1</v>
      </c>
      <c r="Q685" t="s">
        <v>1378</v>
      </c>
      <c r="R685">
        <v>0</v>
      </c>
      <c r="S685">
        <v>1</v>
      </c>
      <c r="T685" t="s">
        <v>763</v>
      </c>
      <c r="U685" t="s">
        <v>108</v>
      </c>
      <c r="V685" s="101">
        <v>46205</v>
      </c>
      <c r="W685">
        <v>1</v>
      </c>
      <c r="X685">
        <v>1</v>
      </c>
      <c r="Y685">
        <v>0</v>
      </c>
      <c r="Z685">
        <v>0</v>
      </c>
      <c r="AA685">
        <v>0</v>
      </c>
    </row>
    <row r="686" spans="1:27" x14ac:dyDescent="0.3">
      <c r="A686">
        <v>5060</v>
      </c>
      <c r="B686">
        <v>25.5</v>
      </c>
      <c r="C686">
        <v>1.5</v>
      </c>
      <c r="D686">
        <v>0</v>
      </c>
      <c r="E686">
        <v>0</v>
      </c>
      <c r="F686" t="s">
        <v>1377</v>
      </c>
      <c r="G686" s="101">
        <v>46206</v>
      </c>
      <c r="H686" t="s">
        <v>762</v>
      </c>
      <c r="I686" t="s">
        <v>461</v>
      </c>
      <c r="J686" t="s">
        <v>387</v>
      </c>
      <c r="K686" t="s">
        <v>382</v>
      </c>
      <c r="L686" s="39">
        <v>0.33331018518518518</v>
      </c>
      <c r="M686" s="39">
        <v>0.66666666666666663</v>
      </c>
      <c r="N686">
        <v>8</v>
      </c>
      <c r="O686" t="s">
        <v>1379</v>
      </c>
      <c r="P686">
        <v>1</v>
      </c>
      <c r="Q686" t="s">
        <v>764</v>
      </c>
      <c r="R686">
        <v>0</v>
      </c>
      <c r="S686">
        <v>1</v>
      </c>
      <c r="T686" t="s">
        <v>763</v>
      </c>
      <c r="U686" t="s">
        <v>108</v>
      </c>
      <c r="V686" s="101">
        <v>46206</v>
      </c>
      <c r="W686">
        <v>1</v>
      </c>
      <c r="X686">
        <v>1</v>
      </c>
      <c r="Y686">
        <v>0</v>
      </c>
      <c r="Z686">
        <v>0</v>
      </c>
      <c r="AA686">
        <v>0</v>
      </c>
    </row>
    <row r="687" spans="1:27" x14ac:dyDescent="0.3">
      <c r="A687">
        <v>5060</v>
      </c>
      <c r="B687">
        <v>25.5</v>
      </c>
      <c r="C687">
        <v>1.5</v>
      </c>
      <c r="D687">
        <v>0</v>
      </c>
      <c r="E687">
        <v>0</v>
      </c>
      <c r="F687" t="s">
        <v>1377</v>
      </c>
      <c r="G687" s="101">
        <v>46207</v>
      </c>
      <c r="H687" t="s">
        <v>762</v>
      </c>
      <c r="I687" t="s">
        <v>461</v>
      </c>
      <c r="J687" t="s">
        <v>387</v>
      </c>
      <c r="K687" t="s">
        <v>382</v>
      </c>
      <c r="L687" s="39">
        <v>0.33333333333333331</v>
      </c>
      <c r="M687" s="39">
        <v>0.66666666666666663</v>
      </c>
      <c r="N687">
        <v>8</v>
      </c>
      <c r="O687" t="s">
        <v>417</v>
      </c>
      <c r="P687">
        <v>1</v>
      </c>
      <c r="Q687" t="s">
        <v>764</v>
      </c>
      <c r="R687">
        <v>0</v>
      </c>
      <c r="S687">
        <v>1</v>
      </c>
      <c r="T687" t="s">
        <v>763</v>
      </c>
      <c r="U687" t="s">
        <v>108</v>
      </c>
      <c r="V687" s="101">
        <v>46207</v>
      </c>
      <c r="W687">
        <v>1</v>
      </c>
      <c r="X687">
        <v>1</v>
      </c>
      <c r="Y687">
        <v>0</v>
      </c>
      <c r="Z687">
        <v>0</v>
      </c>
      <c r="AA687">
        <v>0</v>
      </c>
    </row>
    <row r="688" spans="1:27" x14ac:dyDescent="0.3">
      <c r="A688">
        <v>5060</v>
      </c>
      <c r="B688">
        <v>25.5</v>
      </c>
      <c r="C688">
        <v>1.5</v>
      </c>
      <c r="D688">
        <v>0</v>
      </c>
      <c r="E688">
        <v>0</v>
      </c>
      <c r="F688" t="s">
        <v>1377</v>
      </c>
      <c r="G688" s="101">
        <v>46208</v>
      </c>
      <c r="H688" t="s">
        <v>762</v>
      </c>
      <c r="I688" t="s">
        <v>461</v>
      </c>
      <c r="J688" t="s">
        <v>387</v>
      </c>
      <c r="K688" t="s">
        <v>382</v>
      </c>
      <c r="L688" s="39">
        <v>0.33333333333333331</v>
      </c>
      <c r="M688" s="39">
        <v>0.66666666666666663</v>
      </c>
      <c r="N688">
        <v>8</v>
      </c>
      <c r="O688" t="s">
        <v>417</v>
      </c>
      <c r="P688">
        <v>1</v>
      </c>
      <c r="Q688" t="s">
        <v>764</v>
      </c>
      <c r="R688">
        <v>0</v>
      </c>
      <c r="S688">
        <v>1</v>
      </c>
      <c r="T688" t="s">
        <v>763</v>
      </c>
      <c r="U688" t="s">
        <v>108</v>
      </c>
      <c r="V688" s="101">
        <v>46208</v>
      </c>
      <c r="W688">
        <v>1</v>
      </c>
      <c r="X688">
        <v>0</v>
      </c>
      <c r="Y688">
        <v>1</v>
      </c>
      <c r="Z688">
        <v>0</v>
      </c>
      <c r="AA688">
        <v>0</v>
      </c>
    </row>
    <row r="689" spans="1:27" x14ac:dyDescent="0.3">
      <c r="A689">
        <v>5060</v>
      </c>
      <c r="B689">
        <v>25.5</v>
      </c>
      <c r="C689">
        <v>1.5</v>
      </c>
      <c r="D689">
        <v>0</v>
      </c>
      <c r="E689">
        <v>0</v>
      </c>
      <c r="F689" t="s">
        <v>1377</v>
      </c>
      <c r="G689" s="101">
        <v>46209</v>
      </c>
      <c r="H689" t="s">
        <v>762</v>
      </c>
      <c r="I689" t="s">
        <v>461</v>
      </c>
      <c r="J689" t="s">
        <v>387</v>
      </c>
      <c r="K689" t="s">
        <v>382</v>
      </c>
      <c r="L689" s="39">
        <v>0.35476851851851854</v>
      </c>
      <c r="M689" s="39">
        <v>0.6685416666666667</v>
      </c>
      <c r="N689">
        <v>7.53</v>
      </c>
      <c r="O689" t="s">
        <v>1380</v>
      </c>
      <c r="P689">
        <v>0</v>
      </c>
      <c r="Q689" t="s">
        <v>1381</v>
      </c>
      <c r="R689">
        <v>0</v>
      </c>
      <c r="S689">
        <v>0</v>
      </c>
      <c r="T689" t="s">
        <v>763</v>
      </c>
      <c r="U689" t="s">
        <v>108</v>
      </c>
      <c r="V689" s="101">
        <v>46209</v>
      </c>
      <c r="W689">
        <v>1</v>
      </c>
      <c r="X689">
        <v>1</v>
      </c>
      <c r="Y689">
        <v>0</v>
      </c>
      <c r="Z689">
        <v>0</v>
      </c>
      <c r="AA689">
        <v>0</v>
      </c>
    </row>
    <row r="690" spans="1:27" x14ac:dyDescent="0.3">
      <c r="A690">
        <v>5060</v>
      </c>
      <c r="B690">
        <v>25.5</v>
      </c>
      <c r="C690">
        <v>1.5</v>
      </c>
      <c r="D690">
        <v>0</v>
      </c>
      <c r="E690">
        <v>0</v>
      </c>
      <c r="F690" t="s">
        <v>1377</v>
      </c>
      <c r="G690" s="101">
        <v>46210</v>
      </c>
      <c r="H690" t="s">
        <v>762</v>
      </c>
      <c r="I690" t="s">
        <v>461</v>
      </c>
      <c r="J690" t="s">
        <v>387</v>
      </c>
      <c r="K690" t="s">
        <v>383</v>
      </c>
      <c r="L690" s="39">
        <v>0</v>
      </c>
      <c r="M690" s="39">
        <v>0</v>
      </c>
      <c r="N690">
        <v>0</v>
      </c>
      <c r="O690" t="s">
        <v>384</v>
      </c>
      <c r="P690">
        <v>9</v>
      </c>
      <c r="Q690" t="s">
        <v>385</v>
      </c>
      <c r="R690">
        <v>0</v>
      </c>
      <c r="S690">
        <v>9</v>
      </c>
      <c r="T690" t="s">
        <v>763</v>
      </c>
      <c r="U690" t="s">
        <v>366</v>
      </c>
      <c r="V690" s="101">
        <v>46210</v>
      </c>
      <c r="W690">
        <v>0</v>
      </c>
      <c r="X690">
        <v>0</v>
      </c>
      <c r="Y690">
        <v>0</v>
      </c>
      <c r="Z690">
        <v>0</v>
      </c>
      <c r="AA690">
        <v>0</v>
      </c>
    </row>
    <row r="691" spans="1:27" x14ac:dyDescent="0.3">
      <c r="A691">
        <v>5060</v>
      </c>
      <c r="B691">
        <v>25.5</v>
      </c>
      <c r="C691">
        <v>1.5</v>
      </c>
      <c r="D691">
        <v>0</v>
      </c>
      <c r="E691">
        <v>0</v>
      </c>
      <c r="F691" t="s">
        <v>1377</v>
      </c>
      <c r="G691" s="101">
        <v>46211</v>
      </c>
      <c r="H691" t="s">
        <v>762</v>
      </c>
      <c r="I691" t="s">
        <v>461</v>
      </c>
      <c r="J691" t="s">
        <v>387</v>
      </c>
      <c r="K691" t="s">
        <v>382</v>
      </c>
      <c r="L691" s="39">
        <v>0.35553240740740738</v>
      </c>
      <c r="M691" s="39">
        <v>0.66047453703703707</v>
      </c>
      <c r="N691">
        <v>7.32</v>
      </c>
      <c r="O691" t="s">
        <v>1382</v>
      </c>
      <c r="P691">
        <v>0</v>
      </c>
      <c r="Q691" t="s">
        <v>1383</v>
      </c>
      <c r="R691">
        <v>0</v>
      </c>
      <c r="S691">
        <v>0</v>
      </c>
      <c r="T691" t="s">
        <v>763</v>
      </c>
      <c r="U691" t="s">
        <v>108</v>
      </c>
      <c r="V691" s="101">
        <v>46211</v>
      </c>
      <c r="W691">
        <v>1</v>
      </c>
      <c r="X691">
        <v>1</v>
      </c>
      <c r="Y691">
        <v>0</v>
      </c>
      <c r="Z691">
        <v>0</v>
      </c>
      <c r="AA691">
        <v>0</v>
      </c>
    </row>
    <row r="692" spans="1:27" x14ac:dyDescent="0.3">
      <c r="A692">
        <v>5060</v>
      </c>
      <c r="B692">
        <v>25.5</v>
      </c>
      <c r="C692">
        <v>1.5</v>
      </c>
      <c r="D692">
        <v>0</v>
      </c>
      <c r="E692">
        <v>0</v>
      </c>
      <c r="F692" t="s">
        <v>1377</v>
      </c>
      <c r="G692" s="101">
        <v>46212</v>
      </c>
      <c r="H692" t="s">
        <v>762</v>
      </c>
      <c r="I692" t="s">
        <v>461</v>
      </c>
      <c r="J692" t="s">
        <v>387</v>
      </c>
      <c r="K692" t="s">
        <v>382</v>
      </c>
      <c r="L692" s="39">
        <v>0.34489583333333335</v>
      </c>
      <c r="M692" s="39">
        <v>0.67244212962962968</v>
      </c>
      <c r="N692">
        <v>7.86</v>
      </c>
      <c r="O692" t="s">
        <v>1384</v>
      </c>
      <c r="P692">
        <v>0.5</v>
      </c>
      <c r="Q692" t="s">
        <v>1385</v>
      </c>
      <c r="R692">
        <v>0</v>
      </c>
      <c r="S692">
        <v>0.5</v>
      </c>
      <c r="T692" t="s">
        <v>763</v>
      </c>
      <c r="U692" t="s">
        <v>108</v>
      </c>
      <c r="V692" s="101">
        <v>46212</v>
      </c>
      <c r="W692">
        <v>1</v>
      </c>
      <c r="X692">
        <v>1</v>
      </c>
      <c r="Y692">
        <v>0</v>
      </c>
      <c r="Z692">
        <v>0</v>
      </c>
      <c r="AA692">
        <v>0</v>
      </c>
    </row>
    <row r="693" spans="1:27" x14ac:dyDescent="0.3">
      <c r="A693">
        <v>5060</v>
      </c>
      <c r="B693">
        <v>25.5</v>
      </c>
      <c r="C693">
        <v>1.5</v>
      </c>
      <c r="D693">
        <v>0</v>
      </c>
      <c r="E693">
        <v>0</v>
      </c>
      <c r="F693" t="s">
        <v>1377</v>
      </c>
      <c r="G693" s="101">
        <v>46213</v>
      </c>
      <c r="H693" t="s">
        <v>762</v>
      </c>
      <c r="I693" t="s">
        <v>461</v>
      </c>
      <c r="J693" t="s">
        <v>387</v>
      </c>
      <c r="K693" t="s">
        <v>382</v>
      </c>
      <c r="L693" s="39">
        <v>0.34790509259259261</v>
      </c>
      <c r="M693" s="39">
        <v>0.66271990740740738</v>
      </c>
      <c r="N693">
        <v>7.56</v>
      </c>
      <c r="O693" t="s">
        <v>1386</v>
      </c>
      <c r="P693">
        <v>0.5</v>
      </c>
      <c r="Q693" t="s">
        <v>1387</v>
      </c>
      <c r="R693">
        <v>0</v>
      </c>
      <c r="S693">
        <v>0.5</v>
      </c>
      <c r="T693" t="s">
        <v>763</v>
      </c>
      <c r="U693" t="s">
        <v>108</v>
      </c>
      <c r="V693" s="101">
        <v>46213</v>
      </c>
      <c r="W693">
        <v>1</v>
      </c>
      <c r="X693">
        <v>1</v>
      </c>
      <c r="Y693">
        <v>0</v>
      </c>
      <c r="Z693">
        <v>0</v>
      </c>
      <c r="AA693">
        <v>0</v>
      </c>
    </row>
    <row r="694" spans="1:27" x14ac:dyDescent="0.3">
      <c r="A694">
        <v>5060</v>
      </c>
      <c r="B694">
        <v>25.5</v>
      </c>
      <c r="C694">
        <v>1.5</v>
      </c>
      <c r="D694">
        <v>0</v>
      </c>
      <c r="E694">
        <v>0</v>
      </c>
      <c r="F694" t="s">
        <v>1377</v>
      </c>
      <c r="G694" s="101">
        <v>46214</v>
      </c>
      <c r="H694" t="s">
        <v>762</v>
      </c>
      <c r="I694" t="s">
        <v>461</v>
      </c>
      <c r="J694" t="s">
        <v>387</v>
      </c>
      <c r="K694" t="s">
        <v>382</v>
      </c>
      <c r="L694" s="39">
        <v>0.32998842592592592</v>
      </c>
      <c r="M694" s="39">
        <v>0.66666666666666663</v>
      </c>
      <c r="N694">
        <v>8.08</v>
      </c>
      <c r="O694" t="s">
        <v>1388</v>
      </c>
      <c r="P694">
        <v>1.08</v>
      </c>
      <c r="Q694" t="s">
        <v>764</v>
      </c>
      <c r="R694">
        <v>0</v>
      </c>
      <c r="S694">
        <v>1.08</v>
      </c>
      <c r="T694" t="s">
        <v>763</v>
      </c>
      <c r="U694" t="s">
        <v>108</v>
      </c>
      <c r="V694" s="101">
        <v>46214</v>
      </c>
      <c r="W694">
        <v>1</v>
      </c>
      <c r="X694">
        <v>1</v>
      </c>
      <c r="Y694">
        <v>0</v>
      </c>
      <c r="Z694">
        <v>0</v>
      </c>
      <c r="AA694">
        <v>0</v>
      </c>
    </row>
    <row r="695" spans="1:27" x14ac:dyDescent="0.3">
      <c r="A695">
        <v>5060</v>
      </c>
      <c r="B695">
        <v>25.5</v>
      </c>
      <c r="C695">
        <v>1.5</v>
      </c>
      <c r="D695">
        <v>0</v>
      </c>
      <c r="E695">
        <v>0</v>
      </c>
      <c r="F695" t="s">
        <v>1377</v>
      </c>
      <c r="G695" s="101">
        <v>46215</v>
      </c>
      <c r="H695" t="s">
        <v>762</v>
      </c>
      <c r="I695" t="s">
        <v>461</v>
      </c>
      <c r="J695" t="s">
        <v>387</v>
      </c>
      <c r="K695" t="s">
        <v>383</v>
      </c>
      <c r="L695" s="39">
        <v>0</v>
      </c>
      <c r="M695" s="39">
        <v>0</v>
      </c>
      <c r="N695">
        <v>0</v>
      </c>
      <c r="O695" t="s">
        <v>384</v>
      </c>
      <c r="P695">
        <v>9</v>
      </c>
      <c r="Q695" t="s">
        <v>385</v>
      </c>
      <c r="R695">
        <v>0</v>
      </c>
      <c r="S695">
        <v>9</v>
      </c>
      <c r="T695" t="s">
        <v>763</v>
      </c>
      <c r="U695" t="s">
        <v>366</v>
      </c>
      <c r="V695" s="101">
        <v>46215</v>
      </c>
      <c r="W695">
        <v>0</v>
      </c>
      <c r="X695">
        <v>0</v>
      </c>
      <c r="Y695">
        <v>0</v>
      </c>
      <c r="Z695">
        <v>0</v>
      </c>
      <c r="AA695">
        <v>0</v>
      </c>
    </row>
    <row r="696" spans="1:27" x14ac:dyDescent="0.3">
      <c r="A696">
        <v>5060</v>
      </c>
      <c r="B696">
        <v>25.5</v>
      </c>
      <c r="C696">
        <v>1.5</v>
      </c>
      <c r="D696">
        <v>0</v>
      </c>
      <c r="E696">
        <v>0</v>
      </c>
      <c r="F696" t="s">
        <v>1377</v>
      </c>
      <c r="G696" s="101">
        <v>46216</v>
      </c>
      <c r="H696" t="s">
        <v>762</v>
      </c>
      <c r="I696" t="s">
        <v>461</v>
      </c>
      <c r="J696" t="s">
        <v>387</v>
      </c>
      <c r="K696" t="s">
        <v>383</v>
      </c>
      <c r="L696" s="39">
        <v>0</v>
      </c>
      <c r="M696" s="39">
        <v>0.58333333333333337</v>
      </c>
      <c r="N696">
        <v>14</v>
      </c>
      <c r="O696" t="s">
        <v>384</v>
      </c>
      <c r="P696">
        <v>9</v>
      </c>
      <c r="Q696" t="s">
        <v>1620</v>
      </c>
      <c r="R696">
        <v>0</v>
      </c>
      <c r="S696">
        <v>9</v>
      </c>
      <c r="T696" t="s">
        <v>763</v>
      </c>
      <c r="U696" t="s">
        <v>108</v>
      </c>
      <c r="V696" s="101">
        <v>46216</v>
      </c>
      <c r="W696">
        <v>1</v>
      </c>
      <c r="X696">
        <v>1</v>
      </c>
      <c r="Y696">
        <v>0</v>
      </c>
      <c r="Z696">
        <v>0</v>
      </c>
      <c r="AA696">
        <v>0</v>
      </c>
    </row>
    <row r="697" spans="1:27" x14ac:dyDescent="0.3">
      <c r="A697">
        <v>5060</v>
      </c>
      <c r="B697">
        <v>25.5</v>
      </c>
      <c r="C697">
        <v>1.5</v>
      </c>
      <c r="D697">
        <v>0</v>
      </c>
      <c r="E697">
        <v>0</v>
      </c>
      <c r="F697" t="s">
        <v>1377</v>
      </c>
      <c r="G697" s="101">
        <v>46217</v>
      </c>
      <c r="H697" t="s">
        <v>762</v>
      </c>
      <c r="I697" t="s">
        <v>461</v>
      </c>
      <c r="J697" t="s">
        <v>387</v>
      </c>
      <c r="K697" t="s">
        <v>382</v>
      </c>
      <c r="L697" s="39">
        <v>0.3417824074074074</v>
      </c>
      <c r="M697" s="39">
        <v>0.66666666666666663</v>
      </c>
      <c r="N697">
        <v>7.8</v>
      </c>
      <c r="O697" t="s">
        <v>1389</v>
      </c>
      <c r="P697">
        <v>0.8</v>
      </c>
      <c r="Q697" t="s">
        <v>764</v>
      </c>
      <c r="R697">
        <v>0</v>
      </c>
      <c r="S697">
        <v>0.8</v>
      </c>
      <c r="T697" t="s">
        <v>763</v>
      </c>
      <c r="U697" t="s">
        <v>108</v>
      </c>
      <c r="V697" s="101">
        <v>46217</v>
      </c>
      <c r="W697">
        <v>1</v>
      </c>
      <c r="X697">
        <v>1</v>
      </c>
      <c r="Y697">
        <v>0</v>
      </c>
      <c r="Z697">
        <v>0</v>
      </c>
      <c r="AA697">
        <v>0</v>
      </c>
    </row>
    <row r="698" spans="1:27" x14ac:dyDescent="0.3">
      <c r="A698">
        <v>5060</v>
      </c>
      <c r="B698">
        <v>25.5</v>
      </c>
      <c r="C698">
        <v>1.5</v>
      </c>
      <c r="D698">
        <v>0</v>
      </c>
      <c r="E698">
        <v>0</v>
      </c>
      <c r="F698" t="s">
        <v>1377</v>
      </c>
      <c r="G698" s="101">
        <v>46218</v>
      </c>
      <c r="H698" t="s">
        <v>762</v>
      </c>
      <c r="I698" t="s">
        <v>461</v>
      </c>
      <c r="J698" t="s">
        <v>387</v>
      </c>
      <c r="K698" t="s">
        <v>382</v>
      </c>
      <c r="L698" s="39">
        <v>0.35795138888888889</v>
      </c>
      <c r="M698" s="39">
        <v>0.54166666666666663</v>
      </c>
      <c r="N698">
        <v>4.41</v>
      </c>
      <c r="O698" t="s">
        <v>1390</v>
      </c>
      <c r="P698">
        <v>0</v>
      </c>
      <c r="Q698" t="s">
        <v>787</v>
      </c>
      <c r="R698">
        <v>0</v>
      </c>
      <c r="S698">
        <v>0</v>
      </c>
      <c r="T698" t="s">
        <v>763</v>
      </c>
      <c r="U698" t="s">
        <v>314</v>
      </c>
      <c r="V698" s="101">
        <v>46218</v>
      </c>
      <c r="W698">
        <v>0.5</v>
      </c>
      <c r="X698">
        <v>0.5</v>
      </c>
      <c r="Y698">
        <v>0</v>
      </c>
      <c r="Z698">
        <v>0</v>
      </c>
      <c r="AA698">
        <v>0</v>
      </c>
    </row>
    <row r="699" spans="1:27" x14ac:dyDescent="0.3">
      <c r="A699">
        <v>5060</v>
      </c>
      <c r="B699">
        <v>25.5</v>
      </c>
      <c r="C699">
        <v>1.5</v>
      </c>
      <c r="D699">
        <v>0</v>
      </c>
      <c r="E699">
        <v>0</v>
      </c>
      <c r="F699" t="s">
        <v>1377</v>
      </c>
      <c r="G699" s="101">
        <v>46219</v>
      </c>
      <c r="H699" t="s">
        <v>762</v>
      </c>
      <c r="I699" t="s">
        <v>461</v>
      </c>
      <c r="J699" t="s">
        <v>387</v>
      </c>
      <c r="K699" t="s">
        <v>382</v>
      </c>
      <c r="L699" s="39">
        <v>0.34942129629629631</v>
      </c>
      <c r="M699" s="39">
        <v>0.66498842592592589</v>
      </c>
      <c r="N699">
        <v>7.57</v>
      </c>
      <c r="O699" t="s">
        <v>1391</v>
      </c>
      <c r="P699">
        <v>0.5</v>
      </c>
      <c r="Q699" t="s">
        <v>1392</v>
      </c>
      <c r="R699">
        <v>0</v>
      </c>
      <c r="S699">
        <v>0.5</v>
      </c>
      <c r="T699" t="s">
        <v>763</v>
      </c>
      <c r="U699" t="s">
        <v>108</v>
      </c>
      <c r="V699" s="101">
        <v>46219</v>
      </c>
      <c r="W699">
        <v>1</v>
      </c>
      <c r="X699">
        <v>1</v>
      </c>
      <c r="Y699">
        <v>0</v>
      </c>
      <c r="Z699">
        <v>0</v>
      </c>
      <c r="AA699">
        <v>0</v>
      </c>
    </row>
    <row r="700" spans="1:27" x14ac:dyDescent="0.3">
      <c r="A700">
        <v>5060</v>
      </c>
      <c r="B700">
        <v>25.5</v>
      </c>
      <c r="C700">
        <v>1.5</v>
      </c>
      <c r="D700">
        <v>0</v>
      </c>
      <c r="E700">
        <v>0</v>
      </c>
      <c r="F700" t="s">
        <v>1377</v>
      </c>
      <c r="G700" s="101">
        <v>46220</v>
      </c>
      <c r="H700" t="s">
        <v>762</v>
      </c>
      <c r="I700" t="s">
        <v>461</v>
      </c>
      <c r="J700" t="s">
        <v>387</v>
      </c>
      <c r="K700" t="s">
        <v>382</v>
      </c>
      <c r="L700" s="39">
        <v>0.33333333333333331</v>
      </c>
      <c r="M700" s="39">
        <v>0.68781250000000005</v>
      </c>
      <c r="N700">
        <v>8.51</v>
      </c>
      <c r="O700" t="s">
        <v>417</v>
      </c>
      <c r="P700">
        <v>1</v>
      </c>
      <c r="Q700" t="s">
        <v>1393</v>
      </c>
      <c r="R700">
        <v>0</v>
      </c>
      <c r="S700">
        <v>1</v>
      </c>
      <c r="T700" t="s">
        <v>763</v>
      </c>
      <c r="U700" t="s">
        <v>108</v>
      </c>
      <c r="V700" s="101">
        <v>46220</v>
      </c>
      <c r="W700">
        <v>1</v>
      </c>
      <c r="X700">
        <v>1</v>
      </c>
      <c r="Y700">
        <v>0</v>
      </c>
      <c r="Z700">
        <v>0</v>
      </c>
      <c r="AA700">
        <v>0</v>
      </c>
    </row>
    <row r="701" spans="1:27" x14ac:dyDescent="0.3">
      <c r="A701">
        <v>5060</v>
      </c>
      <c r="B701">
        <v>25.5</v>
      </c>
      <c r="C701">
        <v>1.5</v>
      </c>
      <c r="D701">
        <v>0</v>
      </c>
      <c r="E701">
        <v>0</v>
      </c>
      <c r="F701" t="s">
        <v>1377</v>
      </c>
      <c r="G701" s="101">
        <v>46221</v>
      </c>
      <c r="H701" t="s">
        <v>762</v>
      </c>
      <c r="I701" t="s">
        <v>461</v>
      </c>
      <c r="J701" t="s">
        <v>387</v>
      </c>
      <c r="K701" t="s">
        <v>382</v>
      </c>
      <c r="L701" s="39">
        <v>0.35009259259259257</v>
      </c>
      <c r="M701" s="39">
        <v>0.66666666666666663</v>
      </c>
      <c r="N701">
        <v>7.6</v>
      </c>
      <c r="O701" t="s">
        <v>1394</v>
      </c>
      <c r="P701">
        <v>0.5</v>
      </c>
      <c r="Q701" t="s">
        <v>764</v>
      </c>
      <c r="R701">
        <v>0</v>
      </c>
      <c r="S701">
        <v>0.5</v>
      </c>
      <c r="T701" t="s">
        <v>763</v>
      </c>
      <c r="U701" t="s">
        <v>108</v>
      </c>
      <c r="V701" s="101">
        <v>46221</v>
      </c>
      <c r="W701">
        <v>1</v>
      </c>
      <c r="X701">
        <v>1</v>
      </c>
      <c r="Y701">
        <v>0</v>
      </c>
      <c r="Z701">
        <v>0</v>
      </c>
      <c r="AA701">
        <v>0</v>
      </c>
    </row>
    <row r="702" spans="1:27" x14ac:dyDescent="0.3">
      <c r="A702">
        <v>5060</v>
      </c>
      <c r="B702">
        <v>25.5</v>
      </c>
      <c r="C702">
        <v>1.5</v>
      </c>
      <c r="D702">
        <v>0</v>
      </c>
      <c r="E702">
        <v>0</v>
      </c>
      <c r="F702" t="s">
        <v>1377</v>
      </c>
      <c r="G702" s="101">
        <v>46222</v>
      </c>
      <c r="H702" t="s">
        <v>762</v>
      </c>
      <c r="I702" t="s">
        <v>461</v>
      </c>
      <c r="J702" t="s">
        <v>387</v>
      </c>
      <c r="K702" t="s">
        <v>382</v>
      </c>
      <c r="L702" s="39">
        <v>0.35076388888888888</v>
      </c>
      <c r="M702" s="39">
        <v>0.64947916666666672</v>
      </c>
      <c r="N702">
        <v>7.17</v>
      </c>
      <c r="O702" t="s">
        <v>1395</v>
      </c>
      <c r="P702">
        <v>0.5</v>
      </c>
      <c r="Q702" t="s">
        <v>1396</v>
      </c>
      <c r="R702">
        <v>0</v>
      </c>
      <c r="S702">
        <v>0.5</v>
      </c>
      <c r="T702" t="s">
        <v>763</v>
      </c>
      <c r="U702" t="s">
        <v>108</v>
      </c>
      <c r="V702" s="101">
        <v>46222</v>
      </c>
      <c r="W702">
        <v>1</v>
      </c>
      <c r="X702">
        <v>0</v>
      </c>
      <c r="Y702">
        <v>1</v>
      </c>
      <c r="Z702">
        <v>0</v>
      </c>
      <c r="AA702">
        <v>0</v>
      </c>
    </row>
    <row r="703" spans="1:27" x14ac:dyDescent="0.3">
      <c r="A703">
        <v>5060</v>
      </c>
      <c r="B703">
        <v>25.5</v>
      </c>
      <c r="C703">
        <v>1.5</v>
      </c>
      <c r="D703">
        <v>0</v>
      </c>
      <c r="E703">
        <v>0</v>
      </c>
      <c r="F703" t="s">
        <v>1377</v>
      </c>
      <c r="G703" s="101">
        <v>46223</v>
      </c>
      <c r="H703" t="s">
        <v>762</v>
      </c>
      <c r="I703" t="s">
        <v>461</v>
      </c>
      <c r="J703" t="s">
        <v>387</v>
      </c>
      <c r="K703" t="s">
        <v>382</v>
      </c>
      <c r="L703" s="39">
        <v>0.66997685185185185</v>
      </c>
      <c r="M703" s="39">
        <v>0</v>
      </c>
      <c r="N703">
        <v>7.92</v>
      </c>
      <c r="O703" t="s">
        <v>1621</v>
      </c>
      <c r="P703">
        <v>0</v>
      </c>
      <c r="Q703" t="s">
        <v>385</v>
      </c>
      <c r="R703">
        <v>0</v>
      </c>
      <c r="S703">
        <v>0</v>
      </c>
      <c r="T703" t="s">
        <v>763</v>
      </c>
      <c r="U703" t="s">
        <v>108</v>
      </c>
      <c r="V703" s="101">
        <v>46223</v>
      </c>
      <c r="W703">
        <v>1</v>
      </c>
      <c r="X703">
        <v>1</v>
      </c>
      <c r="Y703">
        <v>0</v>
      </c>
      <c r="Z703">
        <v>0</v>
      </c>
      <c r="AA703">
        <v>0</v>
      </c>
    </row>
    <row r="704" spans="1:27" x14ac:dyDescent="0.3">
      <c r="A704">
        <v>5060</v>
      </c>
      <c r="B704">
        <v>25.5</v>
      </c>
      <c r="C704">
        <v>1.5</v>
      </c>
      <c r="D704">
        <v>0</v>
      </c>
      <c r="E704">
        <v>0</v>
      </c>
      <c r="F704" t="s">
        <v>1377</v>
      </c>
      <c r="G704" s="101">
        <v>46224</v>
      </c>
      <c r="H704" t="s">
        <v>762</v>
      </c>
      <c r="I704" t="s">
        <v>461</v>
      </c>
      <c r="J704" t="s">
        <v>387</v>
      </c>
      <c r="K704" t="s">
        <v>382</v>
      </c>
      <c r="L704" s="39">
        <v>0.33462962962962961</v>
      </c>
      <c r="M704" s="39">
        <v>0.70043981481481477</v>
      </c>
      <c r="N704">
        <v>8.7799999999999994</v>
      </c>
      <c r="O704" t="s">
        <v>1397</v>
      </c>
      <c r="P704">
        <v>0.97</v>
      </c>
      <c r="Q704" t="s">
        <v>1398</v>
      </c>
      <c r="R704">
        <v>0</v>
      </c>
      <c r="S704">
        <v>0.97</v>
      </c>
      <c r="T704" t="s">
        <v>763</v>
      </c>
      <c r="U704" t="s">
        <v>108</v>
      </c>
      <c r="V704" s="101">
        <v>46224</v>
      </c>
      <c r="W704">
        <v>1</v>
      </c>
      <c r="X704">
        <v>1</v>
      </c>
      <c r="Y704">
        <v>0</v>
      </c>
      <c r="Z704">
        <v>0</v>
      </c>
      <c r="AA704">
        <v>0</v>
      </c>
    </row>
    <row r="705" spans="1:27" x14ac:dyDescent="0.3">
      <c r="A705">
        <v>5060</v>
      </c>
      <c r="B705">
        <v>25.5</v>
      </c>
      <c r="C705">
        <v>1.5</v>
      </c>
      <c r="D705">
        <v>0</v>
      </c>
      <c r="E705">
        <v>0</v>
      </c>
      <c r="F705" t="s">
        <v>1377</v>
      </c>
      <c r="G705" s="101">
        <v>46225</v>
      </c>
      <c r="H705" t="s">
        <v>762</v>
      </c>
      <c r="I705" t="s">
        <v>461</v>
      </c>
      <c r="J705" t="s">
        <v>387</v>
      </c>
      <c r="K705" t="s">
        <v>382</v>
      </c>
      <c r="L705" s="39">
        <v>0.68704861111111115</v>
      </c>
      <c r="M705" s="39">
        <v>0</v>
      </c>
      <c r="N705">
        <v>7.51</v>
      </c>
      <c r="O705" t="s">
        <v>1622</v>
      </c>
      <c r="P705">
        <v>0</v>
      </c>
      <c r="Q705" t="s">
        <v>385</v>
      </c>
      <c r="R705">
        <v>0</v>
      </c>
      <c r="S705">
        <v>0</v>
      </c>
      <c r="T705" t="s">
        <v>763</v>
      </c>
      <c r="U705" t="s">
        <v>108</v>
      </c>
      <c r="V705" s="101">
        <v>46225</v>
      </c>
      <c r="W705">
        <v>1</v>
      </c>
      <c r="X705">
        <v>1</v>
      </c>
      <c r="Y705">
        <v>0</v>
      </c>
      <c r="Z705">
        <v>0</v>
      </c>
      <c r="AA705">
        <v>0</v>
      </c>
    </row>
    <row r="706" spans="1:27" x14ac:dyDescent="0.3">
      <c r="A706">
        <v>5060</v>
      </c>
      <c r="B706">
        <v>25.5</v>
      </c>
      <c r="C706">
        <v>1.5</v>
      </c>
      <c r="D706">
        <v>0</v>
      </c>
      <c r="E706">
        <v>0</v>
      </c>
      <c r="F706" t="s">
        <v>1377</v>
      </c>
      <c r="G706" s="101">
        <v>46226</v>
      </c>
      <c r="H706" t="s">
        <v>762</v>
      </c>
      <c r="I706" t="s">
        <v>461</v>
      </c>
      <c r="J706" t="s">
        <v>387</v>
      </c>
      <c r="K706" t="s">
        <v>382</v>
      </c>
      <c r="L706" s="39">
        <v>0.33268518518518519</v>
      </c>
      <c r="M706" s="39">
        <v>0.71231481481481485</v>
      </c>
      <c r="N706">
        <v>9.11</v>
      </c>
      <c r="O706" t="s">
        <v>1399</v>
      </c>
      <c r="P706">
        <v>1.02</v>
      </c>
      <c r="Q706" t="s">
        <v>1400</v>
      </c>
      <c r="R706">
        <v>0</v>
      </c>
      <c r="S706">
        <v>1.02</v>
      </c>
      <c r="T706" t="s">
        <v>763</v>
      </c>
      <c r="U706" t="s">
        <v>108</v>
      </c>
      <c r="V706" s="101">
        <v>46226</v>
      </c>
      <c r="W706">
        <v>1</v>
      </c>
      <c r="X706">
        <v>1</v>
      </c>
      <c r="Y706">
        <v>0</v>
      </c>
      <c r="Z706">
        <v>0</v>
      </c>
      <c r="AA706">
        <v>0</v>
      </c>
    </row>
    <row r="707" spans="1:27" x14ac:dyDescent="0.3">
      <c r="A707">
        <v>5060</v>
      </c>
      <c r="B707">
        <v>25.5</v>
      </c>
      <c r="C707">
        <v>1.5</v>
      </c>
      <c r="D707">
        <v>0</v>
      </c>
      <c r="E707">
        <v>0</v>
      </c>
      <c r="F707" t="s">
        <v>1377</v>
      </c>
      <c r="G707" s="101">
        <v>46227</v>
      </c>
      <c r="H707" t="s">
        <v>762</v>
      </c>
      <c r="I707" t="s">
        <v>461</v>
      </c>
      <c r="J707" t="s">
        <v>387</v>
      </c>
      <c r="K707" t="s">
        <v>382</v>
      </c>
      <c r="L707" s="39">
        <v>0.68405092592592598</v>
      </c>
      <c r="M707" s="39">
        <v>0</v>
      </c>
      <c r="N707">
        <v>7.58</v>
      </c>
      <c r="O707" t="s">
        <v>1401</v>
      </c>
      <c r="P707">
        <v>0</v>
      </c>
      <c r="Q707" t="s">
        <v>385</v>
      </c>
      <c r="R707">
        <v>0</v>
      </c>
      <c r="S707">
        <v>0</v>
      </c>
      <c r="T707" t="s">
        <v>763</v>
      </c>
      <c r="U707" t="s">
        <v>108</v>
      </c>
      <c r="V707" s="101">
        <v>46227</v>
      </c>
      <c r="W707">
        <v>1</v>
      </c>
      <c r="X707">
        <v>1</v>
      </c>
      <c r="Y707">
        <v>0</v>
      </c>
      <c r="Z707">
        <v>0</v>
      </c>
      <c r="AA707">
        <v>0</v>
      </c>
    </row>
    <row r="708" spans="1:27" x14ac:dyDescent="0.3">
      <c r="A708">
        <v>5060</v>
      </c>
      <c r="B708">
        <v>25.5</v>
      </c>
      <c r="C708">
        <v>1.5</v>
      </c>
      <c r="D708">
        <v>0</v>
      </c>
      <c r="E708">
        <v>0</v>
      </c>
      <c r="F708" t="s">
        <v>1377</v>
      </c>
      <c r="G708" s="101">
        <v>46228</v>
      </c>
      <c r="H708" t="s">
        <v>762</v>
      </c>
      <c r="I708" t="s">
        <v>461</v>
      </c>
      <c r="J708" t="s">
        <v>387</v>
      </c>
      <c r="K708" t="s">
        <v>382</v>
      </c>
      <c r="L708" s="39">
        <v>0.35341435185185183</v>
      </c>
      <c r="M708" s="39">
        <v>0.6408449074074074</v>
      </c>
      <c r="N708">
        <v>6.9</v>
      </c>
      <c r="O708" t="s">
        <v>1402</v>
      </c>
      <c r="P708">
        <v>0.5</v>
      </c>
      <c r="Q708" t="s">
        <v>1403</v>
      </c>
      <c r="R708">
        <v>0</v>
      </c>
      <c r="S708">
        <v>0.5</v>
      </c>
      <c r="T708" t="s">
        <v>763</v>
      </c>
      <c r="U708" t="s">
        <v>108</v>
      </c>
      <c r="V708" s="101">
        <v>46228</v>
      </c>
      <c r="W708">
        <v>1</v>
      </c>
      <c r="X708">
        <v>1</v>
      </c>
      <c r="Y708">
        <v>0</v>
      </c>
      <c r="Z708">
        <v>0</v>
      </c>
      <c r="AA708">
        <v>0</v>
      </c>
    </row>
    <row r="709" spans="1:27" x14ac:dyDescent="0.3">
      <c r="A709">
        <v>5060</v>
      </c>
      <c r="B709">
        <v>25.5</v>
      </c>
      <c r="C709">
        <v>1.5</v>
      </c>
      <c r="D709">
        <v>0</v>
      </c>
      <c r="E709">
        <v>0</v>
      </c>
      <c r="F709" t="s">
        <v>1377</v>
      </c>
      <c r="G709" s="101">
        <v>46229</v>
      </c>
      <c r="H709" t="s">
        <v>762</v>
      </c>
      <c r="I709" t="s">
        <v>461</v>
      </c>
      <c r="J709" t="s">
        <v>387</v>
      </c>
      <c r="K709" t="s">
        <v>383</v>
      </c>
      <c r="L709" s="39">
        <v>0</v>
      </c>
      <c r="M709" s="39">
        <v>0</v>
      </c>
      <c r="N709">
        <v>0</v>
      </c>
      <c r="O709" t="s">
        <v>384</v>
      </c>
      <c r="P709">
        <v>9</v>
      </c>
      <c r="Q709" t="s">
        <v>385</v>
      </c>
      <c r="R709">
        <v>0</v>
      </c>
      <c r="S709">
        <v>9</v>
      </c>
      <c r="T709" t="s">
        <v>763</v>
      </c>
      <c r="U709" t="s">
        <v>366</v>
      </c>
      <c r="V709" s="101">
        <v>46229</v>
      </c>
      <c r="W709">
        <v>0</v>
      </c>
      <c r="X709">
        <v>0</v>
      </c>
      <c r="Y709">
        <v>0</v>
      </c>
      <c r="Z709">
        <v>0</v>
      </c>
      <c r="AA709">
        <v>0</v>
      </c>
    </row>
    <row r="710" spans="1:27" x14ac:dyDescent="0.3">
      <c r="A710">
        <v>5060</v>
      </c>
      <c r="B710">
        <v>25.5</v>
      </c>
      <c r="C710">
        <v>1.5</v>
      </c>
      <c r="D710">
        <v>0</v>
      </c>
      <c r="E710">
        <v>0</v>
      </c>
      <c r="F710" t="s">
        <v>1377</v>
      </c>
      <c r="G710" s="101">
        <v>46230</v>
      </c>
      <c r="H710" t="s">
        <v>762</v>
      </c>
      <c r="I710" t="s">
        <v>461</v>
      </c>
      <c r="J710" t="s">
        <v>387</v>
      </c>
      <c r="K710" t="s">
        <v>382</v>
      </c>
      <c r="L710" s="39">
        <v>0.34206018518518516</v>
      </c>
      <c r="M710" s="39">
        <v>0.655787037037037</v>
      </c>
      <c r="N710">
        <v>7.53</v>
      </c>
      <c r="O710" t="s">
        <v>1404</v>
      </c>
      <c r="P710">
        <v>0.79</v>
      </c>
      <c r="Q710" t="s">
        <v>1405</v>
      </c>
      <c r="R710">
        <v>0</v>
      </c>
      <c r="S710">
        <v>0.79</v>
      </c>
      <c r="T710" t="s">
        <v>763</v>
      </c>
      <c r="U710" t="s">
        <v>108</v>
      </c>
      <c r="V710" s="101">
        <v>46230</v>
      </c>
      <c r="W710">
        <v>1</v>
      </c>
      <c r="X710">
        <v>1</v>
      </c>
      <c r="Y710">
        <v>0</v>
      </c>
      <c r="Z710">
        <v>0</v>
      </c>
      <c r="AA710">
        <v>0</v>
      </c>
    </row>
    <row r="711" spans="1:27" x14ac:dyDescent="0.3">
      <c r="A711">
        <v>5060</v>
      </c>
      <c r="B711">
        <v>25.5</v>
      </c>
      <c r="C711">
        <v>1.5</v>
      </c>
      <c r="D711">
        <v>0</v>
      </c>
      <c r="E711">
        <v>0</v>
      </c>
      <c r="F711" t="s">
        <v>1377</v>
      </c>
      <c r="G711" s="101">
        <v>46231</v>
      </c>
      <c r="H711" t="s">
        <v>762</v>
      </c>
      <c r="I711" t="s">
        <v>461</v>
      </c>
      <c r="J711" t="s">
        <v>387</v>
      </c>
      <c r="K711" t="s">
        <v>382</v>
      </c>
      <c r="L711" s="39">
        <v>0.33936342592592594</v>
      </c>
      <c r="M711" s="39">
        <v>0.67024305555555552</v>
      </c>
      <c r="N711">
        <v>7.94</v>
      </c>
      <c r="O711" t="s">
        <v>1406</v>
      </c>
      <c r="P711">
        <v>0.86</v>
      </c>
      <c r="Q711" t="s">
        <v>1407</v>
      </c>
      <c r="R711">
        <v>0</v>
      </c>
      <c r="S711">
        <v>0.86</v>
      </c>
      <c r="T711" t="s">
        <v>763</v>
      </c>
      <c r="U711" t="s">
        <v>108</v>
      </c>
      <c r="V711" s="101">
        <v>46231</v>
      </c>
      <c r="W711">
        <v>1</v>
      </c>
      <c r="X711">
        <v>1</v>
      </c>
      <c r="Y711">
        <v>0</v>
      </c>
      <c r="Z711">
        <v>0</v>
      </c>
      <c r="AA711">
        <v>0</v>
      </c>
    </row>
    <row r="712" spans="1:27" x14ac:dyDescent="0.3">
      <c r="A712">
        <v>5060</v>
      </c>
      <c r="B712">
        <v>25.5</v>
      </c>
      <c r="C712">
        <v>1.5</v>
      </c>
      <c r="D712">
        <v>0</v>
      </c>
      <c r="E712">
        <v>0</v>
      </c>
      <c r="F712" t="s">
        <v>1377</v>
      </c>
      <c r="G712" s="101">
        <v>46232</v>
      </c>
      <c r="H712" t="s">
        <v>762</v>
      </c>
      <c r="I712" t="s">
        <v>461</v>
      </c>
      <c r="J712" t="s">
        <v>387</v>
      </c>
      <c r="K712" t="s">
        <v>382</v>
      </c>
      <c r="L712" s="39">
        <v>0.34990740740740739</v>
      </c>
      <c r="M712" s="39">
        <v>0.66295138888888894</v>
      </c>
      <c r="N712">
        <v>7.51</v>
      </c>
      <c r="O712" t="s">
        <v>1408</v>
      </c>
      <c r="P712">
        <v>0.5</v>
      </c>
      <c r="Q712" t="s">
        <v>1409</v>
      </c>
      <c r="R712">
        <v>0</v>
      </c>
      <c r="S712">
        <v>0.5</v>
      </c>
      <c r="T712" t="s">
        <v>763</v>
      </c>
      <c r="U712" t="s">
        <v>108</v>
      </c>
      <c r="V712" s="101">
        <v>46232</v>
      </c>
      <c r="W712">
        <v>1</v>
      </c>
      <c r="X712">
        <v>1</v>
      </c>
      <c r="Y712">
        <v>0</v>
      </c>
      <c r="Z712">
        <v>0</v>
      </c>
      <c r="AA712">
        <v>0</v>
      </c>
    </row>
    <row r="713" spans="1:27" x14ac:dyDescent="0.3">
      <c r="A713">
        <v>5060</v>
      </c>
      <c r="B713">
        <v>25.5</v>
      </c>
      <c r="C713">
        <v>1.5</v>
      </c>
      <c r="D713">
        <v>0</v>
      </c>
      <c r="E713">
        <v>0</v>
      </c>
      <c r="F713" t="s">
        <v>1377</v>
      </c>
      <c r="G713" s="101">
        <v>46233</v>
      </c>
      <c r="H713" t="s">
        <v>762</v>
      </c>
      <c r="I713" t="s">
        <v>461</v>
      </c>
      <c r="J713" t="s">
        <v>387</v>
      </c>
      <c r="K713" t="s">
        <v>382</v>
      </c>
      <c r="L713" s="39">
        <v>0.33839120370370368</v>
      </c>
      <c r="M713" s="39">
        <v>0.67076388888888894</v>
      </c>
      <c r="N713">
        <v>7.98</v>
      </c>
      <c r="O713" t="s">
        <v>1410</v>
      </c>
      <c r="P713">
        <v>0.88</v>
      </c>
      <c r="Q713" t="s">
        <v>1411</v>
      </c>
      <c r="R713">
        <v>0</v>
      </c>
      <c r="S713">
        <v>0.88</v>
      </c>
      <c r="T713" t="s">
        <v>763</v>
      </c>
      <c r="U713" t="s">
        <v>108</v>
      </c>
      <c r="V713" s="101">
        <v>46233</v>
      </c>
      <c r="W713">
        <v>1</v>
      </c>
      <c r="X713">
        <v>1</v>
      </c>
      <c r="Y713">
        <v>0</v>
      </c>
      <c r="Z713">
        <v>0</v>
      </c>
      <c r="AA713">
        <v>0</v>
      </c>
    </row>
    <row r="714" spans="1:27" x14ac:dyDescent="0.3">
      <c r="A714">
        <v>5060</v>
      </c>
      <c r="B714">
        <v>25.5</v>
      </c>
      <c r="C714">
        <v>1.5</v>
      </c>
      <c r="D714">
        <v>0</v>
      </c>
      <c r="E714">
        <v>0</v>
      </c>
      <c r="F714" t="s">
        <v>1377</v>
      </c>
      <c r="G714" s="101">
        <v>46234</v>
      </c>
      <c r="H714" t="s">
        <v>762</v>
      </c>
      <c r="I714" t="s">
        <v>461</v>
      </c>
      <c r="J714" t="s">
        <v>387</v>
      </c>
      <c r="K714" t="s">
        <v>382</v>
      </c>
      <c r="L714" s="39">
        <v>0.35951388888888891</v>
      </c>
      <c r="M714" s="39">
        <v>0.62339120370370371</v>
      </c>
      <c r="N714">
        <v>6.33</v>
      </c>
      <c r="O714" t="s">
        <v>1412</v>
      </c>
      <c r="P714">
        <v>0</v>
      </c>
      <c r="Q714" t="s">
        <v>1413</v>
      </c>
      <c r="R714">
        <v>0</v>
      </c>
      <c r="S714">
        <v>0</v>
      </c>
      <c r="T714" t="s">
        <v>763</v>
      </c>
      <c r="U714" t="s">
        <v>108</v>
      </c>
      <c r="V714" s="101">
        <v>46234</v>
      </c>
      <c r="W714">
        <v>1</v>
      </c>
      <c r="X714">
        <v>1</v>
      </c>
      <c r="Y714">
        <v>0</v>
      </c>
      <c r="Z714">
        <v>0</v>
      </c>
      <c r="AA714">
        <v>0</v>
      </c>
    </row>
    <row r="715" spans="1:27" x14ac:dyDescent="0.3">
      <c r="A715">
        <v>5080</v>
      </c>
      <c r="B715">
        <v>27</v>
      </c>
      <c r="C715">
        <v>0</v>
      </c>
      <c r="D715">
        <v>0</v>
      </c>
      <c r="E715">
        <v>0</v>
      </c>
      <c r="F715" t="s">
        <v>1296</v>
      </c>
      <c r="G715" s="101">
        <v>46204</v>
      </c>
      <c r="H715" t="s">
        <v>219</v>
      </c>
      <c r="I715" t="s">
        <v>441</v>
      </c>
      <c r="J715" t="s">
        <v>459</v>
      </c>
      <c r="K715" t="s">
        <v>382</v>
      </c>
      <c r="L715" s="39">
        <v>0.35438657407407409</v>
      </c>
      <c r="M715" s="39">
        <v>0.74275462962962968</v>
      </c>
      <c r="N715">
        <v>9.32</v>
      </c>
      <c r="O715" t="s">
        <v>1414</v>
      </c>
      <c r="P715">
        <v>0</v>
      </c>
      <c r="Q715" t="s">
        <v>743</v>
      </c>
      <c r="R715">
        <v>0</v>
      </c>
      <c r="S715">
        <v>0</v>
      </c>
      <c r="T715" t="s">
        <v>479</v>
      </c>
      <c r="U715" t="s">
        <v>108</v>
      </c>
      <c r="V715" s="101">
        <v>46204</v>
      </c>
      <c r="W715">
        <v>1</v>
      </c>
      <c r="X715">
        <v>1</v>
      </c>
      <c r="Y715">
        <v>0</v>
      </c>
      <c r="Z715">
        <v>0</v>
      </c>
      <c r="AA715">
        <v>0</v>
      </c>
    </row>
    <row r="716" spans="1:27" x14ac:dyDescent="0.3">
      <c r="A716">
        <v>5080</v>
      </c>
      <c r="B716">
        <v>27</v>
      </c>
      <c r="C716">
        <v>0</v>
      </c>
      <c r="D716">
        <v>0</v>
      </c>
      <c r="E716">
        <v>0</v>
      </c>
      <c r="F716" t="s">
        <v>1296</v>
      </c>
      <c r="G716" s="101">
        <v>46205</v>
      </c>
      <c r="H716" t="s">
        <v>219</v>
      </c>
      <c r="I716" t="s">
        <v>441</v>
      </c>
      <c r="J716" t="s">
        <v>459</v>
      </c>
      <c r="K716" t="s">
        <v>382</v>
      </c>
      <c r="L716" s="39">
        <v>0.34998842592592594</v>
      </c>
      <c r="M716" s="39">
        <v>0.73690972222222217</v>
      </c>
      <c r="N716">
        <v>9.2899999999999991</v>
      </c>
      <c r="O716" t="s">
        <v>1415</v>
      </c>
      <c r="P716">
        <v>0.5</v>
      </c>
      <c r="Q716" t="s">
        <v>1416</v>
      </c>
      <c r="R716">
        <v>0</v>
      </c>
      <c r="S716">
        <v>0.5</v>
      </c>
      <c r="T716" t="s">
        <v>479</v>
      </c>
      <c r="U716" t="s">
        <v>108</v>
      </c>
      <c r="V716" s="101">
        <v>46205</v>
      </c>
      <c r="W716">
        <v>1</v>
      </c>
      <c r="X716">
        <v>1</v>
      </c>
      <c r="Y716">
        <v>0</v>
      </c>
      <c r="Z716">
        <v>0</v>
      </c>
      <c r="AA716">
        <v>0</v>
      </c>
    </row>
    <row r="717" spans="1:27" x14ac:dyDescent="0.3">
      <c r="A717">
        <v>5080</v>
      </c>
      <c r="B717">
        <v>27</v>
      </c>
      <c r="C717">
        <v>0</v>
      </c>
      <c r="D717">
        <v>0</v>
      </c>
      <c r="E717">
        <v>0</v>
      </c>
      <c r="F717" t="s">
        <v>1296</v>
      </c>
      <c r="G717" s="101">
        <v>46206</v>
      </c>
      <c r="H717" t="s">
        <v>219</v>
      </c>
      <c r="I717" t="s">
        <v>441</v>
      </c>
      <c r="J717" t="s">
        <v>459</v>
      </c>
      <c r="K717" t="s">
        <v>382</v>
      </c>
      <c r="L717" s="39">
        <v>0.34728009259259257</v>
      </c>
      <c r="M717" s="39">
        <v>0.74342592592592593</v>
      </c>
      <c r="N717">
        <v>9.51</v>
      </c>
      <c r="O717" t="s">
        <v>1417</v>
      </c>
      <c r="P717">
        <v>0.5</v>
      </c>
      <c r="Q717" t="s">
        <v>1418</v>
      </c>
      <c r="R717">
        <v>0</v>
      </c>
      <c r="S717">
        <v>0.5</v>
      </c>
      <c r="T717" t="s">
        <v>479</v>
      </c>
      <c r="U717" t="s">
        <v>108</v>
      </c>
      <c r="V717" s="101">
        <v>46206</v>
      </c>
      <c r="W717">
        <v>1</v>
      </c>
      <c r="X717">
        <v>1</v>
      </c>
      <c r="Y717">
        <v>0</v>
      </c>
      <c r="Z717">
        <v>0</v>
      </c>
      <c r="AA717">
        <v>0</v>
      </c>
    </row>
    <row r="718" spans="1:27" x14ac:dyDescent="0.3">
      <c r="A718">
        <v>5080</v>
      </c>
      <c r="B718">
        <v>27</v>
      </c>
      <c r="C718">
        <v>0</v>
      </c>
      <c r="D718">
        <v>0</v>
      </c>
      <c r="E718">
        <v>0</v>
      </c>
      <c r="F718" t="s">
        <v>1296</v>
      </c>
      <c r="G718" s="101">
        <v>46207</v>
      </c>
      <c r="H718" t="s">
        <v>219</v>
      </c>
      <c r="I718" t="s">
        <v>441</v>
      </c>
      <c r="J718" t="s">
        <v>459</v>
      </c>
      <c r="K718" t="s">
        <v>382</v>
      </c>
      <c r="L718" s="39">
        <v>0.32828703703703704</v>
      </c>
      <c r="M718" s="39">
        <v>0.77106481481481481</v>
      </c>
      <c r="N718">
        <v>10.63</v>
      </c>
      <c r="O718" t="s">
        <v>1419</v>
      </c>
      <c r="P718">
        <v>1.1200000000000001</v>
      </c>
      <c r="Q718" t="s">
        <v>1420</v>
      </c>
      <c r="R718">
        <v>1.01</v>
      </c>
      <c r="S718">
        <v>2.13</v>
      </c>
      <c r="T718" t="s">
        <v>479</v>
      </c>
      <c r="U718" t="s">
        <v>108</v>
      </c>
      <c r="V718" s="101">
        <v>46207</v>
      </c>
      <c r="W718">
        <v>1</v>
      </c>
      <c r="X718">
        <v>1</v>
      </c>
      <c r="Y718">
        <v>0</v>
      </c>
      <c r="Z718">
        <v>0</v>
      </c>
      <c r="AA718">
        <v>0</v>
      </c>
    </row>
    <row r="719" spans="1:27" x14ac:dyDescent="0.3">
      <c r="A719">
        <v>5080</v>
      </c>
      <c r="B719">
        <v>27</v>
      </c>
      <c r="C719">
        <v>0</v>
      </c>
      <c r="D719">
        <v>0</v>
      </c>
      <c r="E719">
        <v>0</v>
      </c>
      <c r="F719" t="s">
        <v>1296</v>
      </c>
      <c r="G719" s="101">
        <v>46208</v>
      </c>
      <c r="H719" t="s">
        <v>219</v>
      </c>
      <c r="I719" t="s">
        <v>441</v>
      </c>
      <c r="J719" t="s">
        <v>459</v>
      </c>
      <c r="K719" t="s">
        <v>382</v>
      </c>
      <c r="L719" s="39">
        <v>0.375</v>
      </c>
      <c r="M719" s="39">
        <v>0.52490740740740738</v>
      </c>
      <c r="N719">
        <v>3.6</v>
      </c>
      <c r="O719" t="s">
        <v>418</v>
      </c>
      <c r="P719">
        <v>0</v>
      </c>
      <c r="Q719" t="s">
        <v>1421</v>
      </c>
      <c r="R719">
        <v>0</v>
      </c>
      <c r="S719">
        <v>0</v>
      </c>
      <c r="T719" t="s">
        <v>479</v>
      </c>
      <c r="U719" t="s">
        <v>314</v>
      </c>
      <c r="V719" s="101">
        <v>46208</v>
      </c>
      <c r="W719">
        <v>0.5</v>
      </c>
      <c r="X719">
        <v>0</v>
      </c>
      <c r="Y719">
        <v>0.5</v>
      </c>
      <c r="Z719">
        <v>0</v>
      </c>
      <c r="AA719">
        <v>0</v>
      </c>
    </row>
    <row r="720" spans="1:27" x14ac:dyDescent="0.3">
      <c r="A720">
        <v>5080</v>
      </c>
      <c r="B720">
        <v>27</v>
      </c>
      <c r="C720">
        <v>0</v>
      </c>
      <c r="D720">
        <v>0</v>
      </c>
      <c r="E720">
        <v>0</v>
      </c>
      <c r="F720" t="s">
        <v>1296</v>
      </c>
      <c r="G720" s="101">
        <v>46209</v>
      </c>
      <c r="H720" t="s">
        <v>219</v>
      </c>
      <c r="I720" t="s">
        <v>441</v>
      </c>
      <c r="J720" t="s">
        <v>459</v>
      </c>
      <c r="K720" t="s">
        <v>382</v>
      </c>
      <c r="L720" s="39">
        <v>0.35206018518518517</v>
      </c>
      <c r="M720" s="39">
        <v>0.73055555555555551</v>
      </c>
      <c r="N720">
        <v>9.08</v>
      </c>
      <c r="O720" t="s">
        <v>1422</v>
      </c>
      <c r="P720">
        <v>0.5</v>
      </c>
      <c r="Q720" t="s">
        <v>705</v>
      </c>
      <c r="R720">
        <v>0</v>
      </c>
      <c r="S720">
        <v>0.5</v>
      </c>
      <c r="T720" t="s">
        <v>479</v>
      </c>
      <c r="U720" t="s">
        <v>108</v>
      </c>
      <c r="V720" s="101">
        <v>46209</v>
      </c>
      <c r="W720">
        <v>1</v>
      </c>
      <c r="X720">
        <v>1</v>
      </c>
      <c r="Y720">
        <v>0</v>
      </c>
      <c r="Z720">
        <v>0</v>
      </c>
      <c r="AA720">
        <v>0</v>
      </c>
    </row>
    <row r="721" spans="1:27" x14ac:dyDescent="0.3">
      <c r="A721">
        <v>5080</v>
      </c>
      <c r="B721">
        <v>27</v>
      </c>
      <c r="C721">
        <v>0</v>
      </c>
      <c r="D721">
        <v>0</v>
      </c>
      <c r="E721">
        <v>0</v>
      </c>
      <c r="F721" t="s">
        <v>1296</v>
      </c>
      <c r="G721" s="101">
        <v>46210</v>
      </c>
      <c r="H721" t="s">
        <v>219</v>
      </c>
      <c r="I721" t="s">
        <v>441</v>
      </c>
      <c r="J721" t="s">
        <v>459</v>
      </c>
      <c r="K721" t="s">
        <v>382</v>
      </c>
      <c r="L721" s="39">
        <v>0.3528472222222222</v>
      </c>
      <c r="M721" s="39">
        <v>0.8134837962962963</v>
      </c>
      <c r="N721">
        <v>11.06</v>
      </c>
      <c r="O721" t="s">
        <v>1423</v>
      </c>
      <c r="P721">
        <v>0.5</v>
      </c>
      <c r="Q721" t="s">
        <v>1424</v>
      </c>
      <c r="R721">
        <v>2.02</v>
      </c>
      <c r="S721">
        <v>2.52</v>
      </c>
      <c r="T721" t="s">
        <v>479</v>
      </c>
      <c r="U721" t="s">
        <v>108</v>
      </c>
      <c r="V721" s="101">
        <v>46210</v>
      </c>
      <c r="W721">
        <v>1</v>
      </c>
      <c r="X721">
        <v>1</v>
      </c>
      <c r="Y721">
        <v>0</v>
      </c>
      <c r="Z721">
        <v>0</v>
      </c>
      <c r="AA721">
        <v>0</v>
      </c>
    </row>
    <row r="722" spans="1:27" x14ac:dyDescent="0.3">
      <c r="A722">
        <v>5080</v>
      </c>
      <c r="B722">
        <v>27</v>
      </c>
      <c r="C722">
        <v>0</v>
      </c>
      <c r="D722">
        <v>0</v>
      </c>
      <c r="E722">
        <v>0</v>
      </c>
      <c r="F722" t="s">
        <v>1296</v>
      </c>
      <c r="G722" s="101">
        <v>46211</v>
      </c>
      <c r="H722" t="s">
        <v>219</v>
      </c>
      <c r="I722" t="s">
        <v>441</v>
      </c>
      <c r="J722" t="s">
        <v>459</v>
      </c>
      <c r="K722" t="s">
        <v>382</v>
      </c>
      <c r="L722" s="39">
        <v>0.35447916666666668</v>
      </c>
      <c r="M722" s="39">
        <v>0.82270833333333337</v>
      </c>
      <c r="N722">
        <v>11.24</v>
      </c>
      <c r="O722" t="s">
        <v>1425</v>
      </c>
      <c r="P722">
        <v>0</v>
      </c>
      <c r="Q722" t="s">
        <v>1426</v>
      </c>
      <c r="R722">
        <v>2.2400000000000002</v>
      </c>
      <c r="S722">
        <v>2.2400000000000002</v>
      </c>
      <c r="T722" t="s">
        <v>479</v>
      </c>
      <c r="U722" t="s">
        <v>108</v>
      </c>
      <c r="V722" s="101">
        <v>46211</v>
      </c>
      <c r="W722">
        <v>1</v>
      </c>
      <c r="X722">
        <v>1</v>
      </c>
      <c r="Y722">
        <v>0</v>
      </c>
      <c r="Z722">
        <v>0</v>
      </c>
      <c r="AA722">
        <v>0</v>
      </c>
    </row>
    <row r="723" spans="1:27" x14ac:dyDescent="0.3">
      <c r="A723">
        <v>5080</v>
      </c>
      <c r="B723">
        <v>27</v>
      </c>
      <c r="C723">
        <v>0</v>
      </c>
      <c r="D723">
        <v>0</v>
      </c>
      <c r="E723">
        <v>0</v>
      </c>
      <c r="F723" t="s">
        <v>1296</v>
      </c>
      <c r="G723" s="101">
        <v>46212</v>
      </c>
      <c r="H723" t="s">
        <v>219</v>
      </c>
      <c r="I723" t="s">
        <v>441</v>
      </c>
      <c r="J723" t="s">
        <v>459</v>
      </c>
      <c r="K723" t="s">
        <v>382</v>
      </c>
      <c r="L723" s="39">
        <v>0.35280092592592593</v>
      </c>
      <c r="M723" s="39">
        <v>0.7902893518518519</v>
      </c>
      <c r="N723">
        <v>10.5</v>
      </c>
      <c r="O723" t="s">
        <v>1427</v>
      </c>
      <c r="P723">
        <v>0.5</v>
      </c>
      <c r="Q723" t="s">
        <v>1428</v>
      </c>
      <c r="R723">
        <v>1.47</v>
      </c>
      <c r="S723">
        <v>1.97</v>
      </c>
      <c r="T723" t="s">
        <v>479</v>
      </c>
      <c r="U723" t="s">
        <v>108</v>
      </c>
      <c r="V723" s="101">
        <v>46212</v>
      </c>
      <c r="W723">
        <v>1</v>
      </c>
      <c r="X723">
        <v>1</v>
      </c>
      <c r="Y723">
        <v>0</v>
      </c>
      <c r="Z723">
        <v>0</v>
      </c>
      <c r="AA723">
        <v>0</v>
      </c>
    </row>
    <row r="724" spans="1:27" x14ac:dyDescent="0.3">
      <c r="A724">
        <v>5080</v>
      </c>
      <c r="B724">
        <v>27</v>
      </c>
      <c r="C724">
        <v>0</v>
      </c>
      <c r="D724">
        <v>0</v>
      </c>
      <c r="E724">
        <v>0</v>
      </c>
      <c r="F724" t="s">
        <v>1296</v>
      </c>
      <c r="G724" s="101">
        <v>46213</v>
      </c>
      <c r="H724" t="s">
        <v>219</v>
      </c>
      <c r="I724" t="s">
        <v>441</v>
      </c>
      <c r="J724" t="s">
        <v>459</v>
      </c>
      <c r="K724" t="s">
        <v>382</v>
      </c>
      <c r="L724" s="39">
        <v>0.3520138888888889</v>
      </c>
      <c r="M724" s="39">
        <v>0.77148148148148143</v>
      </c>
      <c r="N724">
        <v>10.07</v>
      </c>
      <c r="O724" t="s">
        <v>1429</v>
      </c>
      <c r="P724">
        <v>0.5</v>
      </c>
      <c r="Q724" t="s">
        <v>1399</v>
      </c>
      <c r="R724">
        <v>1.02</v>
      </c>
      <c r="S724">
        <v>1.52</v>
      </c>
      <c r="T724" t="s">
        <v>479</v>
      </c>
      <c r="U724" t="s">
        <v>108</v>
      </c>
      <c r="V724" s="101">
        <v>46213</v>
      </c>
      <c r="W724">
        <v>1</v>
      </c>
      <c r="X724">
        <v>1</v>
      </c>
      <c r="Y724">
        <v>0</v>
      </c>
      <c r="Z724">
        <v>0</v>
      </c>
      <c r="AA724">
        <v>0</v>
      </c>
    </row>
    <row r="725" spans="1:27" x14ac:dyDescent="0.3">
      <c r="A725">
        <v>5080</v>
      </c>
      <c r="B725">
        <v>27</v>
      </c>
      <c r="C725">
        <v>0</v>
      </c>
      <c r="D725">
        <v>0</v>
      </c>
      <c r="E725">
        <v>0</v>
      </c>
      <c r="F725" t="s">
        <v>1296</v>
      </c>
      <c r="G725" s="101">
        <v>46214</v>
      </c>
      <c r="H725" t="s">
        <v>219</v>
      </c>
      <c r="I725" t="s">
        <v>441</v>
      </c>
      <c r="J725" t="s">
        <v>459</v>
      </c>
      <c r="K725" t="s">
        <v>382</v>
      </c>
      <c r="L725" s="39">
        <v>0.37209490740740742</v>
      </c>
      <c r="M725" s="39">
        <v>0.7901273148148148</v>
      </c>
      <c r="N725">
        <v>10.029999999999999</v>
      </c>
      <c r="O725" t="s">
        <v>1430</v>
      </c>
      <c r="P725">
        <v>0</v>
      </c>
      <c r="Q725" t="s">
        <v>1431</v>
      </c>
      <c r="R725">
        <v>1.46</v>
      </c>
      <c r="S725">
        <v>1.46</v>
      </c>
      <c r="T725" t="s">
        <v>479</v>
      </c>
      <c r="U725" t="s">
        <v>108</v>
      </c>
      <c r="V725" s="101">
        <v>46214</v>
      </c>
      <c r="W725">
        <v>1</v>
      </c>
      <c r="X725">
        <v>1</v>
      </c>
      <c r="Y725">
        <v>0</v>
      </c>
      <c r="Z725">
        <v>0</v>
      </c>
      <c r="AA725">
        <v>0</v>
      </c>
    </row>
    <row r="726" spans="1:27" x14ac:dyDescent="0.3">
      <c r="A726">
        <v>5080</v>
      </c>
      <c r="B726">
        <v>27</v>
      </c>
      <c r="C726">
        <v>0</v>
      </c>
      <c r="D726">
        <v>0</v>
      </c>
      <c r="E726">
        <v>0</v>
      </c>
      <c r="F726" t="s">
        <v>1296</v>
      </c>
      <c r="G726" s="101">
        <v>46215</v>
      </c>
      <c r="H726" t="s">
        <v>219</v>
      </c>
      <c r="I726" t="s">
        <v>441</v>
      </c>
      <c r="J726" t="s">
        <v>459</v>
      </c>
      <c r="K726" t="s">
        <v>382</v>
      </c>
      <c r="L726" s="39">
        <v>0.35177083333333331</v>
      </c>
      <c r="M726" s="39">
        <v>0.69379629629629624</v>
      </c>
      <c r="N726">
        <v>8.2100000000000009</v>
      </c>
      <c r="O726" t="s">
        <v>1432</v>
      </c>
      <c r="P726">
        <v>0.5</v>
      </c>
      <c r="Q726" t="s">
        <v>1433</v>
      </c>
      <c r="R726">
        <v>0</v>
      </c>
      <c r="S726">
        <v>0.5</v>
      </c>
      <c r="T726" t="s">
        <v>479</v>
      </c>
      <c r="U726" t="s">
        <v>108</v>
      </c>
      <c r="V726" s="101">
        <v>46215</v>
      </c>
      <c r="W726">
        <v>1</v>
      </c>
      <c r="X726">
        <v>0</v>
      </c>
      <c r="Y726">
        <v>1</v>
      </c>
      <c r="Z726">
        <v>0</v>
      </c>
      <c r="AA726">
        <v>0</v>
      </c>
    </row>
    <row r="727" spans="1:27" x14ac:dyDescent="0.3">
      <c r="A727">
        <v>5080</v>
      </c>
      <c r="B727">
        <v>27</v>
      </c>
      <c r="C727">
        <v>0</v>
      </c>
      <c r="D727">
        <v>0</v>
      </c>
      <c r="E727">
        <v>0</v>
      </c>
      <c r="F727" t="s">
        <v>1296</v>
      </c>
      <c r="G727" s="101">
        <v>46216</v>
      </c>
      <c r="H727" t="s">
        <v>219</v>
      </c>
      <c r="I727" t="s">
        <v>441</v>
      </c>
      <c r="J727" t="s">
        <v>459</v>
      </c>
      <c r="K727" t="s">
        <v>382</v>
      </c>
      <c r="L727" s="39">
        <v>0.35113425925925928</v>
      </c>
      <c r="M727" s="39">
        <v>0.80381944444444442</v>
      </c>
      <c r="N727">
        <v>10.86</v>
      </c>
      <c r="O727" t="s">
        <v>768</v>
      </c>
      <c r="P727">
        <v>0.5</v>
      </c>
      <c r="Q727" t="s">
        <v>1434</v>
      </c>
      <c r="R727">
        <v>1.79</v>
      </c>
      <c r="S727">
        <v>2.29</v>
      </c>
      <c r="T727" t="s">
        <v>479</v>
      </c>
      <c r="U727" t="s">
        <v>108</v>
      </c>
      <c r="V727" s="101">
        <v>46216</v>
      </c>
      <c r="W727">
        <v>1</v>
      </c>
      <c r="X727">
        <v>1</v>
      </c>
      <c r="Y727">
        <v>0</v>
      </c>
      <c r="Z727">
        <v>0</v>
      </c>
      <c r="AA727">
        <v>0</v>
      </c>
    </row>
    <row r="728" spans="1:27" x14ac:dyDescent="0.3">
      <c r="A728">
        <v>5080</v>
      </c>
      <c r="B728">
        <v>27</v>
      </c>
      <c r="C728">
        <v>0</v>
      </c>
      <c r="D728">
        <v>0</v>
      </c>
      <c r="E728">
        <v>0</v>
      </c>
      <c r="F728" t="s">
        <v>1296</v>
      </c>
      <c r="G728" s="101">
        <v>46217</v>
      </c>
      <c r="H728" t="s">
        <v>219</v>
      </c>
      <c r="I728" t="s">
        <v>441</v>
      </c>
      <c r="J728" t="s">
        <v>459</v>
      </c>
      <c r="K728" t="s">
        <v>382</v>
      </c>
      <c r="L728" s="39">
        <v>0.375</v>
      </c>
      <c r="M728" s="39">
        <v>0.77249999999999996</v>
      </c>
      <c r="N728">
        <v>9.5399999999999991</v>
      </c>
      <c r="O728" t="s">
        <v>418</v>
      </c>
      <c r="P728">
        <v>0</v>
      </c>
      <c r="Q728" t="s">
        <v>1435</v>
      </c>
      <c r="R728">
        <v>1.04</v>
      </c>
      <c r="S728">
        <v>1.04</v>
      </c>
      <c r="T728" t="s">
        <v>479</v>
      </c>
      <c r="U728" t="s">
        <v>108</v>
      </c>
      <c r="V728" s="101">
        <v>46217</v>
      </c>
      <c r="W728">
        <v>1</v>
      </c>
      <c r="X728">
        <v>1</v>
      </c>
      <c r="Y728">
        <v>0</v>
      </c>
      <c r="Z728">
        <v>0</v>
      </c>
      <c r="AA728">
        <v>0</v>
      </c>
    </row>
    <row r="729" spans="1:27" x14ac:dyDescent="0.3">
      <c r="A729">
        <v>5080</v>
      </c>
      <c r="B729">
        <v>27</v>
      </c>
      <c r="C729">
        <v>0</v>
      </c>
      <c r="D729">
        <v>0</v>
      </c>
      <c r="E729">
        <v>0</v>
      </c>
      <c r="F729" t="s">
        <v>1296</v>
      </c>
      <c r="G729" s="101">
        <v>46218</v>
      </c>
      <c r="H729" t="s">
        <v>219</v>
      </c>
      <c r="I729" t="s">
        <v>441</v>
      </c>
      <c r="J729" t="s">
        <v>459</v>
      </c>
      <c r="K729" t="s">
        <v>382</v>
      </c>
      <c r="L729" s="39">
        <v>0.34304398148148146</v>
      </c>
      <c r="M729" s="39">
        <v>0.77494212962962961</v>
      </c>
      <c r="N729">
        <v>10.37</v>
      </c>
      <c r="O729" t="s">
        <v>1436</v>
      </c>
      <c r="P729">
        <v>0.77</v>
      </c>
      <c r="Q729" t="s">
        <v>1437</v>
      </c>
      <c r="R729">
        <v>1.1000000000000001</v>
      </c>
      <c r="S729">
        <v>1.87</v>
      </c>
      <c r="T729" t="s">
        <v>479</v>
      </c>
      <c r="U729" t="s">
        <v>108</v>
      </c>
      <c r="V729" s="101">
        <v>46218</v>
      </c>
      <c r="W729">
        <v>1</v>
      </c>
      <c r="X729">
        <v>1</v>
      </c>
      <c r="Y729">
        <v>0</v>
      </c>
      <c r="Z729">
        <v>0</v>
      </c>
      <c r="AA729">
        <v>0</v>
      </c>
    </row>
    <row r="730" spans="1:27" x14ac:dyDescent="0.3">
      <c r="A730">
        <v>5080</v>
      </c>
      <c r="B730">
        <v>27</v>
      </c>
      <c r="C730">
        <v>0</v>
      </c>
      <c r="D730">
        <v>0</v>
      </c>
      <c r="E730">
        <v>0</v>
      </c>
      <c r="F730" t="s">
        <v>1296</v>
      </c>
      <c r="G730" s="101">
        <v>46219</v>
      </c>
      <c r="H730" t="s">
        <v>219</v>
      </c>
      <c r="I730" t="s">
        <v>441</v>
      </c>
      <c r="J730" t="s">
        <v>459</v>
      </c>
      <c r="K730" t="s">
        <v>382</v>
      </c>
      <c r="L730" s="39">
        <v>0.35394675925925928</v>
      </c>
      <c r="M730" s="39">
        <v>0.8228240740740741</v>
      </c>
      <c r="N730">
        <v>11.25</v>
      </c>
      <c r="O730" t="s">
        <v>1438</v>
      </c>
      <c r="P730">
        <v>0.5</v>
      </c>
      <c r="Q730" t="s">
        <v>1439</v>
      </c>
      <c r="R730">
        <v>2.25</v>
      </c>
      <c r="S730">
        <v>2.75</v>
      </c>
      <c r="T730" t="s">
        <v>479</v>
      </c>
      <c r="U730" t="s">
        <v>108</v>
      </c>
      <c r="V730" s="101">
        <v>46219</v>
      </c>
      <c r="W730">
        <v>1</v>
      </c>
      <c r="X730">
        <v>1</v>
      </c>
      <c r="Y730">
        <v>0</v>
      </c>
      <c r="Z730">
        <v>0</v>
      </c>
      <c r="AA730">
        <v>0</v>
      </c>
    </row>
    <row r="731" spans="1:27" x14ac:dyDescent="0.3">
      <c r="A731">
        <v>5080</v>
      </c>
      <c r="B731">
        <v>27</v>
      </c>
      <c r="C731">
        <v>0</v>
      </c>
      <c r="D731">
        <v>0</v>
      </c>
      <c r="E731">
        <v>0</v>
      </c>
      <c r="F731" t="s">
        <v>1296</v>
      </c>
      <c r="G731" s="101">
        <v>46220</v>
      </c>
      <c r="H731" t="s">
        <v>219</v>
      </c>
      <c r="I731" t="s">
        <v>441</v>
      </c>
      <c r="J731" t="s">
        <v>459</v>
      </c>
      <c r="K731" t="s">
        <v>382</v>
      </c>
      <c r="L731" s="39">
        <v>0.35834490740740743</v>
      </c>
      <c r="M731" s="39">
        <v>0.83353009259259259</v>
      </c>
      <c r="N731">
        <v>11.4</v>
      </c>
      <c r="O731" t="s">
        <v>1440</v>
      </c>
      <c r="P731">
        <v>0</v>
      </c>
      <c r="Q731" t="s">
        <v>1441</v>
      </c>
      <c r="R731">
        <v>2.5</v>
      </c>
      <c r="S731">
        <v>2.5</v>
      </c>
      <c r="T731" t="s">
        <v>479</v>
      </c>
      <c r="U731" t="s">
        <v>108</v>
      </c>
      <c r="V731" s="101">
        <v>46220</v>
      </c>
      <c r="W731">
        <v>1</v>
      </c>
      <c r="X731">
        <v>1</v>
      </c>
      <c r="Y731">
        <v>0</v>
      </c>
      <c r="Z731">
        <v>0</v>
      </c>
      <c r="AA731">
        <v>0</v>
      </c>
    </row>
    <row r="732" spans="1:27" x14ac:dyDescent="0.3">
      <c r="A732">
        <v>5080</v>
      </c>
      <c r="B732">
        <v>27</v>
      </c>
      <c r="C732">
        <v>0</v>
      </c>
      <c r="D732">
        <v>0</v>
      </c>
      <c r="E732">
        <v>0</v>
      </c>
      <c r="F732" t="s">
        <v>1296</v>
      </c>
      <c r="G732" s="101">
        <v>46221</v>
      </c>
      <c r="H732" t="s">
        <v>219</v>
      </c>
      <c r="I732" t="s">
        <v>441</v>
      </c>
      <c r="J732" t="s">
        <v>459</v>
      </c>
      <c r="K732" t="s">
        <v>382</v>
      </c>
      <c r="L732" s="39">
        <v>0.3548263888888889</v>
      </c>
      <c r="M732" s="39">
        <v>0.81202546296296296</v>
      </c>
      <c r="N732">
        <v>10.97</v>
      </c>
      <c r="O732" t="s">
        <v>1442</v>
      </c>
      <c r="P732">
        <v>0</v>
      </c>
      <c r="Q732" t="s">
        <v>1443</v>
      </c>
      <c r="R732">
        <v>1.99</v>
      </c>
      <c r="S732">
        <v>1.99</v>
      </c>
      <c r="T732" t="s">
        <v>479</v>
      </c>
      <c r="U732" t="s">
        <v>108</v>
      </c>
      <c r="V732" s="101">
        <v>46221</v>
      </c>
      <c r="W732">
        <v>1</v>
      </c>
      <c r="X732">
        <v>1</v>
      </c>
      <c r="Y732">
        <v>0</v>
      </c>
      <c r="Z732">
        <v>0</v>
      </c>
      <c r="AA732">
        <v>0</v>
      </c>
    </row>
    <row r="733" spans="1:27" x14ac:dyDescent="0.3">
      <c r="A733">
        <v>5080</v>
      </c>
      <c r="B733">
        <v>27</v>
      </c>
      <c r="C733">
        <v>0</v>
      </c>
      <c r="D733">
        <v>0</v>
      </c>
      <c r="E733">
        <v>0</v>
      </c>
      <c r="F733" t="s">
        <v>1296</v>
      </c>
      <c r="G733" s="101">
        <v>46222</v>
      </c>
      <c r="H733" t="s">
        <v>219</v>
      </c>
      <c r="I733" t="s">
        <v>441</v>
      </c>
      <c r="J733" t="s">
        <v>459</v>
      </c>
      <c r="K733" t="s">
        <v>382</v>
      </c>
      <c r="L733" s="39">
        <v>0.36069444444444443</v>
      </c>
      <c r="M733" s="39">
        <v>0.69283564814814813</v>
      </c>
      <c r="N733">
        <v>7.97</v>
      </c>
      <c r="O733" t="s">
        <v>1444</v>
      </c>
      <c r="P733">
        <v>0</v>
      </c>
      <c r="Q733" t="s">
        <v>1445</v>
      </c>
      <c r="R733">
        <v>0</v>
      </c>
      <c r="S733">
        <v>0</v>
      </c>
      <c r="T733" t="s">
        <v>479</v>
      </c>
      <c r="U733" t="s">
        <v>108</v>
      </c>
      <c r="V733" s="101">
        <v>46222</v>
      </c>
      <c r="W733">
        <v>1</v>
      </c>
      <c r="X733">
        <v>0</v>
      </c>
      <c r="Y733">
        <v>1</v>
      </c>
      <c r="Z733">
        <v>0</v>
      </c>
      <c r="AA733">
        <v>0</v>
      </c>
    </row>
    <row r="734" spans="1:27" x14ac:dyDescent="0.3">
      <c r="A734">
        <v>5080</v>
      </c>
      <c r="B734">
        <v>27</v>
      </c>
      <c r="C734">
        <v>0</v>
      </c>
      <c r="D734">
        <v>0</v>
      </c>
      <c r="E734">
        <v>0</v>
      </c>
      <c r="F734" t="s">
        <v>1296</v>
      </c>
      <c r="G734" s="101">
        <v>46223</v>
      </c>
      <c r="H734" t="s">
        <v>219</v>
      </c>
      <c r="I734" t="s">
        <v>441</v>
      </c>
      <c r="J734" t="s">
        <v>459</v>
      </c>
      <c r="K734" t="s">
        <v>382</v>
      </c>
      <c r="L734" s="39">
        <v>0.37333333333333335</v>
      </c>
      <c r="M734" s="39">
        <v>0.81525462962962958</v>
      </c>
      <c r="N734">
        <v>10.61</v>
      </c>
      <c r="O734" t="s">
        <v>447</v>
      </c>
      <c r="P734">
        <v>0</v>
      </c>
      <c r="Q734" t="s">
        <v>1446</v>
      </c>
      <c r="R734">
        <v>2.0699999999999998</v>
      </c>
      <c r="S734">
        <v>2.0699999999999998</v>
      </c>
      <c r="T734" t="s">
        <v>479</v>
      </c>
      <c r="U734" t="s">
        <v>108</v>
      </c>
      <c r="V734" s="101">
        <v>46223</v>
      </c>
      <c r="W734">
        <v>1</v>
      </c>
      <c r="X734">
        <v>1</v>
      </c>
      <c r="Y734">
        <v>0</v>
      </c>
      <c r="Z734">
        <v>0</v>
      </c>
      <c r="AA734">
        <v>0</v>
      </c>
    </row>
    <row r="735" spans="1:27" x14ac:dyDescent="0.3">
      <c r="A735">
        <v>5080</v>
      </c>
      <c r="B735">
        <v>27</v>
      </c>
      <c r="C735">
        <v>0</v>
      </c>
      <c r="D735">
        <v>0</v>
      </c>
      <c r="E735">
        <v>0</v>
      </c>
      <c r="F735" t="s">
        <v>1296</v>
      </c>
      <c r="G735" s="101">
        <v>46224</v>
      </c>
      <c r="H735" t="s">
        <v>219</v>
      </c>
      <c r="I735" t="s">
        <v>441</v>
      </c>
      <c r="J735" t="s">
        <v>459</v>
      </c>
      <c r="K735" t="s">
        <v>382</v>
      </c>
      <c r="L735" s="39">
        <v>0.35703703703703704</v>
      </c>
      <c r="M735" s="39">
        <v>0.83442129629629624</v>
      </c>
      <c r="N735">
        <v>11.46</v>
      </c>
      <c r="O735" t="s">
        <v>1447</v>
      </c>
      <c r="P735">
        <v>0</v>
      </c>
      <c r="Q735" t="s">
        <v>1448</v>
      </c>
      <c r="R735">
        <v>2.5299999999999998</v>
      </c>
      <c r="S735">
        <v>2.5299999999999998</v>
      </c>
      <c r="T735" t="s">
        <v>479</v>
      </c>
      <c r="U735" t="s">
        <v>108</v>
      </c>
      <c r="V735" s="101">
        <v>46224</v>
      </c>
      <c r="W735">
        <v>1</v>
      </c>
      <c r="X735">
        <v>1</v>
      </c>
      <c r="Y735">
        <v>0</v>
      </c>
      <c r="Z735">
        <v>0</v>
      </c>
      <c r="AA735">
        <v>0</v>
      </c>
    </row>
    <row r="736" spans="1:27" x14ac:dyDescent="0.3">
      <c r="A736">
        <v>5080</v>
      </c>
      <c r="B736">
        <v>27</v>
      </c>
      <c r="C736">
        <v>0</v>
      </c>
      <c r="D736">
        <v>0</v>
      </c>
      <c r="E736">
        <v>0</v>
      </c>
      <c r="F736" t="s">
        <v>1296</v>
      </c>
      <c r="G736" s="101">
        <v>46225</v>
      </c>
      <c r="H736" t="s">
        <v>219</v>
      </c>
      <c r="I736" t="s">
        <v>441</v>
      </c>
      <c r="J736" t="s">
        <v>459</v>
      </c>
      <c r="K736" t="s">
        <v>382</v>
      </c>
      <c r="L736" s="39">
        <v>0.33854166666666669</v>
      </c>
      <c r="M736" s="39">
        <v>0.75886574074074076</v>
      </c>
      <c r="N736">
        <v>10.09</v>
      </c>
      <c r="O736" t="s">
        <v>1449</v>
      </c>
      <c r="P736">
        <v>0.88</v>
      </c>
      <c r="Q736" t="s">
        <v>1450</v>
      </c>
      <c r="R736">
        <v>0.5</v>
      </c>
      <c r="S736">
        <v>1.38</v>
      </c>
      <c r="T736" t="s">
        <v>479</v>
      </c>
      <c r="U736" t="s">
        <v>108</v>
      </c>
      <c r="V736" s="101">
        <v>46225</v>
      </c>
      <c r="W736">
        <v>1</v>
      </c>
      <c r="X736">
        <v>1</v>
      </c>
      <c r="Y736">
        <v>0</v>
      </c>
      <c r="Z736">
        <v>0</v>
      </c>
      <c r="AA736">
        <v>0</v>
      </c>
    </row>
    <row r="737" spans="1:27" x14ac:dyDescent="0.3">
      <c r="A737">
        <v>5080</v>
      </c>
      <c r="B737">
        <v>27</v>
      </c>
      <c r="C737">
        <v>0</v>
      </c>
      <c r="D737">
        <v>0</v>
      </c>
      <c r="E737">
        <v>0</v>
      </c>
      <c r="F737" t="s">
        <v>1296</v>
      </c>
      <c r="G737" s="101">
        <v>46226</v>
      </c>
      <c r="H737" t="s">
        <v>219</v>
      </c>
      <c r="I737" t="s">
        <v>441</v>
      </c>
      <c r="J737" t="s">
        <v>459</v>
      </c>
      <c r="K737" t="s">
        <v>382</v>
      </c>
      <c r="L737" s="39">
        <v>0.34953703703703703</v>
      </c>
      <c r="M737" s="39">
        <v>0.77181712962962967</v>
      </c>
      <c r="N737">
        <v>10.130000000000001</v>
      </c>
      <c r="O737" t="s">
        <v>1451</v>
      </c>
      <c r="P737">
        <v>0.5</v>
      </c>
      <c r="Q737" t="s">
        <v>1452</v>
      </c>
      <c r="R737">
        <v>1.02</v>
      </c>
      <c r="S737">
        <v>1.52</v>
      </c>
      <c r="T737" t="s">
        <v>479</v>
      </c>
      <c r="U737" t="s">
        <v>108</v>
      </c>
      <c r="V737" s="101">
        <v>46226</v>
      </c>
      <c r="W737">
        <v>1</v>
      </c>
      <c r="X737">
        <v>1</v>
      </c>
      <c r="Y737">
        <v>0</v>
      </c>
      <c r="Z737">
        <v>0</v>
      </c>
      <c r="AA737">
        <v>0</v>
      </c>
    </row>
    <row r="738" spans="1:27" x14ac:dyDescent="0.3">
      <c r="A738">
        <v>5080</v>
      </c>
      <c r="B738">
        <v>27</v>
      </c>
      <c r="C738">
        <v>0</v>
      </c>
      <c r="D738">
        <v>0</v>
      </c>
      <c r="E738">
        <v>0</v>
      </c>
      <c r="F738" t="s">
        <v>1296</v>
      </c>
      <c r="G738" s="101">
        <v>46227</v>
      </c>
      <c r="H738" t="s">
        <v>219</v>
      </c>
      <c r="I738" t="s">
        <v>441</v>
      </c>
      <c r="J738" t="s">
        <v>459</v>
      </c>
      <c r="K738" t="s">
        <v>382</v>
      </c>
      <c r="L738" s="39">
        <v>0.35355324074074074</v>
      </c>
      <c r="M738" s="39">
        <v>0.81385416666666666</v>
      </c>
      <c r="N738">
        <v>11.05</v>
      </c>
      <c r="O738" t="s">
        <v>1453</v>
      </c>
      <c r="P738">
        <v>0.5</v>
      </c>
      <c r="Q738" t="s">
        <v>1454</v>
      </c>
      <c r="R738">
        <v>2.0299999999999998</v>
      </c>
      <c r="S738">
        <v>2.5299999999999998</v>
      </c>
      <c r="T738" t="s">
        <v>479</v>
      </c>
      <c r="U738" t="s">
        <v>108</v>
      </c>
      <c r="V738" s="101">
        <v>46227</v>
      </c>
      <c r="W738">
        <v>1</v>
      </c>
      <c r="X738">
        <v>1</v>
      </c>
      <c r="Y738">
        <v>0</v>
      </c>
      <c r="Z738">
        <v>0</v>
      </c>
      <c r="AA738">
        <v>0</v>
      </c>
    </row>
    <row r="739" spans="1:27" x14ac:dyDescent="0.3">
      <c r="A739">
        <v>5080</v>
      </c>
      <c r="B739">
        <v>27</v>
      </c>
      <c r="C739">
        <v>0</v>
      </c>
      <c r="D739">
        <v>0</v>
      </c>
      <c r="E739">
        <v>0</v>
      </c>
      <c r="F739" t="s">
        <v>1296</v>
      </c>
      <c r="G739" s="101">
        <v>46228</v>
      </c>
      <c r="H739" t="s">
        <v>219</v>
      </c>
      <c r="I739" t="s">
        <v>441</v>
      </c>
      <c r="J739" t="s">
        <v>459</v>
      </c>
      <c r="K739" t="s">
        <v>382</v>
      </c>
      <c r="L739" s="39">
        <v>0.35701388888888891</v>
      </c>
      <c r="M739" s="39">
        <v>0.79311342592592593</v>
      </c>
      <c r="N739">
        <v>10.47</v>
      </c>
      <c r="O739" t="s">
        <v>1455</v>
      </c>
      <c r="P739">
        <v>0</v>
      </c>
      <c r="Q739" t="s">
        <v>1456</v>
      </c>
      <c r="R739">
        <v>1.53</v>
      </c>
      <c r="S739">
        <v>1.53</v>
      </c>
      <c r="T739" t="s">
        <v>479</v>
      </c>
      <c r="U739" t="s">
        <v>108</v>
      </c>
      <c r="V739" s="101">
        <v>46228</v>
      </c>
      <c r="W739">
        <v>1</v>
      </c>
      <c r="X739">
        <v>1</v>
      </c>
      <c r="Y739">
        <v>0</v>
      </c>
      <c r="Z739">
        <v>0</v>
      </c>
      <c r="AA739">
        <v>0</v>
      </c>
    </row>
    <row r="740" spans="1:27" x14ac:dyDescent="0.3">
      <c r="A740">
        <v>5080</v>
      </c>
      <c r="B740">
        <v>27</v>
      </c>
      <c r="C740">
        <v>0</v>
      </c>
      <c r="D740">
        <v>0</v>
      </c>
      <c r="E740">
        <v>0</v>
      </c>
      <c r="F740" t="s">
        <v>1296</v>
      </c>
      <c r="G740" s="101">
        <v>46229</v>
      </c>
      <c r="H740" t="s">
        <v>219</v>
      </c>
      <c r="I740" t="s">
        <v>441</v>
      </c>
      <c r="J740" t="s">
        <v>459</v>
      </c>
      <c r="K740" t="s">
        <v>383</v>
      </c>
      <c r="L740" s="39">
        <v>0</v>
      </c>
      <c r="M740" s="39">
        <v>0</v>
      </c>
      <c r="N740">
        <v>0</v>
      </c>
      <c r="O740" t="s">
        <v>384</v>
      </c>
      <c r="P740">
        <v>9</v>
      </c>
      <c r="Q740" t="s">
        <v>385</v>
      </c>
      <c r="R740">
        <v>0</v>
      </c>
      <c r="S740">
        <v>9</v>
      </c>
      <c r="T740" t="s">
        <v>479</v>
      </c>
      <c r="U740" t="s">
        <v>366</v>
      </c>
      <c r="V740" s="101">
        <v>46229</v>
      </c>
      <c r="W740">
        <v>0</v>
      </c>
      <c r="X740">
        <v>0</v>
      </c>
      <c r="Y740">
        <v>0</v>
      </c>
      <c r="Z740">
        <v>0</v>
      </c>
      <c r="AA740">
        <v>0</v>
      </c>
    </row>
    <row r="741" spans="1:27" x14ac:dyDescent="0.3">
      <c r="A741">
        <v>5080</v>
      </c>
      <c r="B741">
        <v>27</v>
      </c>
      <c r="C741">
        <v>0</v>
      </c>
      <c r="D741">
        <v>0</v>
      </c>
      <c r="E741">
        <v>0</v>
      </c>
      <c r="F741" t="s">
        <v>1296</v>
      </c>
      <c r="G741" s="101">
        <v>46230</v>
      </c>
      <c r="H741" t="s">
        <v>219</v>
      </c>
      <c r="I741" t="s">
        <v>441</v>
      </c>
      <c r="J741" t="s">
        <v>459</v>
      </c>
      <c r="K741" t="s">
        <v>382</v>
      </c>
      <c r="L741" s="39">
        <v>0.36841435185185184</v>
      </c>
      <c r="M741" s="39">
        <v>0.78232638888888884</v>
      </c>
      <c r="N741">
        <v>9.93</v>
      </c>
      <c r="O741" t="s">
        <v>1457</v>
      </c>
      <c r="P741">
        <v>0</v>
      </c>
      <c r="Q741" t="s">
        <v>1458</v>
      </c>
      <c r="R741">
        <v>1.28</v>
      </c>
      <c r="S741">
        <v>1.28</v>
      </c>
      <c r="T741" t="s">
        <v>479</v>
      </c>
      <c r="U741" t="s">
        <v>108</v>
      </c>
      <c r="V741" s="101">
        <v>46230</v>
      </c>
      <c r="W741">
        <v>1</v>
      </c>
      <c r="X741">
        <v>1</v>
      </c>
      <c r="Y741">
        <v>0</v>
      </c>
      <c r="Z741">
        <v>0</v>
      </c>
      <c r="AA741">
        <v>0</v>
      </c>
    </row>
    <row r="742" spans="1:27" x14ac:dyDescent="0.3">
      <c r="A742">
        <v>5080</v>
      </c>
      <c r="B742">
        <v>27</v>
      </c>
      <c r="C742">
        <v>0</v>
      </c>
      <c r="D742">
        <v>0</v>
      </c>
      <c r="E742">
        <v>0</v>
      </c>
      <c r="F742" t="s">
        <v>1296</v>
      </c>
      <c r="G742" s="101">
        <v>46231</v>
      </c>
      <c r="H742" t="s">
        <v>219</v>
      </c>
      <c r="I742" t="s">
        <v>441</v>
      </c>
      <c r="J742" t="s">
        <v>459</v>
      </c>
      <c r="K742" t="s">
        <v>382</v>
      </c>
      <c r="L742" s="39">
        <v>0.35560185185185184</v>
      </c>
      <c r="M742" s="39">
        <v>0.8518634259259259</v>
      </c>
      <c r="N742">
        <v>11.91</v>
      </c>
      <c r="O742" t="s">
        <v>1459</v>
      </c>
      <c r="P742">
        <v>0</v>
      </c>
      <c r="Q742" t="s">
        <v>1460</v>
      </c>
      <c r="R742">
        <v>2.94</v>
      </c>
      <c r="S742">
        <v>2.94</v>
      </c>
      <c r="T742" t="s">
        <v>479</v>
      </c>
      <c r="U742" t="s">
        <v>108</v>
      </c>
      <c r="V742" s="101">
        <v>46231</v>
      </c>
      <c r="W742">
        <v>1</v>
      </c>
      <c r="X742">
        <v>1</v>
      </c>
      <c r="Y742">
        <v>0</v>
      </c>
      <c r="Z742">
        <v>0</v>
      </c>
      <c r="AA742">
        <v>0</v>
      </c>
    </row>
    <row r="743" spans="1:27" x14ac:dyDescent="0.3">
      <c r="A743">
        <v>5080</v>
      </c>
      <c r="B743">
        <v>27</v>
      </c>
      <c r="C743">
        <v>0</v>
      </c>
      <c r="D743">
        <v>0</v>
      </c>
      <c r="E743">
        <v>0</v>
      </c>
      <c r="F743" t="s">
        <v>1296</v>
      </c>
      <c r="G743" s="101">
        <v>46232</v>
      </c>
      <c r="H743" t="s">
        <v>219</v>
      </c>
      <c r="I743" t="s">
        <v>441</v>
      </c>
      <c r="J743" t="s">
        <v>459</v>
      </c>
      <c r="K743" t="s">
        <v>382</v>
      </c>
      <c r="L743" s="39">
        <v>0.35549768518518521</v>
      </c>
      <c r="M743" s="39">
        <v>0.87612268518518521</v>
      </c>
      <c r="N743">
        <v>12.5</v>
      </c>
      <c r="O743" t="s">
        <v>1461</v>
      </c>
      <c r="P743">
        <v>0</v>
      </c>
      <c r="Q743" t="s">
        <v>1462</v>
      </c>
      <c r="R743">
        <v>3.53</v>
      </c>
      <c r="S743">
        <v>3.53</v>
      </c>
      <c r="T743" t="s">
        <v>479</v>
      </c>
      <c r="U743" t="s">
        <v>108</v>
      </c>
      <c r="V743" s="101">
        <v>46232</v>
      </c>
      <c r="W743">
        <v>1</v>
      </c>
      <c r="X743">
        <v>1</v>
      </c>
      <c r="Y743">
        <v>0</v>
      </c>
      <c r="Z743">
        <v>0</v>
      </c>
      <c r="AA743">
        <v>0</v>
      </c>
    </row>
    <row r="744" spans="1:27" x14ac:dyDescent="0.3">
      <c r="A744">
        <v>5080</v>
      </c>
      <c r="B744">
        <v>27</v>
      </c>
      <c r="C744">
        <v>0</v>
      </c>
      <c r="D744">
        <v>0</v>
      </c>
      <c r="E744">
        <v>0</v>
      </c>
      <c r="F744" t="s">
        <v>1296</v>
      </c>
      <c r="G744" s="101">
        <v>46233</v>
      </c>
      <c r="H744" t="s">
        <v>219</v>
      </c>
      <c r="I744" t="s">
        <v>441</v>
      </c>
      <c r="J744" t="s">
        <v>459</v>
      </c>
      <c r="K744" t="s">
        <v>382</v>
      </c>
      <c r="L744" s="39">
        <v>0.35546296296296298</v>
      </c>
      <c r="M744" s="39">
        <v>0.98430555555555554</v>
      </c>
      <c r="N744">
        <v>15.09</v>
      </c>
      <c r="O744" t="s">
        <v>1463</v>
      </c>
      <c r="P744">
        <v>0</v>
      </c>
      <c r="Q744" t="s">
        <v>1464</v>
      </c>
      <c r="R744">
        <v>6.12</v>
      </c>
      <c r="S744">
        <v>6.12</v>
      </c>
      <c r="T744" t="s">
        <v>479</v>
      </c>
      <c r="U744" t="s">
        <v>108</v>
      </c>
      <c r="V744" s="101">
        <v>46233</v>
      </c>
      <c r="W744">
        <v>1</v>
      </c>
      <c r="X744">
        <v>1</v>
      </c>
      <c r="Y744">
        <v>0</v>
      </c>
      <c r="Z744">
        <v>0</v>
      </c>
      <c r="AA744">
        <v>0</v>
      </c>
    </row>
    <row r="745" spans="1:27" x14ac:dyDescent="0.3">
      <c r="A745">
        <v>5080</v>
      </c>
      <c r="B745">
        <v>27</v>
      </c>
      <c r="C745">
        <v>0</v>
      </c>
      <c r="D745">
        <v>0</v>
      </c>
      <c r="E745">
        <v>0</v>
      </c>
      <c r="F745" t="s">
        <v>1296</v>
      </c>
      <c r="G745" s="101">
        <v>46234</v>
      </c>
      <c r="H745" t="s">
        <v>219</v>
      </c>
      <c r="I745" t="s">
        <v>441</v>
      </c>
      <c r="J745" t="s">
        <v>459</v>
      </c>
      <c r="K745" t="s">
        <v>382</v>
      </c>
      <c r="L745" s="39">
        <v>0.3510300925925926</v>
      </c>
      <c r="M745" s="39">
        <v>0.96434027777777775</v>
      </c>
      <c r="N745">
        <v>14.72</v>
      </c>
      <c r="O745" t="s">
        <v>1465</v>
      </c>
      <c r="P745">
        <v>0.5</v>
      </c>
      <c r="Q745" t="s">
        <v>1466</v>
      </c>
      <c r="R745">
        <v>5.64</v>
      </c>
      <c r="S745">
        <v>6.14</v>
      </c>
      <c r="T745" t="s">
        <v>479</v>
      </c>
      <c r="U745" t="s">
        <v>108</v>
      </c>
      <c r="V745" s="101">
        <v>46234</v>
      </c>
      <c r="W745">
        <v>1</v>
      </c>
      <c r="X745">
        <v>1</v>
      </c>
      <c r="Y745">
        <v>0</v>
      </c>
      <c r="Z745">
        <v>0</v>
      </c>
      <c r="AA745">
        <v>0</v>
      </c>
    </row>
    <row r="746" spans="1:27" x14ac:dyDescent="0.3">
      <c r="A746">
        <v>5082</v>
      </c>
      <c r="B746">
        <v>24</v>
      </c>
      <c r="C746">
        <v>3</v>
      </c>
      <c r="D746">
        <v>0</v>
      </c>
      <c r="E746">
        <v>0</v>
      </c>
      <c r="F746" t="s">
        <v>1467</v>
      </c>
      <c r="G746" s="101">
        <v>46204</v>
      </c>
      <c r="H746" t="s">
        <v>480</v>
      </c>
      <c r="I746" t="s">
        <v>457</v>
      </c>
      <c r="J746" t="s">
        <v>387</v>
      </c>
      <c r="K746" t="s">
        <v>382</v>
      </c>
      <c r="L746" s="39">
        <v>0.37832175925925926</v>
      </c>
      <c r="M746" s="39">
        <v>0.72855324074074079</v>
      </c>
      <c r="N746">
        <v>8.41</v>
      </c>
      <c r="O746" t="s">
        <v>1468</v>
      </c>
      <c r="P746">
        <v>0</v>
      </c>
      <c r="Q746" t="s">
        <v>727</v>
      </c>
      <c r="R746">
        <v>0</v>
      </c>
      <c r="S746">
        <v>0</v>
      </c>
      <c r="T746" t="s">
        <v>481</v>
      </c>
      <c r="U746" t="s">
        <v>108</v>
      </c>
      <c r="V746" s="101">
        <v>46204</v>
      </c>
      <c r="W746">
        <v>1</v>
      </c>
      <c r="X746">
        <v>1</v>
      </c>
      <c r="Y746">
        <v>0</v>
      </c>
      <c r="Z746">
        <v>0</v>
      </c>
      <c r="AA746">
        <v>0</v>
      </c>
    </row>
    <row r="747" spans="1:27" x14ac:dyDescent="0.3">
      <c r="A747">
        <v>5082</v>
      </c>
      <c r="B747">
        <v>24</v>
      </c>
      <c r="C747">
        <v>3</v>
      </c>
      <c r="D747">
        <v>0</v>
      </c>
      <c r="E747">
        <v>0</v>
      </c>
      <c r="F747" t="s">
        <v>1467</v>
      </c>
      <c r="G747" s="101">
        <v>46205</v>
      </c>
      <c r="H747" t="s">
        <v>480</v>
      </c>
      <c r="I747" t="s">
        <v>457</v>
      </c>
      <c r="J747" t="s">
        <v>387</v>
      </c>
      <c r="K747" t="s">
        <v>382</v>
      </c>
      <c r="L747" s="39">
        <v>0.39539351851851851</v>
      </c>
      <c r="M747" s="39">
        <v>0.68427083333333338</v>
      </c>
      <c r="N747">
        <v>6.93</v>
      </c>
      <c r="O747" t="s">
        <v>1469</v>
      </c>
      <c r="P747">
        <v>0</v>
      </c>
      <c r="Q747" t="s">
        <v>1470</v>
      </c>
      <c r="R747">
        <v>0</v>
      </c>
      <c r="S747">
        <v>0</v>
      </c>
      <c r="T747" t="s">
        <v>481</v>
      </c>
      <c r="U747" t="s">
        <v>108</v>
      </c>
      <c r="V747" s="101">
        <v>46205</v>
      </c>
      <c r="W747">
        <v>1</v>
      </c>
      <c r="X747">
        <v>1</v>
      </c>
      <c r="Y747">
        <v>0</v>
      </c>
      <c r="Z747">
        <v>0</v>
      </c>
      <c r="AA747">
        <v>0</v>
      </c>
    </row>
    <row r="748" spans="1:27" x14ac:dyDescent="0.3">
      <c r="A748">
        <v>5082</v>
      </c>
      <c r="B748">
        <v>24</v>
      </c>
      <c r="C748">
        <v>3</v>
      </c>
      <c r="D748">
        <v>0</v>
      </c>
      <c r="E748">
        <v>0</v>
      </c>
      <c r="F748" t="s">
        <v>1467</v>
      </c>
      <c r="G748" s="101">
        <v>46206</v>
      </c>
      <c r="H748" t="s">
        <v>480</v>
      </c>
      <c r="I748" t="s">
        <v>457</v>
      </c>
      <c r="J748" t="s">
        <v>387</v>
      </c>
      <c r="K748" t="s">
        <v>382</v>
      </c>
      <c r="L748" s="39">
        <v>0.37725694444444446</v>
      </c>
      <c r="M748" s="39">
        <v>0.72770833333333329</v>
      </c>
      <c r="N748">
        <v>8.41</v>
      </c>
      <c r="O748" t="s">
        <v>469</v>
      </c>
      <c r="P748">
        <v>0</v>
      </c>
      <c r="Q748" t="s">
        <v>456</v>
      </c>
      <c r="R748">
        <v>0</v>
      </c>
      <c r="S748">
        <v>0</v>
      </c>
      <c r="T748" t="s">
        <v>481</v>
      </c>
      <c r="U748" t="s">
        <v>108</v>
      </c>
      <c r="V748" s="101">
        <v>46206</v>
      </c>
      <c r="W748">
        <v>1</v>
      </c>
      <c r="X748">
        <v>1</v>
      </c>
      <c r="Y748">
        <v>0</v>
      </c>
      <c r="Z748">
        <v>0</v>
      </c>
      <c r="AA748">
        <v>0</v>
      </c>
    </row>
    <row r="749" spans="1:27" x14ac:dyDescent="0.3">
      <c r="A749">
        <v>5082</v>
      </c>
      <c r="B749">
        <v>24</v>
      </c>
      <c r="C749">
        <v>3</v>
      </c>
      <c r="D749">
        <v>0</v>
      </c>
      <c r="E749">
        <v>0</v>
      </c>
      <c r="F749" t="s">
        <v>1467</v>
      </c>
      <c r="G749" s="101">
        <v>46207</v>
      </c>
      <c r="H749" t="s">
        <v>480</v>
      </c>
      <c r="I749" t="s">
        <v>457</v>
      </c>
      <c r="J749" t="s">
        <v>387</v>
      </c>
      <c r="K749" t="s">
        <v>382</v>
      </c>
      <c r="L749" s="39">
        <v>0.3717361111111111</v>
      </c>
      <c r="M749" s="39">
        <v>0.72499999999999998</v>
      </c>
      <c r="N749">
        <v>8.48</v>
      </c>
      <c r="O749" t="s">
        <v>501</v>
      </c>
      <c r="P749">
        <v>0</v>
      </c>
      <c r="Q749" t="s">
        <v>1471</v>
      </c>
      <c r="R749">
        <v>0</v>
      </c>
      <c r="S749">
        <v>0</v>
      </c>
      <c r="T749" t="s">
        <v>481</v>
      </c>
      <c r="U749" t="s">
        <v>108</v>
      </c>
      <c r="V749" s="101">
        <v>46207</v>
      </c>
      <c r="W749">
        <v>1</v>
      </c>
      <c r="X749">
        <v>1</v>
      </c>
      <c r="Y749">
        <v>0</v>
      </c>
      <c r="Z749">
        <v>0</v>
      </c>
      <c r="AA749">
        <v>0</v>
      </c>
    </row>
    <row r="750" spans="1:27" x14ac:dyDescent="0.3">
      <c r="A750">
        <v>5082</v>
      </c>
      <c r="B750">
        <v>24</v>
      </c>
      <c r="C750">
        <v>3</v>
      </c>
      <c r="D750">
        <v>0</v>
      </c>
      <c r="E750">
        <v>0</v>
      </c>
      <c r="F750" t="s">
        <v>1467</v>
      </c>
      <c r="G750" s="101">
        <v>46208</v>
      </c>
      <c r="H750" t="s">
        <v>480</v>
      </c>
      <c r="I750" t="s">
        <v>457</v>
      </c>
      <c r="J750" t="s">
        <v>387</v>
      </c>
      <c r="K750" t="s">
        <v>383</v>
      </c>
      <c r="L750" s="39">
        <v>0</v>
      </c>
      <c r="M750" s="39">
        <v>0</v>
      </c>
      <c r="N750">
        <v>0</v>
      </c>
      <c r="O750" t="s">
        <v>384</v>
      </c>
      <c r="P750">
        <v>9</v>
      </c>
      <c r="Q750" t="s">
        <v>385</v>
      </c>
      <c r="R750">
        <v>0</v>
      </c>
      <c r="S750">
        <v>9</v>
      </c>
      <c r="T750" t="s">
        <v>481</v>
      </c>
      <c r="U750" t="s">
        <v>366</v>
      </c>
      <c r="V750" s="101">
        <v>46208</v>
      </c>
      <c r="W750">
        <v>0</v>
      </c>
      <c r="X750">
        <v>0</v>
      </c>
      <c r="Y750">
        <v>0</v>
      </c>
      <c r="Z750">
        <v>0</v>
      </c>
      <c r="AA750">
        <v>0</v>
      </c>
    </row>
    <row r="751" spans="1:27" x14ac:dyDescent="0.3">
      <c r="A751">
        <v>5082</v>
      </c>
      <c r="B751">
        <v>24</v>
      </c>
      <c r="C751">
        <v>3</v>
      </c>
      <c r="D751">
        <v>0</v>
      </c>
      <c r="E751">
        <v>0</v>
      </c>
      <c r="F751" t="s">
        <v>1467</v>
      </c>
      <c r="G751" s="101">
        <v>46209</v>
      </c>
      <c r="H751" t="s">
        <v>480</v>
      </c>
      <c r="I751" t="s">
        <v>457</v>
      </c>
      <c r="J751" t="s">
        <v>387</v>
      </c>
      <c r="K751" t="s">
        <v>382</v>
      </c>
      <c r="L751" s="39">
        <v>0.36802083333333335</v>
      </c>
      <c r="M751" s="39">
        <v>0.76697916666666666</v>
      </c>
      <c r="N751">
        <v>9.58</v>
      </c>
      <c r="O751" t="s">
        <v>1472</v>
      </c>
      <c r="P751">
        <v>0</v>
      </c>
      <c r="Q751" t="s">
        <v>1473</v>
      </c>
      <c r="R751">
        <v>0.91</v>
      </c>
      <c r="S751">
        <v>0.91</v>
      </c>
      <c r="T751" t="s">
        <v>481</v>
      </c>
      <c r="U751" t="s">
        <v>108</v>
      </c>
      <c r="V751" s="101">
        <v>46209</v>
      </c>
      <c r="W751">
        <v>1</v>
      </c>
      <c r="X751">
        <v>1</v>
      </c>
      <c r="Y751">
        <v>0</v>
      </c>
      <c r="Z751">
        <v>0</v>
      </c>
      <c r="AA751">
        <v>0</v>
      </c>
    </row>
    <row r="752" spans="1:27" x14ac:dyDescent="0.3">
      <c r="A752">
        <v>5082</v>
      </c>
      <c r="B752">
        <v>24</v>
      </c>
      <c r="C752">
        <v>3</v>
      </c>
      <c r="D752">
        <v>0</v>
      </c>
      <c r="E752">
        <v>0</v>
      </c>
      <c r="F752" t="s">
        <v>1467</v>
      </c>
      <c r="G752" s="101">
        <v>46210</v>
      </c>
      <c r="H752" t="s">
        <v>480</v>
      </c>
      <c r="I752" t="s">
        <v>457</v>
      </c>
      <c r="J752" t="s">
        <v>387</v>
      </c>
      <c r="K752" t="s">
        <v>382</v>
      </c>
      <c r="L752" s="39">
        <v>0.37685185185185183</v>
      </c>
      <c r="M752" s="39">
        <v>0.76857638888888891</v>
      </c>
      <c r="N752">
        <v>9.4</v>
      </c>
      <c r="O752" t="s">
        <v>579</v>
      </c>
      <c r="P752">
        <v>0</v>
      </c>
      <c r="Q752" t="s">
        <v>1136</v>
      </c>
      <c r="R752">
        <v>0.95</v>
      </c>
      <c r="S752">
        <v>0.95</v>
      </c>
      <c r="T752" t="s">
        <v>481</v>
      </c>
      <c r="U752" t="s">
        <v>108</v>
      </c>
      <c r="V752" s="101">
        <v>46210</v>
      </c>
      <c r="W752">
        <v>1</v>
      </c>
      <c r="X752">
        <v>1</v>
      </c>
      <c r="Y752">
        <v>0</v>
      </c>
      <c r="Z752">
        <v>0</v>
      </c>
      <c r="AA752">
        <v>0</v>
      </c>
    </row>
    <row r="753" spans="1:27" x14ac:dyDescent="0.3">
      <c r="A753">
        <v>5082</v>
      </c>
      <c r="B753">
        <v>24</v>
      </c>
      <c r="C753">
        <v>3</v>
      </c>
      <c r="D753">
        <v>0</v>
      </c>
      <c r="E753">
        <v>0</v>
      </c>
      <c r="F753" t="s">
        <v>1467</v>
      </c>
      <c r="G753" s="101">
        <v>46211</v>
      </c>
      <c r="H753" t="s">
        <v>480</v>
      </c>
      <c r="I753" t="s">
        <v>457</v>
      </c>
      <c r="J753" t="s">
        <v>387</v>
      </c>
      <c r="K753" t="s">
        <v>383</v>
      </c>
      <c r="L753" s="39">
        <v>0</v>
      </c>
      <c r="M753" s="39">
        <v>0</v>
      </c>
      <c r="N753">
        <v>0</v>
      </c>
      <c r="O753" t="s">
        <v>384</v>
      </c>
      <c r="P753">
        <v>9</v>
      </c>
      <c r="Q753" t="s">
        <v>385</v>
      </c>
      <c r="R753">
        <v>0</v>
      </c>
      <c r="S753">
        <v>9</v>
      </c>
      <c r="T753" t="s">
        <v>481</v>
      </c>
      <c r="U753" t="s">
        <v>366</v>
      </c>
      <c r="V753" s="101">
        <v>46211</v>
      </c>
      <c r="W753">
        <v>0</v>
      </c>
      <c r="X753">
        <v>0</v>
      </c>
      <c r="Y753">
        <v>0</v>
      </c>
      <c r="Z753">
        <v>0</v>
      </c>
      <c r="AA753">
        <v>0</v>
      </c>
    </row>
    <row r="754" spans="1:27" x14ac:dyDescent="0.3">
      <c r="A754">
        <v>5082</v>
      </c>
      <c r="B754">
        <v>24</v>
      </c>
      <c r="C754">
        <v>3</v>
      </c>
      <c r="D754">
        <v>0</v>
      </c>
      <c r="E754">
        <v>0</v>
      </c>
      <c r="F754" t="s">
        <v>1467</v>
      </c>
      <c r="G754" s="101">
        <v>46212</v>
      </c>
      <c r="H754" t="s">
        <v>480</v>
      </c>
      <c r="I754" t="s">
        <v>457</v>
      </c>
      <c r="J754" t="s">
        <v>387</v>
      </c>
      <c r="K754" t="s">
        <v>382</v>
      </c>
      <c r="L754" s="39">
        <v>0.36509259259259258</v>
      </c>
      <c r="M754" s="39">
        <v>0.76921296296296293</v>
      </c>
      <c r="N754">
        <v>9.6999999999999993</v>
      </c>
      <c r="O754" t="s">
        <v>638</v>
      </c>
      <c r="P754">
        <v>0</v>
      </c>
      <c r="Q754" t="s">
        <v>1474</v>
      </c>
      <c r="R754">
        <v>0.96</v>
      </c>
      <c r="S754">
        <v>0.96</v>
      </c>
      <c r="T754" t="s">
        <v>481</v>
      </c>
      <c r="U754" t="s">
        <v>108</v>
      </c>
      <c r="V754" s="101">
        <v>46212</v>
      </c>
      <c r="W754">
        <v>1</v>
      </c>
      <c r="X754">
        <v>1</v>
      </c>
      <c r="Y754">
        <v>0</v>
      </c>
      <c r="Z754">
        <v>0</v>
      </c>
      <c r="AA754">
        <v>0</v>
      </c>
    </row>
    <row r="755" spans="1:27" x14ac:dyDescent="0.3">
      <c r="A755">
        <v>5082</v>
      </c>
      <c r="B755">
        <v>24</v>
      </c>
      <c r="C755">
        <v>3</v>
      </c>
      <c r="D755">
        <v>0</v>
      </c>
      <c r="E755">
        <v>0</v>
      </c>
      <c r="F755" t="s">
        <v>1467</v>
      </c>
      <c r="G755" s="101">
        <v>46213</v>
      </c>
      <c r="H755" t="s">
        <v>480</v>
      </c>
      <c r="I755" t="s">
        <v>457</v>
      </c>
      <c r="J755" t="s">
        <v>387</v>
      </c>
      <c r="K755" t="s">
        <v>382</v>
      </c>
      <c r="L755" s="39">
        <v>0.37509259259259259</v>
      </c>
      <c r="M755" s="39">
        <v>0.81684027777777779</v>
      </c>
      <c r="N755">
        <v>10.6</v>
      </c>
      <c r="O755" t="s">
        <v>646</v>
      </c>
      <c r="P755">
        <v>0</v>
      </c>
      <c r="Q755" t="s">
        <v>1475</v>
      </c>
      <c r="R755">
        <v>2.1</v>
      </c>
      <c r="S755">
        <v>2.1</v>
      </c>
      <c r="T755" t="s">
        <v>481</v>
      </c>
      <c r="U755" t="s">
        <v>108</v>
      </c>
      <c r="V755" s="101">
        <v>46213</v>
      </c>
      <c r="W755">
        <v>1</v>
      </c>
      <c r="X755">
        <v>1</v>
      </c>
      <c r="Y755">
        <v>0</v>
      </c>
      <c r="Z755">
        <v>0</v>
      </c>
      <c r="AA755">
        <v>0</v>
      </c>
    </row>
    <row r="756" spans="1:27" x14ac:dyDescent="0.3">
      <c r="A756">
        <v>5082</v>
      </c>
      <c r="B756">
        <v>24</v>
      </c>
      <c r="C756">
        <v>3</v>
      </c>
      <c r="D756">
        <v>0</v>
      </c>
      <c r="E756">
        <v>0</v>
      </c>
      <c r="F756" t="s">
        <v>1467</v>
      </c>
      <c r="G756" s="101">
        <v>46214</v>
      </c>
      <c r="H756" t="s">
        <v>480</v>
      </c>
      <c r="I756" t="s">
        <v>457</v>
      </c>
      <c r="J756" t="s">
        <v>387</v>
      </c>
      <c r="K756" t="s">
        <v>382</v>
      </c>
      <c r="L756" s="39">
        <v>0.37456018518518519</v>
      </c>
      <c r="M756" s="39">
        <v>0.83498842592592593</v>
      </c>
      <c r="N756">
        <v>11.05</v>
      </c>
      <c r="O756" t="s">
        <v>591</v>
      </c>
      <c r="P756">
        <v>0</v>
      </c>
      <c r="Q756" t="s">
        <v>1476</v>
      </c>
      <c r="R756">
        <v>2.54</v>
      </c>
      <c r="S756">
        <v>2.54</v>
      </c>
      <c r="T756" t="s">
        <v>481</v>
      </c>
      <c r="U756" t="s">
        <v>108</v>
      </c>
      <c r="V756" s="101">
        <v>46214</v>
      </c>
      <c r="W756">
        <v>1</v>
      </c>
      <c r="X756">
        <v>1</v>
      </c>
      <c r="Y756">
        <v>0</v>
      </c>
      <c r="Z756">
        <v>0</v>
      </c>
      <c r="AA756">
        <v>0</v>
      </c>
    </row>
    <row r="757" spans="1:27" x14ac:dyDescent="0.3">
      <c r="A757">
        <v>5082</v>
      </c>
      <c r="B757">
        <v>24</v>
      </c>
      <c r="C757">
        <v>3</v>
      </c>
      <c r="D757">
        <v>0</v>
      </c>
      <c r="E757">
        <v>0</v>
      </c>
      <c r="F757" t="s">
        <v>1467</v>
      </c>
      <c r="G757" s="101">
        <v>46215</v>
      </c>
      <c r="H757" t="s">
        <v>480</v>
      </c>
      <c r="I757" t="s">
        <v>457</v>
      </c>
      <c r="J757" t="s">
        <v>387</v>
      </c>
      <c r="K757" t="s">
        <v>383</v>
      </c>
      <c r="L757" s="39">
        <v>0</v>
      </c>
      <c r="M757" s="39">
        <v>0</v>
      </c>
      <c r="N757">
        <v>0</v>
      </c>
      <c r="O757" t="s">
        <v>384</v>
      </c>
      <c r="P757">
        <v>9</v>
      </c>
      <c r="Q757" t="s">
        <v>385</v>
      </c>
      <c r="R757">
        <v>0</v>
      </c>
      <c r="S757">
        <v>9</v>
      </c>
      <c r="T757" t="s">
        <v>481</v>
      </c>
      <c r="U757" t="s">
        <v>366</v>
      </c>
      <c r="V757" s="101">
        <v>46215</v>
      </c>
      <c r="W757">
        <v>0</v>
      </c>
      <c r="X757">
        <v>0</v>
      </c>
      <c r="Y757">
        <v>0</v>
      </c>
      <c r="Z757">
        <v>0</v>
      </c>
      <c r="AA757">
        <v>0</v>
      </c>
    </row>
    <row r="758" spans="1:27" x14ac:dyDescent="0.3">
      <c r="A758">
        <v>5082</v>
      </c>
      <c r="B758">
        <v>24</v>
      </c>
      <c r="C758">
        <v>3</v>
      </c>
      <c r="D758">
        <v>0</v>
      </c>
      <c r="E758">
        <v>0</v>
      </c>
      <c r="F758" t="s">
        <v>1467</v>
      </c>
      <c r="G758" s="101">
        <v>46216</v>
      </c>
      <c r="H758" t="s">
        <v>480</v>
      </c>
      <c r="I758" t="s">
        <v>457</v>
      </c>
      <c r="J758" t="s">
        <v>387</v>
      </c>
      <c r="K758" t="s">
        <v>382</v>
      </c>
      <c r="L758" s="39">
        <v>0.38991898148148146</v>
      </c>
      <c r="M758" s="39">
        <v>0.82769675925925923</v>
      </c>
      <c r="N758">
        <v>10.51</v>
      </c>
      <c r="O758" t="s">
        <v>1477</v>
      </c>
      <c r="P758">
        <v>0</v>
      </c>
      <c r="Q758" t="s">
        <v>1478</v>
      </c>
      <c r="R758">
        <v>2.36</v>
      </c>
      <c r="S758">
        <v>2.36</v>
      </c>
      <c r="T758" t="s">
        <v>481</v>
      </c>
      <c r="U758" t="s">
        <v>108</v>
      </c>
      <c r="V758" s="101">
        <v>46216</v>
      </c>
      <c r="W758">
        <v>1</v>
      </c>
      <c r="X758">
        <v>1</v>
      </c>
      <c r="Y758">
        <v>0</v>
      </c>
      <c r="Z758">
        <v>0</v>
      </c>
      <c r="AA758">
        <v>0</v>
      </c>
    </row>
    <row r="759" spans="1:27" x14ac:dyDescent="0.3">
      <c r="A759">
        <v>5082</v>
      </c>
      <c r="B759">
        <v>24</v>
      </c>
      <c r="C759">
        <v>3</v>
      </c>
      <c r="D759">
        <v>0</v>
      </c>
      <c r="E759">
        <v>0</v>
      </c>
      <c r="F759" t="s">
        <v>1467</v>
      </c>
      <c r="G759" s="101">
        <v>46217</v>
      </c>
      <c r="H759" t="s">
        <v>480</v>
      </c>
      <c r="I759" t="s">
        <v>457</v>
      </c>
      <c r="J759" t="s">
        <v>387</v>
      </c>
      <c r="K759" t="s">
        <v>382</v>
      </c>
      <c r="L759" s="39">
        <v>0.36451388888888892</v>
      </c>
      <c r="M759" s="39">
        <v>0.81707175925925923</v>
      </c>
      <c r="N759">
        <v>10.86</v>
      </c>
      <c r="O759" t="s">
        <v>1479</v>
      </c>
      <c r="P759">
        <v>0</v>
      </c>
      <c r="Q759" t="s">
        <v>1480</v>
      </c>
      <c r="R759">
        <v>2.11</v>
      </c>
      <c r="S759">
        <v>2.11</v>
      </c>
      <c r="T759" t="s">
        <v>481</v>
      </c>
      <c r="U759" t="s">
        <v>108</v>
      </c>
      <c r="V759" s="101">
        <v>46217</v>
      </c>
      <c r="W759">
        <v>1</v>
      </c>
      <c r="X759">
        <v>1</v>
      </c>
      <c r="Y759">
        <v>0</v>
      </c>
      <c r="Z759">
        <v>0</v>
      </c>
      <c r="AA759">
        <v>0</v>
      </c>
    </row>
    <row r="760" spans="1:27" x14ac:dyDescent="0.3">
      <c r="A760">
        <v>5082</v>
      </c>
      <c r="B760">
        <v>24</v>
      </c>
      <c r="C760">
        <v>3</v>
      </c>
      <c r="D760">
        <v>0</v>
      </c>
      <c r="E760">
        <v>0</v>
      </c>
      <c r="F760" t="s">
        <v>1467</v>
      </c>
      <c r="G760" s="101">
        <v>46218</v>
      </c>
      <c r="H760" t="s">
        <v>480</v>
      </c>
      <c r="I760" t="s">
        <v>457</v>
      </c>
      <c r="J760" t="s">
        <v>387</v>
      </c>
      <c r="K760" t="s">
        <v>382</v>
      </c>
      <c r="L760" s="39">
        <v>0.36501157407407409</v>
      </c>
      <c r="M760" s="39">
        <v>0.81737268518518513</v>
      </c>
      <c r="N760">
        <v>10.86</v>
      </c>
      <c r="O760" t="s">
        <v>1481</v>
      </c>
      <c r="P760">
        <v>0</v>
      </c>
      <c r="Q760" t="s">
        <v>1482</v>
      </c>
      <c r="R760">
        <v>2.12</v>
      </c>
      <c r="S760">
        <v>2.12</v>
      </c>
      <c r="T760" t="s">
        <v>481</v>
      </c>
      <c r="U760" t="s">
        <v>108</v>
      </c>
      <c r="V760" s="101">
        <v>46218</v>
      </c>
      <c r="W760">
        <v>1</v>
      </c>
      <c r="X760">
        <v>1</v>
      </c>
      <c r="Y760">
        <v>0</v>
      </c>
      <c r="Z760">
        <v>0</v>
      </c>
      <c r="AA760">
        <v>0</v>
      </c>
    </row>
    <row r="761" spans="1:27" x14ac:dyDescent="0.3">
      <c r="A761">
        <v>5082</v>
      </c>
      <c r="B761">
        <v>24</v>
      </c>
      <c r="C761">
        <v>3</v>
      </c>
      <c r="D761">
        <v>0</v>
      </c>
      <c r="E761">
        <v>0</v>
      </c>
      <c r="F761" t="s">
        <v>1467</v>
      </c>
      <c r="G761" s="101">
        <v>46219</v>
      </c>
      <c r="H761" t="s">
        <v>480</v>
      </c>
      <c r="I761" t="s">
        <v>457</v>
      </c>
      <c r="J761" t="s">
        <v>387</v>
      </c>
      <c r="K761" t="s">
        <v>382</v>
      </c>
      <c r="L761" s="39">
        <v>0.35958333333333331</v>
      </c>
      <c r="M761" s="39">
        <v>0.72909722222222217</v>
      </c>
      <c r="N761">
        <v>8.8699999999999992</v>
      </c>
      <c r="O761" t="s">
        <v>1483</v>
      </c>
      <c r="P761">
        <v>0</v>
      </c>
      <c r="Q761" t="s">
        <v>713</v>
      </c>
      <c r="R761">
        <v>0</v>
      </c>
      <c r="S761">
        <v>0</v>
      </c>
      <c r="T761" t="s">
        <v>481</v>
      </c>
      <c r="U761" t="s">
        <v>108</v>
      </c>
      <c r="V761" s="101">
        <v>46219</v>
      </c>
      <c r="W761">
        <v>1</v>
      </c>
      <c r="X761">
        <v>1</v>
      </c>
      <c r="Y761">
        <v>0</v>
      </c>
      <c r="Z761">
        <v>0</v>
      </c>
      <c r="AA761">
        <v>0</v>
      </c>
    </row>
    <row r="762" spans="1:27" x14ac:dyDescent="0.3">
      <c r="A762">
        <v>5082</v>
      </c>
      <c r="B762">
        <v>24</v>
      </c>
      <c r="C762">
        <v>3</v>
      </c>
      <c r="D762">
        <v>0</v>
      </c>
      <c r="E762">
        <v>0</v>
      </c>
      <c r="F762" t="s">
        <v>1467</v>
      </c>
      <c r="G762" s="101">
        <v>46220</v>
      </c>
      <c r="H762" t="s">
        <v>480</v>
      </c>
      <c r="I762" t="s">
        <v>457</v>
      </c>
      <c r="J762" t="s">
        <v>387</v>
      </c>
      <c r="K762" t="s">
        <v>383</v>
      </c>
      <c r="L762" s="39">
        <v>0</v>
      </c>
      <c r="M762" s="39">
        <v>0</v>
      </c>
      <c r="N762">
        <v>0</v>
      </c>
      <c r="O762" t="s">
        <v>384</v>
      </c>
      <c r="P762">
        <v>9</v>
      </c>
      <c r="Q762" t="s">
        <v>385</v>
      </c>
      <c r="R762">
        <v>0</v>
      </c>
      <c r="S762">
        <v>9</v>
      </c>
      <c r="T762" t="s">
        <v>481</v>
      </c>
      <c r="U762" t="s">
        <v>366</v>
      </c>
      <c r="V762" s="101">
        <v>46220</v>
      </c>
      <c r="W762">
        <v>0</v>
      </c>
      <c r="X762">
        <v>0</v>
      </c>
      <c r="Y762">
        <v>0</v>
      </c>
      <c r="Z762">
        <v>0</v>
      </c>
      <c r="AA762">
        <v>0</v>
      </c>
    </row>
    <row r="763" spans="1:27" x14ac:dyDescent="0.3">
      <c r="A763">
        <v>5082</v>
      </c>
      <c r="B763">
        <v>24</v>
      </c>
      <c r="C763">
        <v>3</v>
      </c>
      <c r="D763">
        <v>0</v>
      </c>
      <c r="E763">
        <v>0</v>
      </c>
      <c r="F763" t="s">
        <v>1467</v>
      </c>
      <c r="G763" s="101">
        <v>46221</v>
      </c>
      <c r="H763" t="s">
        <v>480</v>
      </c>
      <c r="I763" t="s">
        <v>457</v>
      </c>
      <c r="J763" t="s">
        <v>387</v>
      </c>
      <c r="K763" t="s">
        <v>382</v>
      </c>
      <c r="L763" s="39">
        <v>0.36015046296296294</v>
      </c>
      <c r="M763" s="39">
        <v>0.72856481481481483</v>
      </c>
      <c r="N763">
        <v>8.84</v>
      </c>
      <c r="O763" t="s">
        <v>1484</v>
      </c>
      <c r="P763">
        <v>0</v>
      </c>
      <c r="Q763" t="s">
        <v>554</v>
      </c>
      <c r="R763">
        <v>0</v>
      </c>
      <c r="S763">
        <v>0</v>
      </c>
      <c r="T763" t="s">
        <v>481</v>
      </c>
      <c r="U763" t="s">
        <v>108</v>
      </c>
      <c r="V763" s="101">
        <v>46221</v>
      </c>
      <c r="W763">
        <v>1</v>
      </c>
      <c r="X763">
        <v>1</v>
      </c>
      <c r="Y763">
        <v>0</v>
      </c>
      <c r="Z763">
        <v>0</v>
      </c>
      <c r="AA763">
        <v>0</v>
      </c>
    </row>
    <row r="764" spans="1:27" x14ac:dyDescent="0.3">
      <c r="A764">
        <v>5082</v>
      </c>
      <c r="B764">
        <v>24</v>
      </c>
      <c r="C764">
        <v>3</v>
      </c>
      <c r="D764">
        <v>0</v>
      </c>
      <c r="E764">
        <v>0</v>
      </c>
      <c r="F764" t="s">
        <v>1467</v>
      </c>
      <c r="G764" s="101">
        <v>46222</v>
      </c>
      <c r="H764" t="s">
        <v>480</v>
      </c>
      <c r="I764" t="s">
        <v>457</v>
      </c>
      <c r="J764" t="s">
        <v>387</v>
      </c>
      <c r="K764" t="s">
        <v>382</v>
      </c>
      <c r="L764" s="39">
        <v>0.35865740740740742</v>
      </c>
      <c r="M764" s="39">
        <v>0.6861342592592593</v>
      </c>
      <c r="N764">
        <v>7.86</v>
      </c>
      <c r="O764" t="s">
        <v>1485</v>
      </c>
      <c r="P764">
        <v>0</v>
      </c>
      <c r="Q764" t="s">
        <v>1486</v>
      </c>
      <c r="R764">
        <v>0</v>
      </c>
      <c r="S764">
        <v>0</v>
      </c>
      <c r="T764" t="s">
        <v>481</v>
      </c>
      <c r="U764" t="s">
        <v>108</v>
      </c>
      <c r="V764" s="101">
        <v>46222</v>
      </c>
      <c r="W764">
        <v>1</v>
      </c>
      <c r="X764">
        <v>0</v>
      </c>
      <c r="Y764">
        <v>1</v>
      </c>
      <c r="Z764">
        <v>0</v>
      </c>
      <c r="AA764">
        <v>0</v>
      </c>
    </row>
    <row r="765" spans="1:27" x14ac:dyDescent="0.3">
      <c r="A765">
        <v>5082</v>
      </c>
      <c r="B765">
        <v>24</v>
      </c>
      <c r="C765">
        <v>3</v>
      </c>
      <c r="D765">
        <v>0</v>
      </c>
      <c r="E765">
        <v>0</v>
      </c>
      <c r="F765" t="s">
        <v>1467</v>
      </c>
      <c r="G765" s="101">
        <v>46223</v>
      </c>
      <c r="H765" t="s">
        <v>480</v>
      </c>
      <c r="I765" t="s">
        <v>457</v>
      </c>
      <c r="J765" t="s">
        <v>387</v>
      </c>
      <c r="K765" t="s">
        <v>383</v>
      </c>
      <c r="L765" s="39">
        <v>0</v>
      </c>
      <c r="M765" s="39">
        <v>0</v>
      </c>
      <c r="N765">
        <v>0</v>
      </c>
      <c r="O765" t="s">
        <v>384</v>
      </c>
      <c r="P765">
        <v>9</v>
      </c>
      <c r="Q765" t="s">
        <v>385</v>
      </c>
      <c r="R765">
        <v>0</v>
      </c>
      <c r="S765">
        <v>9</v>
      </c>
      <c r="T765" t="s">
        <v>481</v>
      </c>
      <c r="U765" t="s">
        <v>366</v>
      </c>
      <c r="V765" s="101">
        <v>46223</v>
      </c>
      <c r="W765">
        <v>0</v>
      </c>
      <c r="X765">
        <v>0</v>
      </c>
      <c r="Y765">
        <v>0</v>
      </c>
      <c r="Z765">
        <v>0</v>
      </c>
      <c r="AA765">
        <v>0</v>
      </c>
    </row>
    <row r="766" spans="1:27" x14ac:dyDescent="0.3">
      <c r="A766">
        <v>5082</v>
      </c>
      <c r="B766">
        <v>24</v>
      </c>
      <c r="C766">
        <v>3</v>
      </c>
      <c r="D766">
        <v>0</v>
      </c>
      <c r="E766">
        <v>0</v>
      </c>
      <c r="F766" t="s">
        <v>1467</v>
      </c>
      <c r="G766" s="101">
        <v>46224</v>
      </c>
      <c r="H766" t="s">
        <v>480</v>
      </c>
      <c r="I766" t="s">
        <v>457</v>
      </c>
      <c r="J766" t="s">
        <v>387</v>
      </c>
      <c r="K766" t="s">
        <v>382</v>
      </c>
      <c r="L766" s="39">
        <v>0.37287037037037035</v>
      </c>
      <c r="M766" s="39">
        <v>0.76842592592592596</v>
      </c>
      <c r="N766">
        <v>9.49</v>
      </c>
      <c r="O766" t="s">
        <v>693</v>
      </c>
      <c r="P766">
        <v>0</v>
      </c>
      <c r="Q766" t="s">
        <v>1085</v>
      </c>
      <c r="R766">
        <v>0.94</v>
      </c>
      <c r="S766">
        <v>0.94</v>
      </c>
      <c r="T766" t="s">
        <v>481</v>
      </c>
      <c r="U766" t="s">
        <v>108</v>
      </c>
      <c r="V766" s="101">
        <v>46224</v>
      </c>
      <c r="W766">
        <v>1</v>
      </c>
      <c r="X766">
        <v>1</v>
      </c>
      <c r="Y766">
        <v>0</v>
      </c>
      <c r="Z766">
        <v>0</v>
      </c>
      <c r="AA766">
        <v>0</v>
      </c>
    </row>
    <row r="767" spans="1:27" x14ac:dyDescent="0.3">
      <c r="A767">
        <v>5082</v>
      </c>
      <c r="B767">
        <v>24</v>
      </c>
      <c r="C767">
        <v>3</v>
      </c>
      <c r="D767">
        <v>0</v>
      </c>
      <c r="E767">
        <v>0</v>
      </c>
      <c r="F767" t="s">
        <v>1467</v>
      </c>
      <c r="G767" s="101">
        <v>46225</v>
      </c>
      <c r="H767" t="s">
        <v>480</v>
      </c>
      <c r="I767" t="s">
        <v>457</v>
      </c>
      <c r="J767" t="s">
        <v>387</v>
      </c>
      <c r="K767" t="s">
        <v>382</v>
      </c>
      <c r="L767" s="39">
        <v>0.3757638888888889</v>
      </c>
      <c r="M767" s="39">
        <v>0.76902777777777775</v>
      </c>
      <c r="N767">
        <v>9.44</v>
      </c>
      <c r="O767" t="s">
        <v>1487</v>
      </c>
      <c r="P767">
        <v>0</v>
      </c>
      <c r="Q767" t="s">
        <v>1327</v>
      </c>
      <c r="R767">
        <v>0.96</v>
      </c>
      <c r="S767">
        <v>0.96</v>
      </c>
      <c r="T767" t="s">
        <v>481</v>
      </c>
      <c r="U767" t="s">
        <v>108</v>
      </c>
      <c r="V767" s="101">
        <v>46225</v>
      </c>
      <c r="W767">
        <v>1</v>
      </c>
      <c r="X767">
        <v>1</v>
      </c>
      <c r="Y767">
        <v>0</v>
      </c>
      <c r="Z767">
        <v>0</v>
      </c>
      <c r="AA767">
        <v>0</v>
      </c>
    </row>
    <row r="768" spans="1:27" x14ac:dyDescent="0.3">
      <c r="A768">
        <v>5082</v>
      </c>
      <c r="B768">
        <v>24</v>
      </c>
      <c r="C768">
        <v>3</v>
      </c>
      <c r="D768">
        <v>0</v>
      </c>
      <c r="E768">
        <v>0</v>
      </c>
      <c r="F768" t="s">
        <v>1467</v>
      </c>
      <c r="G768" s="101">
        <v>46226</v>
      </c>
      <c r="H768" t="s">
        <v>480</v>
      </c>
      <c r="I768" t="s">
        <v>457</v>
      </c>
      <c r="J768" t="s">
        <v>387</v>
      </c>
      <c r="K768" t="s">
        <v>382</v>
      </c>
      <c r="L768" s="39">
        <v>0.34858796296296296</v>
      </c>
      <c r="M768" s="39">
        <v>0.76887731481481481</v>
      </c>
      <c r="N768">
        <v>10.09</v>
      </c>
      <c r="O768" t="s">
        <v>613</v>
      </c>
      <c r="P768">
        <v>0.5</v>
      </c>
      <c r="Q768" t="s">
        <v>1003</v>
      </c>
      <c r="R768">
        <v>0.95</v>
      </c>
      <c r="S768">
        <v>1.45</v>
      </c>
      <c r="T768" t="s">
        <v>481</v>
      </c>
      <c r="U768" t="s">
        <v>108</v>
      </c>
      <c r="V768" s="101">
        <v>46226</v>
      </c>
      <c r="W768">
        <v>1</v>
      </c>
      <c r="X768">
        <v>1</v>
      </c>
      <c r="Y768">
        <v>0</v>
      </c>
      <c r="Z768">
        <v>0</v>
      </c>
      <c r="AA768">
        <v>0</v>
      </c>
    </row>
    <row r="769" spans="1:27" x14ac:dyDescent="0.3">
      <c r="A769">
        <v>5082</v>
      </c>
      <c r="B769">
        <v>24</v>
      </c>
      <c r="C769">
        <v>3</v>
      </c>
      <c r="D769">
        <v>0</v>
      </c>
      <c r="E769">
        <v>0</v>
      </c>
      <c r="F769" t="s">
        <v>1467</v>
      </c>
      <c r="G769" s="101">
        <v>46227</v>
      </c>
      <c r="H769" t="s">
        <v>480</v>
      </c>
      <c r="I769" t="s">
        <v>457</v>
      </c>
      <c r="J769" t="s">
        <v>387</v>
      </c>
      <c r="K769" t="s">
        <v>382</v>
      </c>
      <c r="L769" s="39">
        <v>0.3792476851851852</v>
      </c>
      <c r="M769" s="39">
        <v>0.76869212962962963</v>
      </c>
      <c r="N769">
        <v>9.35</v>
      </c>
      <c r="O769" t="s">
        <v>1488</v>
      </c>
      <c r="P769">
        <v>0</v>
      </c>
      <c r="Q769" t="s">
        <v>524</v>
      </c>
      <c r="R769">
        <v>0.95</v>
      </c>
      <c r="S769">
        <v>0.95</v>
      </c>
      <c r="T769" t="s">
        <v>481</v>
      </c>
      <c r="U769" t="s">
        <v>108</v>
      </c>
      <c r="V769" s="101">
        <v>46227</v>
      </c>
      <c r="W769">
        <v>1</v>
      </c>
      <c r="X769">
        <v>1</v>
      </c>
      <c r="Y769">
        <v>0</v>
      </c>
      <c r="Z769">
        <v>0</v>
      </c>
      <c r="AA769">
        <v>0</v>
      </c>
    </row>
    <row r="770" spans="1:27" x14ac:dyDescent="0.3">
      <c r="A770">
        <v>5082</v>
      </c>
      <c r="B770">
        <v>24</v>
      </c>
      <c r="C770">
        <v>3</v>
      </c>
      <c r="D770">
        <v>0</v>
      </c>
      <c r="E770">
        <v>0</v>
      </c>
      <c r="F770" t="s">
        <v>1467</v>
      </c>
      <c r="G770" s="101">
        <v>46228</v>
      </c>
      <c r="H770" t="s">
        <v>480</v>
      </c>
      <c r="I770" t="s">
        <v>457</v>
      </c>
      <c r="J770" t="s">
        <v>387</v>
      </c>
      <c r="K770" t="s">
        <v>382</v>
      </c>
      <c r="L770" s="39">
        <v>0.37820601851851854</v>
      </c>
      <c r="M770" s="39">
        <v>0.7259606481481482</v>
      </c>
      <c r="N770">
        <v>8.35</v>
      </c>
      <c r="O770" t="s">
        <v>1489</v>
      </c>
      <c r="P770">
        <v>0</v>
      </c>
      <c r="Q770" t="s">
        <v>1489</v>
      </c>
      <c r="R770">
        <v>0</v>
      </c>
      <c r="S770">
        <v>0</v>
      </c>
      <c r="T770" t="s">
        <v>481</v>
      </c>
      <c r="U770" t="s">
        <v>108</v>
      </c>
      <c r="V770" s="101">
        <v>46228</v>
      </c>
      <c r="W770">
        <v>1</v>
      </c>
      <c r="X770">
        <v>1</v>
      </c>
      <c r="Y770">
        <v>0</v>
      </c>
      <c r="Z770">
        <v>0</v>
      </c>
      <c r="AA770">
        <v>0</v>
      </c>
    </row>
    <row r="771" spans="1:27" x14ac:dyDescent="0.3">
      <c r="A771">
        <v>5082</v>
      </c>
      <c r="B771">
        <v>24</v>
      </c>
      <c r="C771">
        <v>3</v>
      </c>
      <c r="D771">
        <v>0</v>
      </c>
      <c r="E771">
        <v>0</v>
      </c>
      <c r="F771" t="s">
        <v>1467</v>
      </c>
      <c r="G771" s="101">
        <v>46229</v>
      </c>
      <c r="H771" t="s">
        <v>480</v>
      </c>
      <c r="I771" t="s">
        <v>457</v>
      </c>
      <c r="J771" t="s">
        <v>387</v>
      </c>
      <c r="K771" t="s">
        <v>383</v>
      </c>
      <c r="L771" s="39">
        <v>0</v>
      </c>
      <c r="M771" s="39">
        <v>0</v>
      </c>
      <c r="N771">
        <v>0</v>
      </c>
      <c r="O771" t="s">
        <v>384</v>
      </c>
      <c r="P771">
        <v>9</v>
      </c>
      <c r="Q771" t="s">
        <v>385</v>
      </c>
      <c r="R771">
        <v>0</v>
      </c>
      <c r="S771">
        <v>9</v>
      </c>
      <c r="T771" t="s">
        <v>481</v>
      </c>
      <c r="U771" t="s">
        <v>366</v>
      </c>
      <c r="V771" s="101">
        <v>46229</v>
      </c>
      <c r="W771">
        <v>0</v>
      </c>
      <c r="X771">
        <v>0</v>
      </c>
      <c r="Y771">
        <v>0</v>
      </c>
      <c r="Z771">
        <v>0</v>
      </c>
      <c r="AA771">
        <v>0</v>
      </c>
    </row>
    <row r="772" spans="1:27" x14ac:dyDescent="0.3">
      <c r="A772">
        <v>5082</v>
      </c>
      <c r="B772">
        <v>24</v>
      </c>
      <c r="C772">
        <v>3</v>
      </c>
      <c r="D772">
        <v>0</v>
      </c>
      <c r="E772">
        <v>0</v>
      </c>
      <c r="F772" t="s">
        <v>1467</v>
      </c>
      <c r="G772" s="101">
        <v>46230</v>
      </c>
      <c r="H772" t="s">
        <v>480</v>
      </c>
      <c r="I772" t="s">
        <v>457</v>
      </c>
      <c r="J772" t="s">
        <v>387</v>
      </c>
      <c r="K772" t="s">
        <v>382</v>
      </c>
      <c r="L772" s="39">
        <v>0.37268518518518517</v>
      </c>
      <c r="M772" s="39">
        <v>0.8135648148148148</v>
      </c>
      <c r="N772">
        <v>10.58</v>
      </c>
      <c r="O772" t="s">
        <v>440</v>
      </c>
      <c r="P772">
        <v>0</v>
      </c>
      <c r="Q772" t="s">
        <v>1490</v>
      </c>
      <c r="R772">
        <v>2.0299999999999998</v>
      </c>
      <c r="S772">
        <v>2.0299999999999998</v>
      </c>
      <c r="T772" t="s">
        <v>481</v>
      </c>
      <c r="U772" t="s">
        <v>108</v>
      </c>
      <c r="V772" s="101">
        <v>46230</v>
      </c>
      <c r="W772">
        <v>1</v>
      </c>
      <c r="X772">
        <v>1</v>
      </c>
      <c r="Y772">
        <v>0</v>
      </c>
      <c r="Z772">
        <v>0</v>
      </c>
      <c r="AA772">
        <v>0</v>
      </c>
    </row>
    <row r="773" spans="1:27" x14ac:dyDescent="0.3">
      <c r="A773">
        <v>5082</v>
      </c>
      <c r="B773">
        <v>24</v>
      </c>
      <c r="C773">
        <v>3</v>
      </c>
      <c r="D773">
        <v>0</v>
      </c>
      <c r="E773">
        <v>0</v>
      </c>
      <c r="F773" t="s">
        <v>1467</v>
      </c>
      <c r="G773" s="101">
        <v>46231</v>
      </c>
      <c r="H773" t="s">
        <v>480</v>
      </c>
      <c r="I773" t="s">
        <v>457</v>
      </c>
      <c r="J773" t="s">
        <v>387</v>
      </c>
      <c r="K773" t="s">
        <v>382</v>
      </c>
      <c r="L773" s="39">
        <v>0.37712962962962965</v>
      </c>
      <c r="M773" s="39">
        <v>0.81489583333333337</v>
      </c>
      <c r="N773">
        <v>10.51</v>
      </c>
      <c r="O773" t="s">
        <v>678</v>
      </c>
      <c r="P773">
        <v>0</v>
      </c>
      <c r="Q773" t="s">
        <v>1491</v>
      </c>
      <c r="R773">
        <v>2.06</v>
      </c>
      <c r="S773">
        <v>2.06</v>
      </c>
      <c r="T773" t="s">
        <v>481</v>
      </c>
      <c r="U773" t="s">
        <v>108</v>
      </c>
      <c r="V773" s="101">
        <v>46231</v>
      </c>
      <c r="W773">
        <v>1</v>
      </c>
      <c r="X773">
        <v>1</v>
      </c>
      <c r="Y773">
        <v>0</v>
      </c>
      <c r="Z773">
        <v>0</v>
      </c>
      <c r="AA773">
        <v>0</v>
      </c>
    </row>
    <row r="774" spans="1:27" x14ac:dyDescent="0.3">
      <c r="A774">
        <v>5082</v>
      </c>
      <c r="B774">
        <v>24</v>
      </c>
      <c r="C774">
        <v>3</v>
      </c>
      <c r="D774">
        <v>0</v>
      </c>
      <c r="E774">
        <v>0</v>
      </c>
      <c r="F774" t="s">
        <v>1467</v>
      </c>
      <c r="G774" s="101">
        <v>46232</v>
      </c>
      <c r="H774" t="s">
        <v>480</v>
      </c>
      <c r="I774" t="s">
        <v>457</v>
      </c>
      <c r="J774" t="s">
        <v>387</v>
      </c>
      <c r="K774" t="s">
        <v>382</v>
      </c>
      <c r="L774" s="39">
        <v>0.37343749999999998</v>
      </c>
      <c r="M774" s="39">
        <v>0.76745370370370369</v>
      </c>
      <c r="N774">
        <v>9.4600000000000009</v>
      </c>
      <c r="O774" t="s">
        <v>1492</v>
      </c>
      <c r="P774">
        <v>0</v>
      </c>
      <c r="Q774" t="s">
        <v>1493</v>
      </c>
      <c r="R774">
        <v>0.92</v>
      </c>
      <c r="S774">
        <v>0.92</v>
      </c>
      <c r="T774" t="s">
        <v>481</v>
      </c>
      <c r="U774" t="s">
        <v>108</v>
      </c>
      <c r="V774" s="101">
        <v>46232</v>
      </c>
      <c r="W774">
        <v>1</v>
      </c>
      <c r="X774">
        <v>1</v>
      </c>
      <c r="Y774">
        <v>0</v>
      </c>
      <c r="Z774">
        <v>0</v>
      </c>
      <c r="AA774">
        <v>0</v>
      </c>
    </row>
    <row r="775" spans="1:27" x14ac:dyDescent="0.3">
      <c r="A775">
        <v>5082</v>
      </c>
      <c r="B775">
        <v>24</v>
      </c>
      <c r="C775">
        <v>3</v>
      </c>
      <c r="D775">
        <v>0</v>
      </c>
      <c r="E775">
        <v>0</v>
      </c>
      <c r="F775" t="s">
        <v>1467</v>
      </c>
      <c r="G775" s="101">
        <v>46233</v>
      </c>
      <c r="H775" t="s">
        <v>480</v>
      </c>
      <c r="I775" t="s">
        <v>457</v>
      </c>
      <c r="J775" t="s">
        <v>387</v>
      </c>
      <c r="K775" t="s">
        <v>382</v>
      </c>
      <c r="L775" s="39">
        <v>0.36841435185185184</v>
      </c>
      <c r="M775" s="39">
        <v>0.76719907407407406</v>
      </c>
      <c r="N775">
        <v>9.57</v>
      </c>
      <c r="O775" t="s">
        <v>1457</v>
      </c>
      <c r="P775">
        <v>0</v>
      </c>
      <c r="Q775" t="s">
        <v>770</v>
      </c>
      <c r="R775">
        <v>0.91</v>
      </c>
      <c r="S775">
        <v>0.91</v>
      </c>
      <c r="T775" t="s">
        <v>481</v>
      </c>
      <c r="U775" t="s">
        <v>108</v>
      </c>
      <c r="V775" s="101">
        <v>46233</v>
      </c>
      <c r="W775">
        <v>1</v>
      </c>
      <c r="X775">
        <v>1</v>
      </c>
      <c r="Y775">
        <v>0</v>
      </c>
      <c r="Z775">
        <v>0</v>
      </c>
      <c r="AA775">
        <v>0</v>
      </c>
    </row>
    <row r="776" spans="1:27" x14ac:dyDescent="0.3">
      <c r="A776">
        <v>5082</v>
      </c>
      <c r="B776">
        <v>24</v>
      </c>
      <c r="C776">
        <v>3</v>
      </c>
      <c r="D776">
        <v>0</v>
      </c>
      <c r="E776">
        <v>0</v>
      </c>
      <c r="F776" t="s">
        <v>1467</v>
      </c>
      <c r="G776" s="101">
        <v>46234</v>
      </c>
      <c r="H776" t="s">
        <v>480</v>
      </c>
      <c r="I776" t="s">
        <v>457</v>
      </c>
      <c r="J776" t="s">
        <v>387</v>
      </c>
      <c r="K776" t="s">
        <v>382</v>
      </c>
      <c r="L776" s="39">
        <v>0.36596064814814816</v>
      </c>
      <c r="M776" s="39">
        <v>0.73157407407407404</v>
      </c>
      <c r="N776">
        <v>8.77</v>
      </c>
      <c r="O776" t="s">
        <v>1082</v>
      </c>
      <c r="P776">
        <v>0</v>
      </c>
      <c r="Q776" t="s">
        <v>1494</v>
      </c>
      <c r="R776">
        <v>0</v>
      </c>
      <c r="S776">
        <v>0</v>
      </c>
      <c r="T776" t="s">
        <v>481</v>
      </c>
      <c r="U776" t="s">
        <v>108</v>
      </c>
      <c r="V776" s="101">
        <v>46234</v>
      </c>
      <c r="W776">
        <v>1</v>
      </c>
      <c r="X776">
        <v>1</v>
      </c>
      <c r="Y776">
        <v>0</v>
      </c>
      <c r="Z776">
        <v>0</v>
      </c>
      <c r="AA776">
        <v>0</v>
      </c>
    </row>
    <row r="777" spans="1:27" x14ac:dyDescent="0.3">
      <c r="A777">
        <v>5086</v>
      </c>
      <c r="B777">
        <v>27</v>
      </c>
      <c r="C777">
        <v>0</v>
      </c>
      <c r="D777">
        <v>0</v>
      </c>
      <c r="E777">
        <v>0</v>
      </c>
      <c r="F777" t="s">
        <v>907</v>
      </c>
      <c r="G777" s="101">
        <v>46204</v>
      </c>
      <c r="H777" t="s">
        <v>308</v>
      </c>
      <c r="I777" t="s">
        <v>441</v>
      </c>
      <c r="J777" t="s">
        <v>459</v>
      </c>
      <c r="K777" t="s">
        <v>382</v>
      </c>
      <c r="L777" s="39">
        <v>0.37577546296296294</v>
      </c>
      <c r="M777" s="39">
        <v>0.72706018518518523</v>
      </c>
      <c r="N777">
        <v>8.43</v>
      </c>
      <c r="O777" t="s">
        <v>1495</v>
      </c>
      <c r="P777">
        <v>0</v>
      </c>
      <c r="Q777" t="s">
        <v>724</v>
      </c>
      <c r="R777">
        <v>0</v>
      </c>
      <c r="S777">
        <v>0</v>
      </c>
      <c r="T777" t="s">
        <v>482</v>
      </c>
      <c r="U777" t="s">
        <v>108</v>
      </c>
      <c r="V777" s="101">
        <v>46204</v>
      </c>
      <c r="W777">
        <v>1</v>
      </c>
      <c r="X777">
        <v>1</v>
      </c>
      <c r="Y777">
        <v>0</v>
      </c>
      <c r="Z777">
        <v>0</v>
      </c>
      <c r="AA777">
        <v>0</v>
      </c>
    </row>
    <row r="778" spans="1:27" x14ac:dyDescent="0.3">
      <c r="A778">
        <v>5086</v>
      </c>
      <c r="B778">
        <v>27</v>
      </c>
      <c r="C778">
        <v>0</v>
      </c>
      <c r="D778">
        <v>0</v>
      </c>
      <c r="E778">
        <v>0</v>
      </c>
      <c r="F778" t="s">
        <v>907</v>
      </c>
      <c r="G778" s="101">
        <v>46205</v>
      </c>
      <c r="H778" t="s">
        <v>308</v>
      </c>
      <c r="I778" t="s">
        <v>441</v>
      </c>
      <c r="J778" t="s">
        <v>459</v>
      </c>
      <c r="K778" t="s">
        <v>382</v>
      </c>
      <c r="L778" s="39">
        <v>0.39383101851851854</v>
      </c>
      <c r="M778" s="39">
        <v>0.72624999999999995</v>
      </c>
      <c r="N778">
        <v>7.98</v>
      </c>
      <c r="O778" t="s">
        <v>1496</v>
      </c>
      <c r="P778">
        <v>0</v>
      </c>
      <c r="Q778" t="s">
        <v>1497</v>
      </c>
      <c r="R778">
        <v>0</v>
      </c>
      <c r="S778">
        <v>0</v>
      </c>
      <c r="T778" t="s">
        <v>482</v>
      </c>
      <c r="U778" t="s">
        <v>108</v>
      </c>
      <c r="V778" s="101">
        <v>46205</v>
      </c>
      <c r="W778">
        <v>1</v>
      </c>
      <c r="X778">
        <v>1</v>
      </c>
      <c r="Y778">
        <v>0</v>
      </c>
      <c r="Z778">
        <v>0</v>
      </c>
      <c r="AA778">
        <v>0</v>
      </c>
    </row>
    <row r="779" spans="1:27" x14ac:dyDescent="0.3">
      <c r="A779">
        <v>5086</v>
      </c>
      <c r="B779">
        <v>27</v>
      </c>
      <c r="C779">
        <v>0</v>
      </c>
      <c r="D779">
        <v>0</v>
      </c>
      <c r="E779">
        <v>0</v>
      </c>
      <c r="F779" t="s">
        <v>907</v>
      </c>
      <c r="G779" s="101">
        <v>46206</v>
      </c>
      <c r="H779" t="s">
        <v>308</v>
      </c>
      <c r="I779" t="s">
        <v>441</v>
      </c>
      <c r="J779" t="s">
        <v>459</v>
      </c>
      <c r="K779" t="s">
        <v>382</v>
      </c>
      <c r="L779" s="39">
        <v>0.37207175925925928</v>
      </c>
      <c r="M779" s="39">
        <v>0.72767361111111106</v>
      </c>
      <c r="N779">
        <v>8.5299999999999994</v>
      </c>
      <c r="O779" t="s">
        <v>1498</v>
      </c>
      <c r="P779">
        <v>0</v>
      </c>
      <c r="Q779" t="s">
        <v>449</v>
      </c>
      <c r="R779">
        <v>0</v>
      </c>
      <c r="S779">
        <v>0</v>
      </c>
      <c r="T779" t="s">
        <v>482</v>
      </c>
      <c r="U779" t="s">
        <v>108</v>
      </c>
      <c r="V779" s="101">
        <v>46206</v>
      </c>
      <c r="W779">
        <v>1</v>
      </c>
      <c r="X779">
        <v>1</v>
      </c>
      <c r="Y779">
        <v>0</v>
      </c>
      <c r="Z779">
        <v>0</v>
      </c>
      <c r="AA779">
        <v>0</v>
      </c>
    </row>
    <row r="780" spans="1:27" x14ac:dyDescent="0.3">
      <c r="A780">
        <v>5086</v>
      </c>
      <c r="B780">
        <v>27</v>
      </c>
      <c r="C780">
        <v>0</v>
      </c>
      <c r="D780">
        <v>0</v>
      </c>
      <c r="E780">
        <v>0</v>
      </c>
      <c r="F780" t="s">
        <v>907</v>
      </c>
      <c r="G780" s="101">
        <v>46207</v>
      </c>
      <c r="H780" t="s">
        <v>308</v>
      </c>
      <c r="I780" t="s">
        <v>441</v>
      </c>
      <c r="J780" t="s">
        <v>459</v>
      </c>
      <c r="K780" t="s">
        <v>382</v>
      </c>
      <c r="L780" s="39">
        <v>0.37431712962962965</v>
      </c>
      <c r="M780" s="39">
        <v>0.72624999999999995</v>
      </c>
      <c r="N780">
        <v>8.4499999999999993</v>
      </c>
      <c r="O780" t="s">
        <v>984</v>
      </c>
      <c r="P780">
        <v>0</v>
      </c>
      <c r="Q780" t="s">
        <v>1497</v>
      </c>
      <c r="R780">
        <v>0</v>
      </c>
      <c r="S780">
        <v>0</v>
      </c>
      <c r="T780" t="s">
        <v>482</v>
      </c>
      <c r="U780" t="s">
        <v>108</v>
      </c>
      <c r="V780" s="101">
        <v>46207</v>
      </c>
      <c r="W780">
        <v>1</v>
      </c>
      <c r="X780">
        <v>1</v>
      </c>
      <c r="Y780">
        <v>0</v>
      </c>
      <c r="Z780">
        <v>0</v>
      </c>
      <c r="AA780">
        <v>0</v>
      </c>
    </row>
    <row r="781" spans="1:27" x14ac:dyDescent="0.3">
      <c r="A781">
        <v>5086</v>
      </c>
      <c r="B781">
        <v>27</v>
      </c>
      <c r="C781">
        <v>0</v>
      </c>
      <c r="D781">
        <v>0</v>
      </c>
      <c r="E781">
        <v>0</v>
      </c>
      <c r="F781" t="s">
        <v>907</v>
      </c>
      <c r="G781" s="101">
        <v>46208</v>
      </c>
      <c r="H781" t="s">
        <v>308</v>
      </c>
      <c r="I781" t="s">
        <v>441</v>
      </c>
      <c r="J781" t="s">
        <v>459</v>
      </c>
      <c r="K781" t="s">
        <v>383</v>
      </c>
      <c r="L781" s="39">
        <v>0</v>
      </c>
      <c r="M781" s="39">
        <v>0</v>
      </c>
      <c r="N781">
        <v>0</v>
      </c>
      <c r="O781" t="s">
        <v>384</v>
      </c>
      <c r="P781">
        <v>9</v>
      </c>
      <c r="Q781" t="s">
        <v>385</v>
      </c>
      <c r="R781">
        <v>0</v>
      </c>
      <c r="S781">
        <v>9</v>
      </c>
      <c r="T781" t="s">
        <v>482</v>
      </c>
      <c r="U781" t="s">
        <v>366</v>
      </c>
      <c r="V781" s="101">
        <v>46208</v>
      </c>
      <c r="W781">
        <v>0</v>
      </c>
      <c r="X781">
        <v>0</v>
      </c>
      <c r="Y781">
        <v>0</v>
      </c>
      <c r="Z781">
        <v>0</v>
      </c>
      <c r="AA781">
        <v>0</v>
      </c>
    </row>
    <row r="782" spans="1:27" x14ac:dyDescent="0.3">
      <c r="A782">
        <v>5086</v>
      </c>
      <c r="B782">
        <v>27</v>
      </c>
      <c r="C782">
        <v>0</v>
      </c>
      <c r="D782">
        <v>0</v>
      </c>
      <c r="E782">
        <v>0</v>
      </c>
      <c r="F782" t="s">
        <v>907</v>
      </c>
      <c r="G782" s="101">
        <v>46209</v>
      </c>
      <c r="H782" t="s">
        <v>308</v>
      </c>
      <c r="I782" t="s">
        <v>441</v>
      </c>
      <c r="J782" t="s">
        <v>459</v>
      </c>
      <c r="K782" t="s">
        <v>382</v>
      </c>
      <c r="L782" s="39">
        <v>0.37019675925925927</v>
      </c>
      <c r="M782" s="39">
        <v>0.72711805555555553</v>
      </c>
      <c r="N782">
        <v>8.57</v>
      </c>
      <c r="O782" t="s">
        <v>553</v>
      </c>
      <c r="P782">
        <v>0</v>
      </c>
      <c r="Q782" t="s">
        <v>428</v>
      </c>
      <c r="R782">
        <v>0</v>
      </c>
      <c r="S782">
        <v>0</v>
      </c>
      <c r="T782" t="s">
        <v>482</v>
      </c>
      <c r="U782" t="s">
        <v>108</v>
      </c>
      <c r="V782" s="101">
        <v>46209</v>
      </c>
      <c r="W782">
        <v>1</v>
      </c>
      <c r="X782">
        <v>1</v>
      </c>
      <c r="Y782">
        <v>0</v>
      </c>
      <c r="Z782">
        <v>0</v>
      </c>
      <c r="AA782">
        <v>0</v>
      </c>
    </row>
    <row r="783" spans="1:27" x14ac:dyDescent="0.3">
      <c r="A783">
        <v>5086</v>
      </c>
      <c r="B783">
        <v>27</v>
      </c>
      <c r="C783">
        <v>0</v>
      </c>
      <c r="D783">
        <v>0</v>
      </c>
      <c r="E783">
        <v>0</v>
      </c>
      <c r="F783" t="s">
        <v>907</v>
      </c>
      <c r="G783" s="101">
        <v>46210</v>
      </c>
      <c r="H783" t="s">
        <v>308</v>
      </c>
      <c r="I783" t="s">
        <v>441</v>
      </c>
      <c r="J783" t="s">
        <v>459</v>
      </c>
      <c r="K783" t="s">
        <v>382</v>
      </c>
      <c r="L783" s="39">
        <v>0.37391203703703701</v>
      </c>
      <c r="M783" s="39">
        <v>0.76781250000000001</v>
      </c>
      <c r="N783">
        <v>9.4499999999999993</v>
      </c>
      <c r="O783" t="s">
        <v>861</v>
      </c>
      <c r="P783">
        <v>0</v>
      </c>
      <c r="Q783" t="s">
        <v>1499</v>
      </c>
      <c r="R783">
        <v>0.93</v>
      </c>
      <c r="S783">
        <v>0.93</v>
      </c>
      <c r="T783" t="s">
        <v>482</v>
      </c>
      <c r="U783" t="s">
        <v>108</v>
      </c>
      <c r="V783" s="101">
        <v>46210</v>
      </c>
      <c r="W783">
        <v>1</v>
      </c>
      <c r="X783">
        <v>1</v>
      </c>
      <c r="Y783">
        <v>0</v>
      </c>
      <c r="Z783">
        <v>0</v>
      </c>
      <c r="AA783">
        <v>0</v>
      </c>
    </row>
    <row r="784" spans="1:27" x14ac:dyDescent="0.3">
      <c r="A784">
        <v>5086</v>
      </c>
      <c r="B784">
        <v>27</v>
      </c>
      <c r="C784">
        <v>0</v>
      </c>
      <c r="D784">
        <v>0</v>
      </c>
      <c r="E784">
        <v>0</v>
      </c>
      <c r="F784" t="s">
        <v>907</v>
      </c>
      <c r="G784" s="101">
        <v>46211</v>
      </c>
      <c r="H784" t="s">
        <v>308</v>
      </c>
      <c r="I784" t="s">
        <v>441</v>
      </c>
      <c r="J784" t="s">
        <v>459</v>
      </c>
      <c r="K784" t="s">
        <v>382</v>
      </c>
      <c r="L784" s="39">
        <v>0.37337962962962962</v>
      </c>
      <c r="M784" s="39">
        <v>0.76768518518518514</v>
      </c>
      <c r="N784">
        <v>9.4600000000000009</v>
      </c>
      <c r="O784" t="s">
        <v>1025</v>
      </c>
      <c r="P784">
        <v>0</v>
      </c>
      <c r="Q784" t="s">
        <v>1500</v>
      </c>
      <c r="R784">
        <v>0.92</v>
      </c>
      <c r="S784">
        <v>0.92</v>
      </c>
      <c r="T784" t="s">
        <v>482</v>
      </c>
      <c r="U784" t="s">
        <v>108</v>
      </c>
      <c r="V784" s="101">
        <v>46211</v>
      </c>
      <c r="W784">
        <v>1</v>
      </c>
      <c r="X784">
        <v>1</v>
      </c>
      <c r="Y784">
        <v>0</v>
      </c>
      <c r="Z784">
        <v>0</v>
      </c>
      <c r="AA784">
        <v>0</v>
      </c>
    </row>
    <row r="785" spans="1:27" x14ac:dyDescent="0.3">
      <c r="A785">
        <v>5086</v>
      </c>
      <c r="B785">
        <v>27</v>
      </c>
      <c r="C785">
        <v>0</v>
      </c>
      <c r="D785">
        <v>0</v>
      </c>
      <c r="E785">
        <v>0</v>
      </c>
      <c r="F785" t="s">
        <v>907</v>
      </c>
      <c r="G785" s="101">
        <v>46212</v>
      </c>
      <c r="H785" t="s">
        <v>308</v>
      </c>
      <c r="I785" t="s">
        <v>441</v>
      </c>
      <c r="J785" t="s">
        <v>459</v>
      </c>
      <c r="K785" t="s">
        <v>382</v>
      </c>
      <c r="L785" s="39">
        <v>0.37618055555555557</v>
      </c>
      <c r="M785" s="39">
        <v>0.76804398148148145</v>
      </c>
      <c r="N785">
        <v>9.4</v>
      </c>
      <c r="O785" t="s">
        <v>435</v>
      </c>
      <c r="P785">
        <v>0</v>
      </c>
      <c r="Q785" t="s">
        <v>1338</v>
      </c>
      <c r="R785">
        <v>0.93</v>
      </c>
      <c r="S785">
        <v>0.93</v>
      </c>
      <c r="T785" t="s">
        <v>482</v>
      </c>
      <c r="U785" t="s">
        <v>108</v>
      </c>
      <c r="V785" s="101">
        <v>46212</v>
      </c>
      <c r="W785">
        <v>1</v>
      </c>
      <c r="X785">
        <v>1</v>
      </c>
      <c r="Y785">
        <v>0</v>
      </c>
      <c r="Z785">
        <v>0</v>
      </c>
      <c r="AA785">
        <v>0</v>
      </c>
    </row>
    <row r="786" spans="1:27" x14ac:dyDescent="0.3">
      <c r="A786">
        <v>5086</v>
      </c>
      <c r="B786">
        <v>27</v>
      </c>
      <c r="C786">
        <v>0</v>
      </c>
      <c r="D786">
        <v>0</v>
      </c>
      <c r="E786">
        <v>0</v>
      </c>
      <c r="F786" t="s">
        <v>907</v>
      </c>
      <c r="G786" s="101">
        <v>46213</v>
      </c>
      <c r="H786" t="s">
        <v>308</v>
      </c>
      <c r="I786" t="s">
        <v>441</v>
      </c>
      <c r="J786" t="s">
        <v>459</v>
      </c>
      <c r="K786" t="s">
        <v>382</v>
      </c>
      <c r="L786" s="39">
        <v>0.37574074074074076</v>
      </c>
      <c r="M786" s="39">
        <v>0.76798611111111115</v>
      </c>
      <c r="N786">
        <v>9.41</v>
      </c>
      <c r="O786" t="s">
        <v>1501</v>
      </c>
      <c r="P786">
        <v>0</v>
      </c>
      <c r="Q786" t="s">
        <v>587</v>
      </c>
      <c r="R786">
        <v>0.93</v>
      </c>
      <c r="S786">
        <v>0.93</v>
      </c>
      <c r="T786" t="s">
        <v>482</v>
      </c>
      <c r="U786" t="s">
        <v>108</v>
      </c>
      <c r="V786" s="101">
        <v>46213</v>
      </c>
      <c r="W786">
        <v>1</v>
      </c>
      <c r="X786">
        <v>1</v>
      </c>
      <c r="Y786">
        <v>0</v>
      </c>
      <c r="Z786">
        <v>0</v>
      </c>
      <c r="AA786">
        <v>0</v>
      </c>
    </row>
    <row r="787" spans="1:27" x14ac:dyDescent="0.3">
      <c r="A787">
        <v>5086</v>
      </c>
      <c r="B787">
        <v>27</v>
      </c>
      <c r="C787">
        <v>0</v>
      </c>
      <c r="D787">
        <v>0</v>
      </c>
      <c r="E787">
        <v>0</v>
      </c>
      <c r="F787" t="s">
        <v>907</v>
      </c>
      <c r="G787" s="101">
        <v>46214</v>
      </c>
      <c r="H787" t="s">
        <v>308</v>
      </c>
      <c r="I787" t="s">
        <v>441</v>
      </c>
      <c r="J787" t="s">
        <v>459</v>
      </c>
      <c r="K787" t="s">
        <v>382</v>
      </c>
      <c r="L787" s="39">
        <v>0.37403935185185183</v>
      </c>
      <c r="M787" s="39">
        <v>0.76795138888888892</v>
      </c>
      <c r="N787">
        <v>9.4499999999999993</v>
      </c>
      <c r="O787" t="s">
        <v>1502</v>
      </c>
      <c r="P787">
        <v>0</v>
      </c>
      <c r="Q787" t="s">
        <v>590</v>
      </c>
      <c r="R787">
        <v>0.93</v>
      </c>
      <c r="S787">
        <v>0.93</v>
      </c>
      <c r="T787" t="s">
        <v>482</v>
      </c>
      <c r="U787" t="s">
        <v>108</v>
      </c>
      <c r="V787" s="101">
        <v>46214</v>
      </c>
      <c r="W787">
        <v>1</v>
      </c>
      <c r="X787">
        <v>1</v>
      </c>
      <c r="Y787">
        <v>0</v>
      </c>
      <c r="Z787">
        <v>0</v>
      </c>
      <c r="AA787">
        <v>0</v>
      </c>
    </row>
    <row r="788" spans="1:27" x14ac:dyDescent="0.3">
      <c r="A788">
        <v>5086</v>
      </c>
      <c r="B788">
        <v>27</v>
      </c>
      <c r="C788">
        <v>0</v>
      </c>
      <c r="D788">
        <v>0</v>
      </c>
      <c r="E788">
        <v>0</v>
      </c>
      <c r="F788" t="s">
        <v>907</v>
      </c>
      <c r="G788" s="101">
        <v>46215</v>
      </c>
      <c r="H788" t="s">
        <v>308</v>
      </c>
      <c r="I788" t="s">
        <v>441</v>
      </c>
      <c r="J788" t="s">
        <v>459</v>
      </c>
      <c r="K788" t="s">
        <v>383</v>
      </c>
      <c r="L788" s="39">
        <v>0</v>
      </c>
      <c r="M788" s="39">
        <v>0</v>
      </c>
      <c r="N788">
        <v>0</v>
      </c>
      <c r="O788" t="s">
        <v>384</v>
      </c>
      <c r="P788">
        <v>9</v>
      </c>
      <c r="Q788" t="s">
        <v>385</v>
      </c>
      <c r="R788">
        <v>0</v>
      </c>
      <c r="S788">
        <v>9</v>
      </c>
      <c r="T788" t="s">
        <v>482</v>
      </c>
      <c r="U788" t="s">
        <v>366</v>
      </c>
      <c r="V788" s="101">
        <v>46215</v>
      </c>
      <c r="W788">
        <v>0</v>
      </c>
      <c r="X788">
        <v>0</v>
      </c>
      <c r="Y788">
        <v>0</v>
      </c>
      <c r="Z788">
        <v>0</v>
      </c>
      <c r="AA788">
        <v>0</v>
      </c>
    </row>
    <row r="789" spans="1:27" x14ac:dyDescent="0.3">
      <c r="A789">
        <v>5086</v>
      </c>
      <c r="B789">
        <v>27</v>
      </c>
      <c r="C789">
        <v>0</v>
      </c>
      <c r="D789">
        <v>0</v>
      </c>
      <c r="E789">
        <v>0</v>
      </c>
      <c r="F789" t="s">
        <v>907</v>
      </c>
      <c r="G789" s="101">
        <v>46216</v>
      </c>
      <c r="H789" t="s">
        <v>308</v>
      </c>
      <c r="I789" t="s">
        <v>441</v>
      </c>
      <c r="J789" t="s">
        <v>459</v>
      </c>
      <c r="K789" t="s">
        <v>382</v>
      </c>
      <c r="L789" s="39">
        <v>0.37641203703703702</v>
      </c>
      <c r="M789" s="39">
        <v>0.76821759259259259</v>
      </c>
      <c r="N789">
        <v>9.4</v>
      </c>
      <c r="O789" t="s">
        <v>908</v>
      </c>
      <c r="P789">
        <v>0</v>
      </c>
      <c r="Q789" t="s">
        <v>1213</v>
      </c>
      <c r="R789">
        <v>0.94</v>
      </c>
      <c r="S789">
        <v>0.94</v>
      </c>
      <c r="T789" t="s">
        <v>482</v>
      </c>
      <c r="U789" t="s">
        <v>108</v>
      </c>
      <c r="V789" s="101">
        <v>46216</v>
      </c>
      <c r="W789">
        <v>1</v>
      </c>
      <c r="X789">
        <v>1</v>
      </c>
      <c r="Y789">
        <v>0</v>
      </c>
      <c r="Z789">
        <v>0</v>
      </c>
      <c r="AA789">
        <v>0</v>
      </c>
    </row>
    <row r="790" spans="1:27" x14ac:dyDescent="0.3">
      <c r="A790">
        <v>5086</v>
      </c>
      <c r="B790">
        <v>27</v>
      </c>
      <c r="C790">
        <v>0</v>
      </c>
      <c r="D790">
        <v>0</v>
      </c>
      <c r="E790">
        <v>0</v>
      </c>
      <c r="F790" t="s">
        <v>907</v>
      </c>
      <c r="G790" s="101">
        <v>46217</v>
      </c>
      <c r="H790" t="s">
        <v>308</v>
      </c>
      <c r="I790" t="s">
        <v>441</v>
      </c>
      <c r="J790" t="s">
        <v>459</v>
      </c>
      <c r="K790" t="s">
        <v>382</v>
      </c>
      <c r="L790" s="39">
        <v>0.37113425925925925</v>
      </c>
      <c r="M790" s="39">
        <v>0.76806712962962964</v>
      </c>
      <c r="N790">
        <v>9.5299999999999994</v>
      </c>
      <c r="O790" t="s">
        <v>728</v>
      </c>
      <c r="P790">
        <v>0</v>
      </c>
      <c r="Q790" t="s">
        <v>1065</v>
      </c>
      <c r="R790">
        <v>0.93</v>
      </c>
      <c r="S790">
        <v>0.93</v>
      </c>
      <c r="T790" t="s">
        <v>482</v>
      </c>
      <c r="U790" t="s">
        <v>108</v>
      </c>
      <c r="V790" s="101">
        <v>46217</v>
      </c>
      <c r="W790">
        <v>1</v>
      </c>
      <c r="X790">
        <v>1</v>
      </c>
      <c r="Y790">
        <v>0</v>
      </c>
      <c r="Z790">
        <v>0</v>
      </c>
      <c r="AA790">
        <v>0</v>
      </c>
    </row>
    <row r="791" spans="1:27" x14ac:dyDescent="0.3">
      <c r="A791">
        <v>5086</v>
      </c>
      <c r="B791">
        <v>27</v>
      </c>
      <c r="C791">
        <v>0</v>
      </c>
      <c r="D791">
        <v>0</v>
      </c>
      <c r="E791">
        <v>0</v>
      </c>
      <c r="F791" t="s">
        <v>907</v>
      </c>
      <c r="G791" s="101">
        <v>46218</v>
      </c>
      <c r="H791" t="s">
        <v>308</v>
      </c>
      <c r="I791" t="s">
        <v>441</v>
      </c>
      <c r="J791" t="s">
        <v>459</v>
      </c>
      <c r="K791" t="s">
        <v>382</v>
      </c>
      <c r="L791" s="39">
        <v>0.37418981481481484</v>
      </c>
      <c r="M791" s="39">
        <v>0.76826388888888886</v>
      </c>
      <c r="N791">
        <v>9.4600000000000009</v>
      </c>
      <c r="O791" t="s">
        <v>523</v>
      </c>
      <c r="P791">
        <v>0</v>
      </c>
      <c r="Q791" t="s">
        <v>729</v>
      </c>
      <c r="R791">
        <v>0.94</v>
      </c>
      <c r="S791">
        <v>0.94</v>
      </c>
      <c r="T791" t="s">
        <v>482</v>
      </c>
      <c r="U791" t="s">
        <v>108</v>
      </c>
      <c r="V791" s="101">
        <v>46218</v>
      </c>
      <c r="W791">
        <v>1</v>
      </c>
      <c r="X791">
        <v>1</v>
      </c>
      <c r="Y791">
        <v>0</v>
      </c>
      <c r="Z791">
        <v>0</v>
      </c>
      <c r="AA791">
        <v>0</v>
      </c>
    </row>
    <row r="792" spans="1:27" x14ac:dyDescent="0.3">
      <c r="A792">
        <v>5086</v>
      </c>
      <c r="B792">
        <v>27</v>
      </c>
      <c r="C792">
        <v>0</v>
      </c>
      <c r="D792">
        <v>0</v>
      </c>
      <c r="E792">
        <v>0</v>
      </c>
      <c r="F792" t="s">
        <v>907</v>
      </c>
      <c r="G792" s="101">
        <v>46219</v>
      </c>
      <c r="H792" t="s">
        <v>308</v>
      </c>
      <c r="I792" t="s">
        <v>441</v>
      </c>
      <c r="J792" t="s">
        <v>459</v>
      </c>
      <c r="K792" t="s">
        <v>382</v>
      </c>
      <c r="L792" s="39">
        <v>0.3992013888888889</v>
      </c>
      <c r="M792" s="39">
        <v>0.7680555555555556</v>
      </c>
      <c r="N792">
        <v>8.85</v>
      </c>
      <c r="O792" t="s">
        <v>1503</v>
      </c>
      <c r="P792">
        <v>0</v>
      </c>
      <c r="Q792" t="s">
        <v>1078</v>
      </c>
      <c r="R792">
        <v>0.93</v>
      </c>
      <c r="S792">
        <v>0.93</v>
      </c>
      <c r="T792" t="s">
        <v>482</v>
      </c>
      <c r="U792" t="s">
        <v>108</v>
      </c>
      <c r="V792" s="101">
        <v>46219</v>
      </c>
      <c r="W792">
        <v>1</v>
      </c>
      <c r="X792">
        <v>1</v>
      </c>
      <c r="Y792">
        <v>0</v>
      </c>
      <c r="Z792">
        <v>0</v>
      </c>
      <c r="AA792">
        <v>0</v>
      </c>
    </row>
    <row r="793" spans="1:27" x14ac:dyDescent="0.3">
      <c r="A793">
        <v>5086</v>
      </c>
      <c r="B793">
        <v>27</v>
      </c>
      <c r="C793">
        <v>0</v>
      </c>
      <c r="D793">
        <v>0</v>
      </c>
      <c r="E793">
        <v>0</v>
      </c>
      <c r="F793" t="s">
        <v>907</v>
      </c>
      <c r="G793" s="101">
        <v>46220</v>
      </c>
      <c r="H793" t="s">
        <v>308</v>
      </c>
      <c r="I793" t="s">
        <v>441</v>
      </c>
      <c r="J793" t="s">
        <v>459</v>
      </c>
      <c r="K793" t="s">
        <v>382</v>
      </c>
      <c r="L793" s="39">
        <v>0.36939814814814814</v>
      </c>
      <c r="M793" s="39">
        <v>0.76729166666666671</v>
      </c>
      <c r="N793">
        <v>9.5500000000000007</v>
      </c>
      <c r="O793" t="s">
        <v>723</v>
      </c>
      <c r="P793">
        <v>0</v>
      </c>
      <c r="Q793" t="s">
        <v>1254</v>
      </c>
      <c r="R793">
        <v>0.92</v>
      </c>
      <c r="S793">
        <v>0.92</v>
      </c>
      <c r="T793" t="s">
        <v>482</v>
      </c>
      <c r="U793" t="s">
        <v>108</v>
      </c>
      <c r="V793" s="101">
        <v>46220</v>
      </c>
      <c r="W793">
        <v>1</v>
      </c>
      <c r="X793">
        <v>1</v>
      </c>
      <c r="Y793">
        <v>0</v>
      </c>
      <c r="Z793">
        <v>0</v>
      </c>
      <c r="AA793">
        <v>0</v>
      </c>
    </row>
    <row r="794" spans="1:27" x14ac:dyDescent="0.3">
      <c r="A794">
        <v>5086</v>
      </c>
      <c r="B794">
        <v>27</v>
      </c>
      <c r="C794">
        <v>0</v>
      </c>
      <c r="D794">
        <v>0</v>
      </c>
      <c r="E794">
        <v>0</v>
      </c>
      <c r="F794" t="s">
        <v>907</v>
      </c>
      <c r="G794" s="101">
        <v>46221</v>
      </c>
      <c r="H794" t="s">
        <v>308</v>
      </c>
      <c r="I794" t="s">
        <v>441</v>
      </c>
      <c r="J794" t="s">
        <v>459</v>
      </c>
      <c r="K794" t="s">
        <v>382</v>
      </c>
      <c r="L794" s="39">
        <v>0.37231481481481482</v>
      </c>
      <c r="M794" s="39">
        <v>0.72809027777777779</v>
      </c>
      <c r="N794">
        <v>8.5399999999999991</v>
      </c>
      <c r="O794" t="s">
        <v>555</v>
      </c>
      <c r="P794">
        <v>0</v>
      </c>
      <c r="Q794" t="s">
        <v>1504</v>
      </c>
      <c r="R794">
        <v>0</v>
      </c>
      <c r="S794">
        <v>0</v>
      </c>
      <c r="T794" t="s">
        <v>482</v>
      </c>
      <c r="U794" t="s">
        <v>108</v>
      </c>
      <c r="V794" s="101">
        <v>46221</v>
      </c>
      <c r="W794">
        <v>1</v>
      </c>
      <c r="X794">
        <v>1</v>
      </c>
      <c r="Y794">
        <v>0</v>
      </c>
      <c r="Z794">
        <v>0</v>
      </c>
      <c r="AA794">
        <v>0</v>
      </c>
    </row>
    <row r="795" spans="1:27" x14ac:dyDescent="0.3">
      <c r="A795">
        <v>5086</v>
      </c>
      <c r="B795">
        <v>27</v>
      </c>
      <c r="C795">
        <v>0</v>
      </c>
      <c r="D795">
        <v>0</v>
      </c>
      <c r="E795">
        <v>0</v>
      </c>
      <c r="F795" t="s">
        <v>907</v>
      </c>
      <c r="G795" s="101">
        <v>46222</v>
      </c>
      <c r="H795" t="s">
        <v>308</v>
      </c>
      <c r="I795" t="s">
        <v>441</v>
      </c>
      <c r="J795" t="s">
        <v>459</v>
      </c>
      <c r="K795" t="s">
        <v>382</v>
      </c>
      <c r="L795" s="39">
        <v>0.37202546296296296</v>
      </c>
      <c r="M795" s="39">
        <v>0.68567129629629631</v>
      </c>
      <c r="N795">
        <v>7.53</v>
      </c>
      <c r="O795" t="s">
        <v>649</v>
      </c>
      <c r="P795">
        <v>0</v>
      </c>
      <c r="Q795" t="s">
        <v>1505</v>
      </c>
      <c r="R795">
        <v>0</v>
      </c>
      <c r="S795">
        <v>0</v>
      </c>
      <c r="T795" t="s">
        <v>482</v>
      </c>
      <c r="U795" t="s">
        <v>108</v>
      </c>
      <c r="V795" s="101">
        <v>46222</v>
      </c>
      <c r="W795">
        <v>1</v>
      </c>
      <c r="X795">
        <v>0</v>
      </c>
      <c r="Y795">
        <v>1</v>
      </c>
      <c r="Z795">
        <v>0</v>
      </c>
      <c r="AA795">
        <v>0</v>
      </c>
    </row>
    <row r="796" spans="1:27" x14ac:dyDescent="0.3">
      <c r="A796">
        <v>5086</v>
      </c>
      <c r="B796">
        <v>27</v>
      </c>
      <c r="C796">
        <v>0</v>
      </c>
      <c r="D796">
        <v>0</v>
      </c>
      <c r="E796">
        <v>0</v>
      </c>
      <c r="F796" t="s">
        <v>907</v>
      </c>
      <c r="G796" s="101">
        <v>46223</v>
      </c>
      <c r="H796" t="s">
        <v>308</v>
      </c>
      <c r="I796" t="s">
        <v>441</v>
      </c>
      <c r="J796" t="s">
        <v>459</v>
      </c>
      <c r="K796" t="s">
        <v>382</v>
      </c>
      <c r="L796" s="39">
        <v>0.37099537037037039</v>
      </c>
      <c r="M796" s="39">
        <v>0.76782407407407405</v>
      </c>
      <c r="N796">
        <v>9.52</v>
      </c>
      <c r="O796" t="s">
        <v>1506</v>
      </c>
      <c r="P796">
        <v>0</v>
      </c>
      <c r="Q796" t="s">
        <v>1507</v>
      </c>
      <c r="R796">
        <v>0.93</v>
      </c>
      <c r="S796">
        <v>0.93</v>
      </c>
      <c r="T796" t="s">
        <v>482</v>
      </c>
      <c r="U796" t="s">
        <v>108</v>
      </c>
      <c r="V796" s="101">
        <v>46223</v>
      </c>
      <c r="W796">
        <v>1</v>
      </c>
      <c r="X796">
        <v>1</v>
      </c>
      <c r="Y796">
        <v>0</v>
      </c>
      <c r="Z796">
        <v>0</v>
      </c>
      <c r="AA796">
        <v>0</v>
      </c>
    </row>
    <row r="797" spans="1:27" x14ac:dyDescent="0.3">
      <c r="A797">
        <v>5086</v>
      </c>
      <c r="B797">
        <v>27</v>
      </c>
      <c r="C797">
        <v>0</v>
      </c>
      <c r="D797">
        <v>0</v>
      </c>
      <c r="E797">
        <v>0</v>
      </c>
      <c r="F797" t="s">
        <v>907</v>
      </c>
      <c r="G797" s="101">
        <v>46224</v>
      </c>
      <c r="H797" t="s">
        <v>308</v>
      </c>
      <c r="I797" t="s">
        <v>441</v>
      </c>
      <c r="J797" t="s">
        <v>459</v>
      </c>
      <c r="K797" t="s">
        <v>382</v>
      </c>
      <c r="L797" s="39">
        <v>0.37449074074074074</v>
      </c>
      <c r="M797" s="39">
        <v>0.72697916666666662</v>
      </c>
      <c r="N797">
        <v>8.4600000000000009</v>
      </c>
      <c r="O797" t="s">
        <v>932</v>
      </c>
      <c r="P797">
        <v>0</v>
      </c>
      <c r="Q797" t="s">
        <v>738</v>
      </c>
      <c r="R797">
        <v>0</v>
      </c>
      <c r="S797">
        <v>0</v>
      </c>
      <c r="T797" t="s">
        <v>482</v>
      </c>
      <c r="U797" t="s">
        <v>108</v>
      </c>
      <c r="V797" s="101">
        <v>46224</v>
      </c>
      <c r="W797">
        <v>1</v>
      </c>
      <c r="X797">
        <v>1</v>
      </c>
      <c r="Y797">
        <v>0</v>
      </c>
      <c r="Z797">
        <v>0</v>
      </c>
      <c r="AA797">
        <v>0</v>
      </c>
    </row>
    <row r="798" spans="1:27" x14ac:dyDescent="0.3">
      <c r="A798">
        <v>5086</v>
      </c>
      <c r="B798">
        <v>27</v>
      </c>
      <c r="C798">
        <v>0</v>
      </c>
      <c r="D798">
        <v>0</v>
      </c>
      <c r="E798">
        <v>0</v>
      </c>
      <c r="F798" t="s">
        <v>907</v>
      </c>
      <c r="G798" s="101">
        <v>46225</v>
      </c>
      <c r="H798" t="s">
        <v>308</v>
      </c>
      <c r="I798" t="s">
        <v>441</v>
      </c>
      <c r="J798" t="s">
        <v>459</v>
      </c>
      <c r="K798" t="s">
        <v>382</v>
      </c>
      <c r="L798" s="39">
        <v>0.37263888888888891</v>
      </c>
      <c r="M798" s="39">
        <v>0.76866898148148144</v>
      </c>
      <c r="N798">
        <v>9.5</v>
      </c>
      <c r="O798" t="s">
        <v>689</v>
      </c>
      <c r="P798">
        <v>0</v>
      </c>
      <c r="Q798" t="s">
        <v>1508</v>
      </c>
      <c r="R798">
        <v>0.95</v>
      </c>
      <c r="S798">
        <v>0.95</v>
      </c>
      <c r="T798" t="s">
        <v>482</v>
      </c>
      <c r="U798" t="s">
        <v>108</v>
      </c>
      <c r="V798" s="101">
        <v>46225</v>
      </c>
      <c r="W798">
        <v>1</v>
      </c>
      <c r="X798">
        <v>1</v>
      </c>
      <c r="Y798">
        <v>0</v>
      </c>
      <c r="Z798">
        <v>0</v>
      </c>
      <c r="AA798">
        <v>0</v>
      </c>
    </row>
    <row r="799" spans="1:27" x14ac:dyDescent="0.3">
      <c r="A799">
        <v>5086</v>
      </c>
      <c r="B799">
        <v>27</v>
      </c>
      <c r="C799">
        <v>0</v>
      </c>
      <c r="D799">
        <v>0</v>
      </c>
      <c r="E799">
        <v>0</v>
      </c>
      <c r="F799" t="s">
        <v>907</v>
      </c>
      <c r="G799" s="101">
        <v>46226</v>
      </c>
      <c r="H799" t="s">
        <v>308</v>
      </c>
      <c r="I799" t="s">
        <v>441</v>
      </c>
      <c r="J799" t="s">
        <v>459</v>
      </c>
      <c r="K799" t="s">
        <v>382</v>
      </c>
      <c r="L799" s="39">
        <v>0.37347222222222221</v>
      </c>
      <c r="M799" s="39">
        <v>0.76804398148148145</v>
      </c>
      <c r="N799">
        <v>9.4700000000000006</v>
      </c>
      <c r="O799" t="s">
        <v>1164</v>
      </c>
      <c r="P799">
        <v>0</v>
      </c>
      <c r="Q799" t="s">
        <v>1338</v>
      </c>
      <c r="R799">
        <v>0.93</v>
      </c>
      <c r="S799">
        <v>0.93</v>
      </c>
      <c r="T799" t="s">
        <v>482</v>
      </c>
      <c r="U799" t="s">
        <v>108</v>
      </c>
      <c r="V799" s="101">
        <v>46226</v>
      </c>
      <c r="W799">
        <v>1</v>
      </c>
      <c r="X799">
        <v>1</v>
      </c>
      <c r="Y799">
        <v>0</v>
      </c>
      <c r="Z799">
        <v>0</v>
      </c>
      <c r="AA799">
        <v>0</v>
      </c>
    </row>
    <row r="800" spans="1:27" x14ac:dyDescent="0.3">
      <c r="A800">
        <v>5086</v>
      </c>
      <c r="B800">
        <v>27</v>
      </c>
      <c r="C800">
        <v>0</v>
      </c>
      <c r="D800">
        <v>0</v>
      </c>
      <c r="E800">
        <v>0</v>
      </c>
      <c r="F800" t="s">
        <v>907</v>
      </c>
      <c r="G800" s="101">
        <v>46227</v>
      </c>
      <c r="H800" t="s">
        <v>308</v>
      </c>
      <c r="I800" t="s">
        <v>441</v>
      </c>
      <c r="J800" t="s">
        <v>459</v>
      </c>
      <c r="K800" t="s">
        <v>382</v>
      </c>
      <c r="L800" s="39">
        <v>0.37539351851851854</v>
      </c>
      <c r="M800" s="39">
        <v>0.76832175925925927</v>
      </c>
      <c r="N800">
        <v>9.43</v>
      </c>
      <c r="O800" t="s">
        <v>1246</v>
      </c>
      <c r="P800">
        <v>0</v>
      </c>
      <c r="Q800" t="s">
        <v>1509</v>
      </c>
      <c r="R800">
        <v>0.94</v>
      </c>
      <c r="S800">
        <v>0.94</v>
      </c>
      <c r="T800" t="s">
        <v>482</v>
      </c>
      <c r="U800" t="s">
        <v>108</v>
      </c>
      <c r="V800" s="101">
        <v>46227</v>
      </c>
      <c r="W800">
        <v>1</v>
      </c>
      <c r="X800">
        <v>1</v>
      </c>
      <c r="Y800">
        <v>0</v>
      </c>
      <c r="Z800">
        <v>0</v>
      </c>
      <c r="AA800">
        <v>0</v>
      </c>
    </row>
    <row r="801" spans="1:27" x14ac:dyDescent="0.3">
      <c r="A801">
        <v>5086</v>
      </c>
      <c r="B801">
        <v>27</v>
      </c>
      <c r="C801">
        <v>0</v>
      </c>
      <c r="D801">
        <v>0</v>
      </c>
      <c r="E801">
        <v>0</v>
      </c>
      <c r="F801" t="s">
        <v>907</v>
      </c>
      <c r="G801" s="101">
        <v>46228</v>
      </c>
      <c r="H801" t="s">
        <v>308</v>
      </c>
      <c r="I801" t="s">
        <v>441</v>
      </c>
      <c r="J801" t="s">
        <v>459</v>
      </c>
      <c r="K801" t="s">
        <v>382</v>
      </c>
      <c r="L801" s="39">
        <v>0.36960648148148151</v>
      </c>
      <c r="M801" s="39">
        <v>0.76755787037037038</v>
      </c>
      <c r="N801">
        <v>9.5500000000000007</v>
      </c>
      <c r="O801" t="s">
        <v>935</v>
      </c>
      <c r="P801">
        <v>0</v>
      </c>
      <c r="Q801" t="s">
        <v>734</v>
      </c>
      <c r="R801">
        <v>0.92</v>
      </c>
      <c r="S801">
        <v>0.92</v>
      </c>
      <c r="T801" t="s">
        <v>482</v>
      </c>
      <c r="U801" t="s">
        <v>108</v>
      </c>
      <c r="V801" s="101">
        <v>46228</v>
      </c>
      <c r="W801">
        <v>1</v>
      </c>
      <c r="X801">
        <v>1</v>
      </c>
      <c r="Y801">
        <v>0</v>
      </c>
      <c r="Z801">
        <v>0</v>
      </c>
      <c r="AA801">
        <v>0</v>
      </c>
    </row>
    <row r="802" spans="1:27" x14ac:dyDescent="0.3">
      <c r="A802">
        <v>5086</v>
      </c>
      <c r="B802">
        <v>27</v>
      </c>
      <c r="C802">
        <v>0</v>
      </c>
      <c r="D802">
        <v>0</v>
      </c>
      <c r="E802">
        <v>0</v>
      </c>
      <c r="F802" t="s">
        <v>907</v>
      </c>
      <c r="G802" s="101">
        <v>46229</v>
      </c>
      <c r="H802" t="s">
        <v>308</v>
      </c>
      <c r="I802" t="s">
        <v>441</v>
      </c>
      <c r="J802" t="s">
        <v>459</v>
      </c>
      <c r="K802" t="s">
        <v>383</v>
      </c>
      <c r="L802" s="39">
        <v>0</v>
      </c>
      <c r="M802" s="39">
        <v>0</v>
      </c>
      <c r="N802">
        <v>0</v>
      </c>
      <c r="O802" t="s">
        <v>384</v>
      </c>
      <c r="P802">
        <v>9</v>
      </c>
      <c r="Q802" t="s">
        <v>385</v>
      </c>
      <c r="R802">
        <v>0</v>
      </c>
      <c r="S802">
        <v>9</v>
      </c>
      <c r="T802" t="s">
        <v>482</v>
      </c>
      <c r="U802" t="s">
        <v>366</v>
      </c>
      <c r="V802" s="101">
        <v>46229</v>
      </c>
      <c r="W802">
        <v>0</v>
      </c>
      <c r="X802">
        <v>0</v>
      </c>
      <c r="Y802">
        <v>0</v>
      </c>
      <c r="Z802">
        <v>0</v>
      </c>
      <c r="AA802">
        <v>0</v>
      </c>
    </row>
    <row r="803" spans="1:27" x14ac:dyDescent="0.3">
      <c r="A803">
        <v>5086</v>
      </c>
      <c r="B803">
        <v>27</v>
      </c>
      <c r="C803">
        <v>0</v>
      </c>
      <c r="D803">
        <v>0</v>
      </c>
      <c r="E803">
        <v>0</v>
      </c>
      <c r="F803" t="s">
        <v>907</v>
      </c>
      <c r="G803" s="101">
        <v>46230</v>
      </c>
      <c r="H803" t="s">
        <v>308</v>
      </c>
      <c r="I803" t="s">
        <v>441</v>
      </c>
      <c r="J803" t="s">
        <v>459</v>
      </c>
      <c r="K803" t="s">
        <v>382</v>
      </c>
      <c r="L803" s="39">
        <v>0.37017361111111113</v>
      </c>
      <c r="M803" s="39">
        <v>0.76885416666666662</v>
      </c>
      <c r="N803">
        <v>9.57</v>
      </c>
      <c r="O803" t="s">
        <v>1510</v>
      </c>
      <c r="P803">
        <v>0</v>
      </c>
      <c r="Q803" t="s">
        <v>1146</v>
      </c>
      <c r="R803">
        <v>0.95</v>
      </c>
      <c r="S803">
        <v>0.95</v>
      </c>
      <c r="T803" t="s">
        <v>482</v>
      </c>
      <c r="U803" t="s">
        <v>108</v>
      </c>
      <c r="V803" s="101">
        <v>46230</v>
      </c>
      <c r="W803">
        <v>1</v>
      </c>
      <c r="X803">
        <v>1</v>
      </c>
      <c r="Y803">
        <v>0</v>
      </c>
      <c r="Z803">
        <v>0</v>
      </c>
      <c r="AA803">
        <v>0</v>
      </c>
    </row>
    <row r="804" spans="1:27" x14ac:dyDescent="0.3">
      <c r="A804">
        <v>5086</v>
      </c>
      <c r="B804">
        <v>27</v>
      </c>
      <c r="C804">
        <v>0</v>
      </c>
      <c r="D804">
        <v>0</v>
      </c>
      <c r="E804">
        <v>0</v>
      </c>
      <c r="F804" t="s">
        <v>907</v>
      </c>
      <c r="G804" s="101">
        <v>46231</v>
      </c>
      <c r="H804" t="s">
        <v>308</v>
      </c>
      <c r="I804" t="s">
        <v>441</v>
      </c>
      <c r="J804" t="s">
        <v>459</v>
      </c>
      <c r="K804" t="s">
        <v>382</v>
      </c>
      <c r="L804" s="39">
        <v>0.37506944444444446</v>
      </c>
      <c r="M804" s="39">
        <v>0.76812499999999995</v>
      </c>
      <c r="N804">
        <v>9.43</v>
      </c>
      <c r="O804" t="s">
        <v>713</v>
      </c>
      <c r="P804">
        <v>0</v>
      </c>
      <c r="Q804" t="s">
        <v>1026</v>
      </c>
      <c r="R804">
        <v>0.94</v>
      </c>
      <c r="S804">
        <v>0.94</v>
      </c>
      <c r="T804" t="s">
        <v>482</v>
      </c>
      <c r="U804" t="s">
        <v>108</v>
      </c>
      <c r="V804" s="101">
        <v>46231</v>
      </c>
      <c r="W804">
        <v>1</v>
      </c>
      <c r="X804">
        <v>1</v>
      </c>
      <c r="Y804">
        <v>0</v>
      </c>
      <c r="Z804">
        <v>0</v>
      </c>
      <c r="AA804">
        <v>0</v>
      </c>
    </row>
    <row r="805" spans="1:27" x14ac:dyDescent="0.3">
      <c r="A805">
        <v>5086</v>
      </c>
      <c r="B805">
        <v>27</v>
      </c>
      <c r="C805">
        <v>0</v>
      </c>
      <c r="D805">
        <v>0</v>
      </c>
      <c r="E805">
        <v>0</v>
      </c>
      <c r="F805" t="s">
        <v>907</v>
      </c>
      <c r="G805" s="101">
        <v>46232</v>
      </c>
      <c r="H805" t="s">
        <v>308</v>
      </c>
      <c r="I805" t="s">
        <v>441</v>
      </c>
      <c r="J805" t="s">
        <v>459</v>
      </c>
      <c r="K805" t="s">
        <v>382</v>
      </c>
      <c r="L805" s="39">
        <v>0.3740162037037037</v>
      </c>
      <c r="M805" s="39">
        <v>0.7676736111111111</v>
      </c>
      <c r="N805">
        <v>9.4499999999999993</v>
      </c>
      <c r="O805" t="s">
        <v>757</v>
      </c>
      <c r="P805">
        <v>0</v>
      </c>
      <c r="Q805" t="s">
        <v>1511</v>
      </c>
      <c r="R805">
        <v>0.92</v>
      </c>
      <c r="S805">
        <v>0.92</v>
      </c>
      <c r="T805" t="s">
        <v>482</v>
      </c>
      <c r="U805" t="s">
        <v>108</v>
      </c>
      <c r="V805" s="101">
        <v>46232</v>
      </c>
      <c r="W805">
        <v>1</v>
      </c>
      <c r="X805">
        <v>1</v>
      </c>
      <c r="Y805">
        <v>0</v>
      </c>
      <c r="Z805">
        <v>0</v>
      </c>
      <c r="AA805">
        <v>0</v>
      </c>
    </row>
    <row r="806" spans="1:27" x14ac:dyDescent="0.3">
      <c r="A806">
        <v>5086</v>
      </c>
      <c r="B806">
        <v>27</v>
      </c>
      <c r="C806">
        <v>0</v>
      </c>
      <c r="D806">
        <v>0</v>
      </c>
      <c r="E806">
        <v>0</v>
      </c>
      <c r="F806" t="s">
        <v>907</v>
      </c>
      <c r="G806" s="101">
        <v>46233</v>
      </c>
      <c r="H806" t="s">
        <v>308</v>
      </c>
      <c r="I806" t="s">
        <v>441</v>
      </c>
      <c r="J806" t="s">
        <v>459</v>
      </c>
      <c r="K806" t="s">
        <v>382</v>
      </c>
      <c r="L806" s="39">
        <v>0.37402777777777779</v>
      </c>
      <c r="M806" s="39">
        <v>0.7669907407407407</v>
      </c>
      <c r="N806">
        <v>9.43</v>
      </c>
      <c r="O806" t="s">
        <v>1512</v>
      </c>
      <c r="P806">
        <v>0</v>
      </c>
      <c r="Q806" t="s">
        <v>1513</v>
      </c>
      <c r="R806">
        <v>0.91</v>
      </c>
      <c r="S806">
        <v>0.91</v>
      </c>
      <c r="T806" t="s">
        <v>482</v>
      </c>
      <c r="U806" t="s">
        <v>108</v>
      </c>
      <c r="V806" s="101">
        <v>46233</v>
      </c>
      <c r="W806">
        <v>1</v>
      </c>
      <c r="X806">
        <v>1</v>
      </c>
      <c r="Y806">
        <v>0</v>
      </c>
      <c r="Z806">
        <v>0</v>
      </c>
      <c r="AA806">
        <v>0</v>
      </c>
    </row>
    <row r="807" spans="1:27" x14ac:dyDescent="0.3">
      <c r="A807">
        <v>5086</v>
      </c>
      <c r="B807">
        <v>27</v>
      </c>
      <c r="C807">
        <v>0</v>
      </c>
      <c r="D807">
        <v>0</v>
      </c>
      <c r="E807">
        <v>0</v>
      </c>
      <c r="F807" t="s">
        <v>907</v>
      </c>
      <c r="G807" s="101">
        <v>46234</v>
      </c>
      <c r="H807" t="s">
        <v>308</v>
      </c>
      <c r="I807" t="s">
        <v>441</v>
      </c>
      <c r="J807" t="s">
        <v>459</v>
      </c>
      <c r="K807" t="s">
        <v>382</v>
      </c>
      <c r="L807" s="39">
        <v>0.37297453703703703</v>
      </c>
      <c r="M807" s="39">
        <v>0.76677083333333329</v>
      </c>
      <c r="N807">
        <v>9.4499999999999993</v>
      </c>
      <c r="O807" t="s">
        <v>566</v>
      </c>
      <c r="P807">
        <v>0</v>
      </c>
      <c r="Q807" t="s">
        <v>1514</v>
      </c>
      <c r="R807">
        <v>0.9</v>
      </c>
      <c r="S807">
        <v>0.9</v>
      </c>
      <c r="T807" t="s">
        <v>482</v>
      </c>
      <c r="U807" t="s">
        <v>108</v>
      </c>
      <c r="V807" s="101">
        <v>46234</v>
      </c>
      <c r="W807">
        <v>1</v>
      </c>
      <c r="X807">
        <v>1</v>
      </c>
      <c r="Y807">
        <v>0</v>
      </c>
      <c r="Z807">
        <v>0</v>
      </c>
      <c r="AA807">
        <v>0</v>
      </c>
    </row>
    <row r="808" spans="1:27" x14ac:dyDescent="0.3">
      <c r="A808">
        <v>5087</v>
      </c>
      <c r="B808">
        <v>26</v>
      </c>
      <c r="C808">
        <v>1</v>
      </c>
      <c r="D808">
        <v>0</v>
      </c>
      <c r="E808">
        <v>0</v>
      </c>
      <c r="F808" t="s">
        <v>907</v>
      </c>
      <c r="G808" s="101">
        <v>46204</v>
      </c>
      <c r="H808" t="s">
        <v>34</v>
      </c>
      <c r="I808" t="s">
        <v>441</v>
      </c>
      <c r="J808" t="s">
        <v>442</v>
      </c>
      <c r="K808" t="s">
        <v>382</v>
      </c>
      <c r="L808" s="39">
        <v>0.35065972222222225</v>
      </c>
      <c r="M808" s="39">
        <v>0.72916666666666663</v>
      </c>
      <c r="N808">
        <v>9.08</v>
      </c>
      <c r="O808" t="s">
        <v>765</v>
      </c>
      <c r="P808">
        <v>0.5</v>
      </c>
      <c r="Q808" t="s">
        <v>418</v>
      </c>
      <c r="R808">
        <v>0</v>
      </c>
      <c r="S808">
        <v>0.5</v>
      </c>
      <c r="T808" t="s">
        <v>601</v>
      </c>
      <c r="U808" t="s">
        <v>108</v>
      </c>
      <c r="V808" s="101">
        <v>46204</v>
      </c>
      <c r="W808">
        <v>1</v>
      </c>
      <c r="X808">
        <v>1</v>
      </c>
      <c r="Y808">
        <v>0</v>
      </c>
      <c r="Z808">
        <v>0</v>
      </c>
      <c r="AA808">
        <v>0</v>
      </c>
    </row>
    <row r="809" spans="1:27" x14ac:dyDescent="0.3">
      <c r="A809">
        <v>5087</v>
      </c>
      <c r="B809">
        <v>26</v>
      </c>
      <c r="C809">
        <v>1</v>
      </c>
      <c r="D809">
        <v>0</v>
      </c>
      <c r="E809">
        <v>0</v>
      </c>
      <c r="F809" t="s">
        <v>907</v>
      </c>
      <c r="G809" s="101">
        <v>46205</v>
      </c>
      <c r="H809" t="s">
        <v>34</v>
      </c>
      <c r="I809" t="s">
        <v>441</v>
      </c>
      <c r="J809" t="s">
        <v>442</v>
      </c>
      <c r="K809" t="s">
        <v>382</v>
      </c>
      <c r="L809" s="39">
        <v>0.34337962962962965</v>
      </c>
      <c r="M809" s="39">
        <v>0.80881944444444442</v>
      </c>
      <c r="N809">
        <v>11.17</v>
      </c>
      <c r="O809" t="s">
        <v>1515</v>
      </c>
      <c r="P809">
        <v>0.76</v>
      </c>
      <c r="Q809" t="s">
        <v>1516</v>
      </c>
      <c r="R809">
        <v>1.91</v>
      </c>
      <c r="S809">
        <v>2.67</v>
      </c>
      <c r="T809" t="s">
        <v>601</v>
      </c>
      <c r="U809" t="s">
        <v>108</v>
      </c>
      <c r="V809" s="101">
        <v>46205</v>
      </c>
      <c r="W809">
        <v>1</v>
      </c>
      <c r="X809">
        <v>1</v>
      </c>
      <c r="Y809">
        <v>0</v>
      </c>
      <c r="Z809">
        <v>0</v>
      </c>
      <c r="AA809">
        <v>0</v>
      </c>
    </row>
    <row r="810" spans="1:27" x14ac:dyDescent="0.3">
      <c r="A810">
        <v>5087</v>
      </c>
      <c r="B810">
        <v>26</v>
      </c>
      <c r="C810">
        <v>1</v>
      </c>
      <c r="D810">
        <v>0</v>
      </c>
      <c r="E810">
        <v>0</v>
      </c>
      <c r="F810" t="s">
        <v>907</v>
      </c>
      <c r="G810" s="101">
        <v>46206</v>
      </c>
      <c r="H810" t="s">
        <v>34</v>
      </c>
      <c r="I810" t="s">
        <v>441</v>
      </c>
      <c r="J810" t="s">
        <v>442</v>
      </c>
      <c r="K810" t="s">
        <v>382</v>
      </c>
      <c r="L810" s="39">
        <v>0.34311342592592592</v>
      </c>
      <c r="M810" s="39">
        <v>0.83116898148148144</v>
      </c>
      <c r="N810">
        <v>11.71</v>
      </c>
      <c r="O810" t="s">
        <v>1517</v>
      </c>
      <c r="P810">
        <v>0.77</v>
      </c>
      <c r="Q810" t="s">
        <v>1518</v>
      </c>
      <c r="R810">
        <v>2.4500000000000002</v>
      </c>
      <c r="S810">
        <v>3.22</v>
      </c>
      <c r="T810" t="s">
        <v>601</v>
      </c>
      <c r="U810" t="s">
        <v>108</v>
      </c>
      <c r="V810" s="101">
        <v>46206</v>
      </c>
      <c r="W810">
        <v>1</v>
      </c>
      <c r="X810">
        <v>1</v>
      </c>
      <c r="Y810">
        <v>0</v>
      </c>
      <c r="Z810">
        <v>0</v>
      </c>
      <c r="AA810">
        <v>0</v>
      </c>
    </row>
    <row r="811" spans="1:27" x14ac:dyDescent="0.3">
      <c r="A811">
        <v>5087</v>
      </c>
      <c r="B811">
        <v>26</v>
      </c>
      <c r="C811">
        <v>1</v>
      </c>
      <c r="D811">
        <v>0</v>
      </c>
      <c r="E811">
        <v>0</v>
      </c>
      <c r="F811" t="s">
        <v>907</v>
      </c>
      <c r="G811" s="101">
        <v>46207</v>
      </c>
      <c r="H811" t="s">
        <v>34</v>
      </c>
      <c r="I811" t="s">
        <v>441</v>
      </c>
      <c r="J811" t="s">
        <v>442</v>
      </c>
      <c r="K811" t="s">
        <v>382</v>
      </c>
      <c r="L811" s="39">
        <v>0.375</v>
      </c>
      <c r="M811" s="39">
        <v>0.76761574074074079</v>
      </c>
      <c r="N811">
        <v>9.42</v>
      </c>
      <c r="O811" t="s">
        <v>418</v>
      </c>
      <c r="P811">
        <v>0</v>
      </c>
      <c r="Q811" t="s">
        <v>1519</v>
      </c>
      <c r="R811">
        <v>0.92</v>
      </c>
      <c r="S811">
        <v>0.92</v>
      </c>
      <c r="T811" t="s">
        <v>601</v>
      </c>
      <c r="U811" t="s">
        <v>108</v>
      </c>
      <c r="V811" s="101">
        <v>46207</v>
      </c>
      <c r="W811">
        <v>1</v>
      </c>
      <c r="X811">
        <v>1</v>
      </c>
      <c r="Y811">
        <v>0</v>
      </c>
      <c r="Z811">
        <v>0</v>
      </c>
      <c r="AA811">
        <v>0</v>
      </c>
    </row>
    <row r="812" spans="1:27" x14ac:dyDescent="0.3">
      <c r="A812">
        <v>5087</v>
      </c>
      <c r="B812">
        <v>26</v>
      </c>
      <c r="C812">
        <v>1</v>
      </c>
      <c r="D812">
        <v>0</v>
      </c>
      <c r="E812">
        <v>0</v>
      </c>
      <c r="F812" t="s">
        <v>907</v>
      </c>
      <c r="G812" s="101">
        <v>46208</v>
      </c>
      <c r="H812" t="s">
        <v>34</v>
      </c>
      <c r="I812" t="s">
        <v>441</v>
      </c>
      <c r="J812" t="s">
        <v>442</v>
      </c>
      <c r="K812" t="s">
        <v>383</v>
      </c>
      <c r="L812" s="39">
        <v>0</v>
      </c>
      <c r="M812" s="39">
        <v>0</v>
      </c>
      <c r="N812">
        <v>0</v>
      </c>
      <c r="O812" t="s">
        <v>384</v>
      </c>
      <c r="P812">
        <v>9</v>
      </c>
      <c r="Q812" t="s">
        <v>385</v>
      </c>
      <c r="R812">
        <v>0</v>
      </c>
      <c r="S812">
        <v>9</v>
      </c>
      <c r="T812" t="s">
        <v>601</v>
      </c>
      <c r="U812" t="s">
        <v>366</v>
      </c>
      <c r="V812" s="101">
        <v>46208</v>
      </c>
      <c r="W812">
        <v>0</v>
      </c>
      <c r="X812">
        <v>0</v>
      </c>
      <c r="Y812">
        <v>0</v>
      </c>
      <c r="Z812">
        <v>0</v>
      </c>
      <c r="AA812">
        <v>0</v>
      </c>
    </row>
    <row r="813" spans="1:27" x14ac:dyDescent="0.3">
      <c r="A813">
        <v>5087</v>
      </c>
      <c r="B813">
        <v>26</v>
      </c>
      <c r="C813">
        <v>1</v>
      </c>
      <c r="D813">
        <v>0</v>
      </c>
      <c r="E813">
        <v>0</v>
      </c>
      <c r="F813" t="s">
        <v>907</v>
      </c>
      <c r="G813" s="101">
        <v>46209</v>
      </c>
      <c r="H813" t="s">
        <v>34</v>
      </c>
      <c r="I813" t="s">
        <v>441</v>
      </c>
      <c r="J813" t="s">
        <v>442</v>
      </c>
      <c r="K813" t="s">
        <v>382</v>
      </c>
      <c r="L813" s="39">
        <v>0.375</v>
      </c>
      <c r="M813" s="39">
        <v>0.79099537037037038</v>
      </c>
      <c r="N813">
        <v>9.98</v>
      </c>
      <c r="O813" t="s">
        <v>418</v>
      </c>
      <c r="P813">
        <v>0</v>
      </c>
      <c r="Q813" t="s">
        <v>1520</v>
      </c>
      <c r="R813">
        <v>1.48</v>
      </c>
      <c r="S813">
        <v>1.48</v>
      </c>
      <c r="T813" t="s">
        <v>601</v>
      </c>
      <c r="U813" t="s">
        <v>108</v>
      </c>
      <c r="V813" s="101">
        <v>46209</v>
      </c>
      <c r="W813">
        <v>1</v>
      </c>
      <c r="X813">
        <v>1</v>
      </c>
      <c r="Y813">
        <v>0</v>
      </c>
      <c r="Z813">
        <v>0</v>
      </c>
      <c r="AA813">
        <v>0</v>
      </c>
    </row>
    <row r="814" spans="1:27" x14ac:dyDescent="0.3">
      <c r="A814">
        <v>5087</v>
      </c>
      <c r="B814">
        <v>26</v>
      </c>
      <c r="C814">
        <v>1</v>
      </c>
      <c r="D814">
        <v>0</v>
      </c>
      <c r="E814">
        <v>0</v>
      </c>
      <c r="F814" t="s">
        <v>907</v>
      </c>
      <c r="G814" s="101">
        <v>46210</v>
      </c>
      <c r="H814" t="s">
        <v>34</v>
      </c>
      <c r="I814" t="s">
        <v>441</v>
      </c>
      <c r="J814" t="s">
        <v>442</v>
      </c>
      <c r="K814" t="s">
        <v>382</v>
      </c>
      <c r="L814" s="39">
        <v>0.34994212962962962</v>
      </c>
      <c r="M814" s="39">
        <v>0.83243055555555556</v>
      </c>
      <c r="N814">
        <v>11.58</v>
      </c>
      <c r="O814" t="s">
        <v>1521</v>
      </c>
      <c r="P814">
        <v>0.5</v>
      </c>
      <c r="Q814" t="s">
        <v>1522</v>
      </c>
      <c r="R814">
        <v>2.48</v>
      </c>
      <c r="S814">
        <v>2.98</v>
      </c>
      <c r="T814" t="s">
        <v>601</v>
      </c>
      <c r="U814" t="s">
        <v>108</v>
      </c>
      <c r="V814" s="101">
        <v>46210</v>
      </c>
      <c r="W814">
        <v>1</v>
      </c>
      <c r="X814">
        <v>1</v>
      </c>
      <c r="Y814">
        <v>0</v>
      </c>
      <c r="Z814">
        <v>0</v>
      </c>
      <c r="AA814">
        <v>0</v>
      </c>
    </row>
    <row r="815" spans="1:27" x14ac:dyDescent="0.3">
      <c r="A815">
        <v>5087</v>
      </c>
      <c r="B815">
        <v>26</v>
      </c>
      <c r="C815">
        <v>1</v>
      </c>
      <c r="D815">
        <v>0</v>
      </c>
      <c r="E815">
        <v>0</v>
      </c>
      <c r="F815" t="s">
        <v>907</v>
      </c>
      <c r="G815" s="101">
        <v>46211</v>
      </c>
      <c r="H815" t="s">
        <v>34</v>
      </c>
      <c r="I815" t="s">
        <v>441</v>
      </c>
      <c r="J815" t="s">
        <v>442</v>
      </c>
      <c r="K815" t="s">
        <v>382</v>
      </c>
      <c r="L815" s="39">
        <v>0.35104166666666664</v>
      </c>
      <c r="M815" s="39">
        <v>3.6701388888888888E-2</v>
      </c>
      <c r="N815">
        <v>16.46</v>
      </c>
      <c r="O815" t="s">
        <v>766</v>
      </c>
      <c r="P815">
        <v>0.5</v>
      </c>
      <c r="Q815" t="s">
        <v>1523</v>
      </c>
      <c r="R815">
        <v>0</v>
      </c>
      <c r="S815">
        <v>0.5</v>
      </c>
      <c r="T815" t="s">
        <v>601</v>
      </c>
      <c r="U815" t="s">
        <v>108</v>
      </c>
      <c r="V815" s="101">
        <v>46211</v>
      </c>
      <c r="W815">
        <v>1</v>
      </c>
      <c r="X815">
        <v>1</v>
      </c>
      <c r="Y815">
        <v>0</v>
      </c>
      <c r="Z815">
        <v>0</v>
      </c>
      <c r="AA815">
        <v>0</v>
      </c>
    </row>
    <row r="816" spans="1:27" x14ac:dyDescent="0.3">
      <c r="A816">
        <v>5087</v>
      </c>
      <c r="B816">
        <v>26</v>
      </c>
      <c r="C816">
        <v>1</v>
      </c>
      <c r="D816">
        <v>0</v>
      </c>
      <c r="E816">
        <v>0</v>
      </c>
      <c r="F816" t="s">
        <v>907</v>
      </c>
      <c r="G816" s="101">
        <v>46212</v>
      </c>
      <c r="H816" t="s">
        <v>34</v>
      </c>
      <c r="I816" t="s">
        <v>441</v>
      </c>
      <c r="J816" t="s">
        <v>442</v>
      </c>
      <c r="K816" t="s">
        <v>382</v>
      </c>
      <c r="L816" s="39">
        <v>0.34734953703703703</v>
      </c>
      <c r="M816" s="39">
        <v>0.83903935185185186</v>
      </c>
      <c r="N816">
        <v>11.8</v>
      </c>
      <c r="O816" t="s">
        <v>1524</v>
      </c>
      <c r="P816">
        <v>0.5</v>
      </c>
      <c r="Q816" t="s">
        <v>1525</v>
      </c>
      <c r="R816">
        <v>2.64</v>
      </c>
      <c r="S816">
        <v>3.14</v>
      </c>
      <c r="T816" t="s">
        <v>601</v>
      </c>
      <c r="U816" t="s">
        <v>108</v>
      </c>
      <c r="V816" s="101">
        <v>46212</v>
      </c>
      <c r="W816">
        <v>1</v>
      </c>
      <c r="X816">
        <v>1</v>
      </c>
      <c r="Y816">
        <v>0</v>
      </c>
      <c r="Z816">
        <v>0</v>
      </c>
      <c r="AA816">
        <v>0</v>
      </c>
    </row>
    <row r="817" spans="1:27" x14ac:dyDescent="0.3">
      <c r="A817">
        <v>5087</v>
      </c>
      <c r="B817">
        <v>26</v>
      </c>
      <c r="C817">
        <v>1</v>
      </c>
      <c r="D817">
        <v>0</v>
      </c>
      <c r="E817">
        <v>0</v>
      </c>
      <c r="F817" t="s">
        <v>907</v>
      </c>
      <c r="G817" s="101">
        <v>46213</v>
      </c>
      <c r="H817" t="s">
        <v>34</v>
      </c>
      <c r="I817" t="s">
        <v>441</v>
      </c>
      <c r="J817" t="s">
        <v>442</v>
      </c>
      <c r="K817" t="s">
        <v>382</v>
      </c>
      <c r="L817" s="39">
        <v>0.3477662037037037</v>
      </c>
      <c r="M817" s="39">
        <v>0.72916666666666663</v>
      </c>
      <c r="N817">
        <v>9.15</v>
      </c>
      <c r="O817" t="s">
        <v>1526</v>
      </c>
      <c r="P817">
        <v>0.5</v>
      </c>
      <c r="Q817" t="s">
        <v>418</v>
      </c>
      <c r="R817">
        <v>0</v>
      </c>
      <c r="S817">
        <v>0.5</v>
      </c>
      <c r="T817" t="s">
        <v>601</v>
      </c>
      <c r="U817" t="s">
        <v>108</v>
      </c>
      <c r="V817" s="101">
        <v>46213</v>
      </c>
      <c r="W817">
        <v>1</v>
      </c>
      <c r="X817">
        <v>1</v>
      </c>
      <c r="Y817">
        <v>0</v>
      </c>
      <c r="Z817">
        <v>0</v>
      </c>
      <c r="AA817">
        <v>0</v>
      </c>
    </row>
    <row r="818" spans="1:27" x14ac:dyDescent="0.3">
      <c r="A818">
        <v>5087</v>
      </c>
      <c r="B818">
        <v>26</v>
      </c>
      <c r="C818">
        <v>1</v>
      </c>
      <c r="D818">
        <v>0</v>
      </c>
      <c r="E818">
        <v>0</v>
      </c>
      <c r="F818" t="s">
        <v>907</v>
      </c>
      <c r="G818" s="101">
        <v>46214</v>
      </c>
      <c r="H818" t="s">
        <v>34</v>
      </c>
      <c r="I818" t="s">
        <v>441</v>
      </c>
      <c r="J818" t="s">
        <v>442</v>
      </c>
      <c r="K818" t="s">
        <v>382</v>
      </c>
      <c r="L818" s="39">
        <v>0.36812499999999998</v>
      </c>
      <c r="M818" s="39">
        <v>0.72916666666666663</v>
      </c>
      <c r="N818">
        <v>8.66</v>
      </c>
      <c r="O818" t="s">
        <v>1527</v>
      </c>
      <c r="P818">
        <v>0</v>
      </c>
      <c r="Q818" t="s">
        <v>418</v>
      </c>
      <c r="R818">
        <v>0</v>
      </c>
      <c r="S818">
        <v>0</v>
      </c>
      <c r="T818" t="s">
        <v>601</v>
      </c>
      <c r="U818" t="s">
        <v>108</v>
      </c>
      <c r="V818" s="101">
        <v>46214</v>
      </c>
      <c r="W818">
        <v>1</v>
      </c>
      <c r="X818">
        <v>1</v>
      </c>
      <c r="Y818">
        <v>0</v>
      </c>
      <c r="Z818">
        <v>0</v>
      </c>
      <c r="AA818">
        <v>0</v>
      </c>
    </row>
    <row r="819" spans="1:27" x14ac:dyDescent="0.3">
      <c r="A819">
        <v>5087</v>
      </c>
      <c r="B819">
        <v>26</v>
      </c>
      <c r="C819">
        <v>1</v>
      </c>
      <c r="D819">
        <v>0</v>
      </c>
      <c r="E819">
        <v>0</v>
      </c>
      <c r="F819" t="s">
        <v>907</v>
      </c>
      <c r="G819" s="101">
        <v>46215</v>
      </c>
      <c r="H819" t="s">
        <v>34</v>
      </c>
      <c r="I819" t="s">
        <v>441</v>
      </c>
      <c r="J819" t="s">
        <v>442</v>
      </c>
      <c r="K819" t="s">
        <v>383</v>
      </c>
      <c r="L819" s="39">
        <v>0</v>
      </c>
      <c r="M819" s="39">
        <v>0</v>
      </c>
      <c r="N819">
        <v>0</v>
      </c>
      <c r="O819" t="s">
        <v>384</v>
      </c>
      <c r="P819">
        <v>9</v>
      </c>
      <c r="Q819" t="s">
        <v>385</v>
      </c>
      <c r="R819">
        <v>0</v>
      </c>
      <c r="S819">
        <v>9</v>
      </c>
      <c r="T819" t="s">
        <v>601</v>
      </c>
      <c r="U819" t="s">
        <v>366</v>
      </c>
      <c r="V819" s="101">
        <v>46215</v>
      </c>
      <c r="W819">
        <v>0</v>
      </c>
      <c r="X819">
        <v>0</v>
      </c>
      <c r="Y819">
        <v>0</v>
      </c>
      <c r="Z819">
        <v>0</v>
      </c>
      <c r="AA819">
        <v>0</v>
      </c>
    </row>
    <row r="820" spans="1:27" x14ac:dyDescent="0.3">
      <c r="A820">
        <v>5087</v>
      </c>
      <c r="B820">
        <v>26</v>
      </c>
      <c r="C820">
        <v>1</v>
      </c>
      <c r="D820">
        <v>0</v>
      </c>
      <c r="E820">
        <v>0</v>
      </c>
      <c r="F820" t="s">
        <v>907</v>
      </c>
      <c r="G820" s="101">
        <v>46216</v>
      </c>
      <c r="H820" t="s">
        <v>34</v>
      </c>
      <c r="I820" t="s">
        <v>441</v>
      </c>
      <c r="J820" t="s">
        <v>442</v>
      </c>
      <c r="K820" t="s">
        <v>382</v>
      </c>
      <c r="L820" s="39">
        <v>0.34744212962962961</v>
      </c>
      <c r="M820" s="39">
        <v>0.84084490740740736</v>
      </c>
      <c r="N820">
        <v>11.84</v>
      </c>
      <c r="O820" t="s">
        <v>1528</v>
      </c>
      <c r="P820">
        <v>0.5</v>
      </c>
      <c r="Q820" t="s">
        <v>1529</v>
      </c>
      <c r="R820">
        <v>2.68</v>
      </c>
      <c r="S820">
        <v>3.18</v>
      </c>
      <c r="T820" t="s">
        <v>601</v>
      </c>
      <c r="U820" t="s">
        <v>108</v>
      </c>
      <c r="V820" s="101">
        <v>46216</v>
      </c>
      <c r="W820">
        <v>1</v>
      </c>
      <c r="X820">
        <v>1</v>
      </c>
      <c r="Y820">
        <v>0</v>
      </c>
      <c r="Z820">
        <v>0</v>
      </c>
      <c r="AA820">
        <v>0</v>
      </c>
    </row>
    <row r="821" spans="1:27" x14ac:dyDescent="0.3">
      <c r="A821">
        <v>5087</v>
      </c>
      <c r="B821">
        <v>26</v>
      </c>
      <c r="C821">
        <v>1</v>
      </c>
      <c r="D821">
        <v>0</v>
      </c>
      <c r="E821">
        <v>0</v>
      </c>
      <c r="F821" t="s">
        <v>907</v>
      </c>
      <c r="G821" s="101">
        <v>46217</v>
      </c>
      <c r="H821" t="s">
        <v>34</v>
      </c>
      <c r="I821" t="s">
        <v>441</v>
      </c>
      <c r="J821" t="s">
        <v>442</v>
      </c>
      <c r="K821" t="s">
        <v>382</v>
      </c>
      <c r="L821" s="39">
        <v>0.83219907407407412</v>
      </c>
      <c r="M821" s="39">
        <v>0</v>
      </c>
      <c r="N821">
        <v>4.03</v>
      </c>
      <c r="O821" t="s">
        <v>1530</v>
      </c>
      <c r="P821">
        <v>0</v>
      </c>
      <c r="Q821" t="s">
        <v>385</v>
      </c>
      <c r="R821">
        <v>0</v>
      </c>
      <c r="S821">
        <v>0</v>
      </c>
      <c r="T821" t="s">
        <v>601</v>
      </c>
      <c r="U821" t="s">
        <v>314</v>
      </c>
      <c r="V821" s="101">
        <v>46217</v>
      </c>
      <c r="W821">
        <v>0.5</v>
      </c>
      <c r="X821">
        <v>0.5</v>
      </c>
      <c r="Y821">
        <v>0</v>
      </c>
      <c r="Z821">
        <v>0</v>
      </c>
      <c r="AA821">
        <v>0</v>
      </c>
    </row>
    <row r="822" spans="1:27" x14ac:dyDescent="0.3">
      <c r="A822">
        <v>5087</v>
      </c>
      <c r="B822">
        <v>26</v>
      </c>
      <c r="C822">
        <v>1</v>
      </c>
      <c r="D822">
        <v>0</v>
      </c>
      <c r="E822">
        <v>0</v>
      </c>
      <c r="F822" t="s">
        <v>907</v>
      </c>
      <c r="G822" s="101">
        <v>46218</v>
      </c>
      <c r="H822" t="s">
        <v>34</v>
      </c>
      <c r="I822" t="s">
        <v>441</v>
      </c>
      <c r="J822" t="s">
        <v>442</v>
      </c>
      <c r="K822" t="s">
        <v>382</v>
      </c>
      <c r="L822" s="39">
        <v>0.34087962962962964</v>
      </c>
      <c r="M822" s="39">
        <v>0.81730324074074079</v>
      </c>
      <c r="N822">
        <v>11.43</v>
      </c>
      <c r="O822" t="s">
        <v>1531</v>
      </c>
      <c r="P822">
        <v>0.82</v>
      </c>
      <c r="Q822" t="s">
        <v>1532</v>
      </c>
      <c r="R822">
        <v>2.12</v>
      </c>
      <c r="S822">
        <v>2.94</v>
      </c>
      <c r="T822" t="s">
        <v>601</v>
      </c>
      <c r="U822" t="s">
        <v>108</v>
      </c>
      <c r="V822" s="101">
        <v>46218</v>
      </c>
      <c r="W822">
        <v>1</v>
      </c>
      <c r="X822">
        <v>1</v>
      </c>
      <c r="Y822">
        <v>0</v>
      </c>
      <c r="Z822">
        <v>0</v>
      </c>
      <c r="AA822">
        <v>0</v>
      </c>
    </row>
    <row r="823" spans="1:27" x14ac:dyDescent="0.3">
      <c r="A823">
        <v>5087</v>
      </c>
      <c r="B823">
        <v>26</v>
      </c>
      <c r="C823">
        <v>1</v>
      </c>
      <c r="D823">
        <v>0</v>
      </c>
      <c r="E823">
        <v>0</v>
      </c>
      <c r="F823" t="s">
        <v>907</v>
      </c>
      <c r="G823" s="101">
        <v>46219</v>
      </c>
      <c r="H823" t="s">
        <v>34</v>
      </c>
      <c r="I823" t="s">
        <v>441</v>
      </c>
      <c r="J823" t="s">
        <v>442</v>
      </c>
      <c r="K823" t="s">
        <v>382</v>
      </c>
      <c r="L823" s="39">
        <v>0.34960648148148149</v>
      </c>
      <c r="M823" s="39">
        <v>0.83519675925925929</v>
      </c>
      <c r="N823">
        <v>11.65</v>
      </c>
      <c r="O823" t="s">
        <v>1533</v>
      </c>
      <c r="P823">
        <v>0.5</v>
      </c>
      <c r="Q823" t="s">
        <v>1534</v>
      </c>
      <c r="R823">
        <v>2.54</v>
      </c>
      <c r="S823">
        <v>3.04</v>
      </c>
      <c r="T823" t="s">
        <v>601</v>
      </c>
      <c r="U823" t="s">
        <v>108</v>
      </c>
      <c r="V823" s="101">
        <v>46219</v>
      </c>
      <c r="W823">
        <v>1</v>
      </c>
      <c r="X823">
        <v>1</v>
      </c>
      <c r="Y823">
        <v>0</v>
      </c>
      <c r="Z823">
        <v>0</v>
      </c>
      <c r="AA823">
        <v>0</v>
      </c>
    </row>
    <row r="824" spans="1:27" x14ac:dyDescent="0.3">
      <c r="A824">
        <v>5087</v>
      </c>
      <c r="B824">
        <v>26</v>
      </c>
      <c r="C824">
        <v>1</v>
      </c>
      <c r="D824">
        <v>0</v>
      </c>
      <c r="E824">
        <v>0</v>
      </c>
      <c r="F824" t="s">
        <v>907</v>
      </c>
      <c r="G824" s="101">
        <v>46220</v>
      </c>
      <c r="H824" t="s">
        <v>34</v>
      </c>
      <c r="I824" t="s">
        <v>441</v>
      </c>
      <c r="J824" t="s">
        <v>442</v>
      </c>
      <c r="K824" t="s">
        <v>382</v>
      </c>
      <c r="L824" s="39">
        <v>0.35365740740740742</v>
      </c>
      <c r="M824" s="39">
        <v>0.83043981481481477</v>
      </c>
      <c r="N824">
        <v>11.44</v>
      </c>
      <c r="O824" t="s">
        <v>1535</v>
      </c>
      <c r="P824">
        <v>0.5</v>
      </c>
      <c r="Q824" t="s">
        <v>1536</v>
      </c>
      <c r="R824">
        <v>2.4300000000000002</v>
      </c>
      <c r="S824">
        <v>2.93</v>
      </c>
      <c r="T824" t="s">
        <v>601</v>
      </c>
      <c r="U824" t="s">
        <v>108</v>
      </c>
      <c r="V824" s="101">
        <v>46220</v>
      </c>
      <c r="W824">
        <v>1</v>
      </c>
      <c r="X824">
        <v>1</v>
      </c>
      <c r="Y824">
        <v>0</v>
      </c>
      <c r="Z824">
        <v>0</v>
      </c>
      <c r="AA824">
        <v>0</v>
      </c>
    </row>
    <row r="825" spans="1:27" x14ac:dyDescent="0.3">
      <c r="A825">
        <v>5087</v>
      </c>
      <c r="B825">
        <v>26</v>
      </c>
      <c r="C825">
        <v>1</v>
      </c>
      <c r="D825">
        <v>0</v>
      </c>
      <c r="E825">
        <v>0</v>
      </c>
      <c r="F825" t="s">
        <v>907</v>
      </c>
      <c r="G825" s="101">
        <v>46221</v>
      </c>
      <c r="H825" t="s">
        <v>34</v>
      </c>
      <c r="I825" t="s">
        <v>441</v>
      </c>
      <c r="J825" t="s">
        <v>442</v>
      </c>
      <c r="K825" t="s">
        <v>382</v>
      </c>
      <c r="L825" s="39">
        <v>0.34910879629629632</v>
      </c>
      <c r="M825" s="39">
        <v>0.80903935185185183</v>
      </c>
      <c r="N825">
        <v>11.04</v>
      </c>
      <c r="O825" t="s">
        <v>1537</v>
      </c>
      <c r="P825">
        <v>0.5</v>
      </c>
      <c r="Q825" t="s">
        <v>1538</v>
      </c>
      <c r="R825">
        <v>1.92</v>
      </c>
      <c r="S825">
        <v>2.42</v>
      </c>
      <c r="T825" t="s">
        <v>601</v>
      </c>
      <c r="U825" t="s">
        <v>108</v>
      </c>
      <c r="V825" s="101">
        <v>46221</v>
      </c>
      <c r="W825">
        <v>1</v>
      </c>
      <c r="X825">
        <v>1</v>
      </c>
      <c r="Y825">
        <v>0</v>
      </c>
      <c r="Z825">
        <v>0</v>
      </c>
      <c r="AA825">
        <v>0</v>
      </c>
    </row>
    <row r="826" spans="1:27" x14ac:dyDescent="0.3">
      <c r="A826">
        <v>5087</v>
      </c>
      <c r="B826">
        <v>26</v>
      </c>
      <c r="C826">
        <v>1</v>
      </c>
      <c r="D826">
        <v>0</v>
      </c>
      <c r="E826">
        <v>0</v>
      </c>
      <c r="F826" t="s">
        <v>907</v>
      </c>
      <c r="G826" s="101">
        <v>46222</v>
      </c>
      <c r="H826" t="s">
        <v>34</v>
      </c>
      <c r="I826" t="s">
        <v>441</v>
      </c>
      <c r="J826" t="s">
        <v>442</v>
      </c>
      <c r="K826" t="s">
        <v>382</v>
      </c>
      <c r="L826" s="39">
        <v>0.35072916666666665</v>
      </c>
      <c r="M826" s="39">
        <v>0.68952546296296291</v>
      </c>
      <c r="N826">
        <v>8.1300000000000008</v>
      </c>
      <c r="O826" t="s">
        <v>1539</v>
      </c>
      <c r="P826">
        <v>0.5</v>
      </c>
      <c r="Q826" t="s">
        <v>1540</v>
      </c>
      <c r="R826">
        <v>0</v>
      </c>
      <c r="S826">
        <v>0.5</v>
      </c>
      <c r="T826" t="s">
        <v>601</v>
      </c>
      <c r="U826" t="s">
        <v>108</v>
      </c>
      <c r="V826" s="101">
        <v>46222</v>
      </c>
      <c r="W826">
        <v>1</v>
      </c>
      <c r="X826">
        <v>0</v>
      </c>
      <c r="Y826">
        <v>1</v>
      </c>
      <c r="Z826">
        <v>0</v>
      </c>
      <c r="AA826">
        <v>0</v>
      </c>
    </row>
    <row r="827" spans="1:27" x14ac:dyDescent="0.3">
      <c r="A827">
        <v>5087</v>
      </c>
      <c r="B827">
        <v>26</v>
      </c>
      <c r="C827">
        <v>1</v>
      </c>
      <c r="D827">
        <v>0</v>
      </c>
      <c r="E827">
        <v>0</v>
      </c>
      <c r="F827" t="s">
        <v>907</v>
      </c>
      <c r="G827" s="101">
        <v>46223</v>
      </c>
      <c r="H827" t="s">
        <v>34</v>
      </c>
      <c r="I827" t="s">
        <v>441</v>
      </c>
      <c r="J827" t="s">
        <v>442</v>
      </c>
      <c r="K827" t="s">
        <v>382</v>
      </c>
      <c r="L827" s="39">
        <v>0.8346527777777778</v>
      </c>
      <c r="M827" s="39">
        <v>0</v>
      </c>
      <c r="N827">
        <v>3.97</v>
      </c>
      <c r="O827" t="s">
        <v>1541</v>
      </c>
      <c r="P827">
        <v>0</v>
      </c>
      <c r="Q827" t="s">
        <v>385</v>
      </c>
      <c r="R827">
        <v>0</v>
      </c>
      <c r="S827">
        <v>0</v>
      </c>
      <c r="T827" t="s">
        <v>601</v>
      </c>
      <c r="U827" t="s">
        <v>314</v>
      </c>
      <c r="V827" s="101">
        <v>46223</v>
      </c>
      <c r="W827">
        <v>0.5</v>
      </c>
      <c r="X827">
        <v>0.5</v>
      </c>
      <c r="Y827">
        <v>0</v>
      </c>
      <c r="Z827">
        <v>0</v>
      </c>
      <c r="AA827">
        <v>0</v>
      </c>
    </row>
    <row r="828" spans="1:27" x14ac:dyDescent="0.3">
      <c r="A828">
        <v>5087</v>
      </c>
      <c r="B828">
        <v>26</v>
      </c>
      <c r="C828">
        <v>1</v>
      </c>
      <c r="D828">
        <v>0</v>
      </c>
      <c r="E828">
        <v>0</v>
      </c>
      <c r="F828" t="s">
        <v>907</v>
      </c>
      <c r="G828" s="101">
        <v>46224</v>
      </c>
      <c r="H828" t="s">
        <v>34</v>
      </c>
      <c r="I828" t="s">
        <v>441</v>
      </c>
      <c r="J828" t="s">
        <v>442</v>
      </c>
      <c r="K828" t="s">
        <v>382</v>
      </c>
      <c r="L828" s="39">
        <v>0.35243055555555558</v>
      </c>
      <c r="M828" s="39">
        <v>0.83218749999999997</v>
      </c>
      <c r="N828">
        <v>11.51</v>
      </c>
      <c r="O828" t="s">
        <v>1542</v>
      </c>
      <c r="P828">
        <v>0.5</v>
      </c>
      <c r="Q828" t="s">
        <v>1543</v>
      </c>
      <c r="R828">
        <v>2.4700000000000002</v>
      </c>
      <c r="S828">
        <v>2.97</v>
      </c>
      <c r="T828" t="s">
        <v>601</v>
      </c>
      <c r="U828" t="s">
        <v>108</v>
      </c>
      <c r="V828" s="101">
        <v>46224</v>
      </c>
      <c r="W828">
        <v>1</v>
      </c>
      <c r="X828">
        <v>1</v>
      </c>
      <c r="Y828">
        <v>0</v>
      </c>
      <c r="Z828">
        <v>0</v>
      </c>
      <c r="AA828">
        <v>0</v>
      </c>
    </row>
    <row r="829" spans="1:27" x14ac:dyDescent="0.3">
      <c r="A829">
        <v>5087</v>
      </c>
      <c r="B829">
        <v>26</v>
      </c>
      <c r="C829">
        <v>1</v>
      </c>
      <c r="D829">
        <v>0</v>
      </c>
      <c r="E829">
        <v>0</v>
      </c>
      <c r="F829" t="s">
        <v>907</v>
      </c>
      <c r="G829" s="101">
        <v>46225</v>
      </c>
      <c r="H829" t="s">
        <v>34</v>
      </c>
      <c r="I829" t="s">
        <v>441</v>
      </c>
      <c r="J829" t="s">
        <v>442</v>
      </c>
      <c r="K829" t="s">
        <v>382</v>
      </c>
      <c r="L829" s="39">
        <v>0.33400462962962962</v>
      </c>
      <c r="M829" s="39">
        <v>0.86789351851851848</v>
      </c>
      <c r="N829">
        <v>12.81</v>
      </c>
      <c r="O829" t="s">
        <v>1544</v>
      </c>
      <c r="P829">
        <v>0.98</v>
      </c>
      <c r="Q829" t="s">
        <v>1545</v>
      </c>
      <c r="R829">
        <v>3.33</v>
      </c>
      <c r="S829">
        <v>4.3100000000000005</v>
      </c>
      <c r="T829" t="s">
        <v>601</v>
      </c>
      <c r="U829" t="s">
        <v>108</v>
      </c>
      <c r="V829" s="101">
        <v>46225</v>
      </c>
      <c r="W829">
        <v>1</v>
      </c>
      <c r="X829">
        <v>1</v>
      </c>
      <c r="Y829">
        <v>0</v>
      </c>
      <c r="Z829">
        <v>0</v>
      </c>
      <c r="AA829">
        <v>0</v>
      </c>
    </row>
    <row r="830" spans="1:27" x14ac:dyDescent="0.3">
      <c r="A830">
        <v>5087</v>
      </c>
      <c r="B830">
        <v>26</v>
      </c>
      <c r="C830">
        <v>1</v>
      </c>
      <c r="D830">
        <v>0</v>
      </c>
      <c r="E830">
        <v>0</v>
      </c>
      <c r="F830" t="s">
        <v>907</v>
      </c>
      <c r="G830" s="101">
        <v>46226</v>
      </c>
      <c r="H830" t="s">
        <v>34</v>
      </c>
      <c r="I830" t="s">
        <v>441</v>
      </c>
      <c r="J830" t="s">
        <v>442</v>
      </c>
      <c r="K830" t="s">
        <v>382</v>
      </c>
      <c r="L830" s="39">
        <v>0.34478009259259257</v>
      </c>
      <c r="M830" s="39">
        <v>0.82988425925925924</v>
      </c>
      <c r="N830">
        <v>11.64</v>
      </c>
      <c r="O830" t="s">
        <v>1546</v>
      </c>
      <c r="P830">
        <v>0.5</v>
      </c>
      <c r="Q830" t="s">
        <v>1547</v>
      </c>
      <c r="R830">
        <v>2.42</v>
      </c>
      <c r="S830">
        <v>2.92</v>
      </c>
      <c r="T830" t="s">
        <v>601</v>
      </c>
      <c r="U830" t="s">
        <v>108</v>
      </c>
      <c r="V830" s="101">
        <v>46226</v>
      </c>
      <c r="W830">
        <v>1</v>
      </c>
      <c r="X830">
        <v>1</v>
      </c>
      <c r="Y830">
        <v>0</v>
      </c>
      <c r="Z830">
        <v>0</v>
      </c>
      <c r="AA830">
        <v>0</v>
      </c>
    </row>
    <row r="831" spans="1:27" x14ac:dyDescent="0.3">
      <c r="A831">
        <v>5087</v>
      </c>
      <c r="B831">
        <v>26</v>
      </c>
      <c r="C831">
        <v>1</v>
      </c>
      <c r="D831">
        <v>0</v>
      </c>
      <c r="E831">
        <v>0</v>
      </c>
      <c r="F831" t="s">
        <v>907</v>
      </c>
      <c r="G831" s="101">
        <v>46227</v>
      </c>
      <c r="H831" t="s">
        <v>34</v>
      </c>
      <c r="I831" t="s">
        <v>441</v>
      </c>
      <c r="J831" t="s">
        <v>442</v>
      </c>
      <c r="K831" t="s">
        <v>382</v>
      </c>
      <c r="L831" s="39">
        <v>0.3435185185185185</v>
      </c>
      <c r="M831" s="39">
        <v>0.82501157407407411</v>
      </c>
      <c r="N831">
        <v>11.56</v>
      </c>
      <c r="O831" t="s">
        <v>1548</v>
      </c>
      <c r="P831">
        <v>0.76</v>
      </c>
      <c r="Q831" t="s">
        <v>1549</v>
      </c>
      <c r="R831">
        <v>2.2999999999999998</v>
      </c>
      <c r="S831">
        <v>3.0599999999999996</v>
      </c>
      <c r="T831" t="s">
        <v>601</v>
      </c>
      <c r="U831" t="s">
        <v>108</v>
      </c>
      <c r="V831" s="101">
        <v>46227</v>
      </c>
      <c r="W831">
        <v>1</v>
      </c>
      <c r="X831">
        <v>1</v>
      </c>
      <c r="Y831">
        <v>0</v>
      </c>
      <c r="Z831">
        <v>0</v>
      </c>
      <c r="AA831">
        <v>0</v>
      </c>
    </row>
    <row r="832" spans="1:27" x14ac:dyDescent="0.3">
      <c r="A832">
        <v>5087</v>
      </c>
      <c r="B832">
        <v>26</v>
      </c>
      <c r="C832">
        <v>1</v>
      </c>
      <c r="D832">
        <v>0</v>
      </c>
      <c r="E832">
        <v>0</v>
      </c>
      <c r="F832" t="s">
        <v>907</v>
      </c>
      <c r="G832" s="101">
        <v>46228</v>
      </c>
      <c r="H832" t="s">
        <v>34</v>
      </c>
      <c r="I832" t="s">
        <v>441</v>
      </c>
      <c r="J832" t="s">
        <v>442</v>
      </c>
      <c r="K832" t="s">
        <v>382</v>
      </c>
      <c r="L832" s="39">
        <v>0.34863425925925928</v>
      </c>
      <c r="M832" s="39">
        <v>0.76872685185185186</v>
      </c>
      <c r="N832">
        <v>10.08</v>
      </c>
      <c r="O832" t="s">
        <v>1550</v>
      </c>
      <c r="P832">
        <v>0.5</v>
      </c>
      <c r="Q832" t="s">
        <v>1551</v>
      </c>
      <c r="R832">
        <v>0.95</v>
      </c>
      <c r="S832">
        <v>1.45</v>
      </c>
      <c r="T832" t="s">
        <v>601</v>
      </c>
      <c r="U832" t="s">
        <v>108</v>
      </c>
      <c r="V832" s="101">
        <v>46228</v>
      </c>
      <c r="W832">
        <v>1</v>
      </c>
      <c r="X832">
        <v>1</v>
      </c>
      <c r="Y832">
        <v>0</v>
      </c>
      <c r="Z832">
        <v>0</v>
      </c>
      <c r="AA832">
        <v>0</v>
      </c>
    </row>
    <row r="833" spans="1:27" x14ac:dyDescent="0.3">
      <c r="A833">
        <v>5087</v>
      </c>
      <c r="B833">
        <v>26</v>
      </c>
      <c r="C833">
        <v>1</v>
      </c>
      <c r="D833">
        <v>0</v>
      </c>
      <c r="E833">
        <v>0</v>
      </c>
      <c r="F833" t="s">
        <v>907</v>
      </c>
      <c r="G833" s="101">
        <v>46229</v>
      </c>
      <c r="H833" t="s">
        <v>34</v>
      </c>
      <c r="I833" t="s">
        <v>441</v>
      </c>
      <c r="J833" t="s">
        <v>442</v>
      </c>
      <c r="K833" t="s">
        <v>383</v>
      </c>
      <c r="L833" s="39">
        <v>0</v>
      </c>
      <c r="M833" s="39">
        <v>0</v>
      </c>
      <c r="N833">
        <v>0</v>
      </c>
      <c r="O833" t="s">
        <v>384</v>
      </c>
      <c r="P833">
        <v>9</v>
      </c>
      <c r="Q833" t="s">
        <v>385</v>
      </c>
      <c r="R833">
        <v>0</v>
      </c>
      <c r="S833">
        <v>9</v>
      </c>
      <c r="T833" t="s">
        <v>601</v>
      </c>
      <c r="U833" t="s">
        <v>366</v>
      </c>
      <c r="V833" s="101">
        <v>46229</v>
      </c>
      <c r="W833">
        <v>0</v>
      </c>
      <c r="X833">
        <v>0</v>
      </c>
      <c r="Y833">
        <v>0</v>
      </c>
      <c r="Z833">
        <v>0</v>
      </c>
      <c r="AA833">
        <v>0</v>
      </c>
    </row>
    <row r="834" spans="1:27" x14ac:dyDescent="0.3">
      <c r="A834">
        <v>5087</v>
      </c>
      <c r="B834">
        <v>26</v>
      </c>
      <c r="C834">
        <v>1</v>
      </c>
      <c r="D834">
        <v>0</v>
      </c>
      <c r="E834">
        <v>0</v>
      </c>
      <c r="F834" t="s">
        <v>907</v>
      </c>
      <c r="G834" s="101">
        <v>46230</v>
      </c>
      <c r="H834" t="s">
        <v>34</v>
      </c>
      <c r="I834" t="s">
        <v>441</v>
      </c>
      <c r="J834" t="s">
        <v>442</v>
      </c>
      <c r="K834" t="s">
        <v>382</v>
      </c>
      <c r="L834" s="39">
        <v>0.35061342592592593</v>
      </c>
      <c r="M834" s="39">
        <v>0.81637731481481479</v>
      </c>
      <c r="N834">
        <v>11.18</v>
      </c>
      <c r="O834" t="s">
        <v>1552</v>
      </c>
      <c r="P834">
        <v>0.5</v>
      </c>
      <c r="Q834" t="s">
        <v>1553</v>
      </c>
      <c r="R834">
        <v>2.09</v>
      </c>
      <c r="S834">
        <v>2.59</v>
      </c>
      <c r="T834" t="s">
        <v>601</v>
      </c>
      <c r="U834" t="s">
        <v>108</v>
      </c>
      <c r="V834" s="101">
        <v>46230</v>
      </c>
      <c r="W834">
        <v>1</v>
      </c>
      <c r="X834">
        <v>1</v>
      </c>
      <c r="Y834">
        <v>0</v>
      </c>
      <c r="Z834">
        <v>0</v>
      </c>
      <c r="AA834">
        <v>0</v>
      </c>
    </row>
    <row r="835" spans="1:27" x14ac:dyDescent="0.3">
      <c r="A835">
        <v>5087</v>
      </c>
      <c r="B835">
        <v>26</v>
      </c>
      <c r="C835">
        <v>1</v>
      </c>
      <c r="D835">
        <v>0</v>
      </c>
      <c r="E835">
        <v>0</v>
      </c>
      <c r="F835" t="s">
        <v>907</v>
      </c>
      <c r="G835" s="101">
        <v>46231</v>
      </c>
      <c r="H835" t="s">
        <v>34</v>
      </c>
      <c r="I835" t="s">
        <v>441</v>
      </c>
      <c r="J835" t="s">
        <v>442</v>
      </c>
      <c r="K835" t="s">
        <v>382</v>
      </c>
      <c r="L835" s="39">
        <v>0.35067129629629629</v>
      </c>
      <c r="M835" s="39">
        <v>0</v>
      </c>
      <c r="N835">
        <v>15.58</v>
      </c>
      <c r="O835" t="s">
        <v>1554</v>
      </c>
      <c r="P835">
        <v>0.5</v>
      </c>
      <c r="Q835" t="s">
        <v>385</v>
      </c>
      <c r="R835">
        <v>0</v>
      </c>
      <c r="S835">
        <v>0.5</v>
      </c>
      <c r="T835" t="s">
        <v>601</v>
      </c>
      <c r="U835" t="s">
        <v>108</v>
      </c>
      <c r="V835" s="101">
        <v>46231</v>
      </c>
      <c r="W835">
        <v>1</v>
      </c>
      <c r="X835">
        <v>1</v>
      </c>
      <c r="Y835">
        <v>0</v>
      </c>
      <c r="Z835">
        <v>0</v>
      </c>
      <c r="AA835">
        <v>0</v>
      </c>
    </row>
    <row r="836" spans="1:27" x14ac:dyDescent="0.3">
      <c r="A836">
        <v>5087</v>
      </c>
      <c r="B836">
        <v>26</v>
      </c>
      <c r="C836">
        <v>1</v>
      </c>
      <c r="D836">
        <v>0</v>
      </c>
      <c r="E836">
        <v>0</v>
      </c>
      <c r="F836" t="s">
        <v>907</v>
      </c>
      <c r="G836" s="101">
        <v>46232</v>
      </c>
      <c r="H836" t="s">
        <v>34</v>
      </c>
      <c r="I836" t="s">
        <v>441</v>
      </c>
      <c r="J836" t="s">
        <v>442</v>
      </c>
      <c r="K836" t="s">
        <v>382</v>
      </c>
      <c r="L836" s="39">
        <v>0.35002314814814817</v>
      </c>
      <c r="M836" s="39">
        <v>0.87351851851851847</v>
      </c>
      <c r="N836">
        <v>12.56</v>
      </c>
      <c r="O836" t="s">
        <v>1555</v>
      </c>
      <c r="P836">
        <v>0.5</v>
      </c>
      <c r="Q836" t="s">
        <v>1556</v>
      </c>
      <c r="R836">
        <v>3.46</v>
      </c>
      <c r="S836">
        <v>3.96</v>
      </c>
      <c r="T836" t="s">
        <v>601</v>
      </c>
      <c r="U836" t="s">
        <v>108</v>
      </c>
      <c r="V836" s="101">
        <v>46232</v>
      </c>
      <c r="W836">
        <v>1</v>
      </c>
      <c r="X836">
        <v>1</v>
      </c>
      <c r="Y836">
        <v>0</v>
      </c>
      <c r="Z836">
        <v>0</v>
      </c>
      <c r="AA836">
        <v>0</v>
      </c>
    </row>
    <row r="837" spans="1:27" x14ac:dyDescent="0.3">
      <c r="A837">
        <v>5087</v>
      </c>
      <c r="B837">
        <v>26</v>
      </c>
      <c r="C837">
        <v>1</v>
      </c>
      <c r="D837">
        <v>0</v>
      </c>
      <c r="E837">
        <v>0</v>
      </c>
      <c r="F837" t="s">
        <v>907</v>
      </c>
      <c r="G837" s="101">
        <v>46233</v>
      </c>
      <c r="H837" t="s">
        <v>34</v>
      </c>
      <c r="I837" t="s">
        <v>441</v>
      </c>
      <c r="J837" t="s">
        <v>442</v>
      </c>
      <c r="K837" t="s">
        <v>382</v>
      </c>
      <c r="L837" s="39">
        <v>0.34878472222222223</v>
      </c>
      <c r="M837" s="39">
        <v>0.98069444444444442</v>
      </c>
      <c r="N837">
        <v>15.17</v>
      </c>
      <c r="O837" t="s">
        <v>1557</v>
      </c>
      <c r="P837">
        <v>0.5</v>
      </c>
      <c r="Q837" t="s">
        <v>1558</v>
      </c>
      <c r="R837">
        <v>6.04</v>
      </c>
      <c r="S837">
        <v>6.54</v>
      </c>
      <c r="T837" t="s">
        <v>601</v>
      </c>
      <c r="U837" t="s">
        <v>108</v>
      </c>
      <c r="V837" s="101">
        <v>46233</v>
      </c>
      <c r="W837">
        <v>1</v>
      </c>
      <c r="X837">
        <v>1</v>
      </c>
      <c r="Y837">
        <v>0</v>
      </c>
      <c r="Z837">
        <v>0</v>
      </c>
      <c r="AA837">
        <v>0</v>
      </c>
    </row>
    <row r="838" spans="1:27" x14ac:dyDescent="0.3">
      <c r="A838">
        <v>5087</v>
      </c>
      <c r="B838">
        <v>26</v>
      </c>
      <c r="C838">
        <v>1</v>
      </c>
      <c r="D838">
        <v>0</v>
      </c>
      <c r="E838">
        <v>0</v>
      </c>
      <c r="F838" t="s">
        <v>907</v>
      </c>
      <c r="G838" s="101">
        <v>46234</v>
      </c>
      <c r="H838" t="s">
        <v>34</v>
      </c>
      <c r="I838" t="s">
        <v>441</v>
      </c>
      <c r="J838" t="s">
        <v>442</v>
      </c>
      <c r="K838" t="s">
        <v>382</v>
      </c>
      <c r="L838" s="39">
        <v>0.34446759259259258</v>
      </c>
      <c r="M838" s="39">
        <v>0.96246527777777779</v>
      </c>
      <c r="N838">
        <v>14.83</v>
      </c>
      <c r="O838" t="s">
        <v>1559</v>
      </c>
      <c r="P838">
        <v>0.5</v>
      </c>
      <c r="Q838" t="s">
        <v>1560</v>
      </c>
      <c r="R838">
        <v>5.6</v>
      </c>
      <c r="S838">
        <v>6.1</v>
      </c>
      <c r="T838" t="s">
        <v>601</v>
      </c>
      <c r="U838" t="s">
        <v>108</v>
      </c>
      <c r="V838" s="101">
        <v>46234</v>
      </c>
      <c r="W838">
        <v>1</v>
      </c>
      <c r="X838">
        <v>1</v>
      </c>
      <c r="Y838">
        <v>0</v>
      </c>
      <c r="Z838">
        <v>0</v>
      </c>
      <c r="AA838">
        <v>0</v>
      </c>
    </row>
    <row r="839" spans="1:27" x14ac:dyDescent="0.3">
      <c r="A839">
        <v>5088</v>
      </c>
      <c r="B839">
        <v>25</v>
      </c>
      <c r="C839">
        <v>2</v>
      </c>
      <c r="D839">
        <v>0</v>
      </c>
      <c r="E839">
        <v>0</v>
      </c>
      <c r="F839" t="s">
        <v>1561</v>
      </c>
      <c r="G839" s="101">
        <v>46204</v>
      </c>
      <c r="H839" t="s">
        <v>163</v>
      </c>
      <c r="I839" t="s">
        <v>445</v>
      </c>
      <c r="J839" t="s">
        <v>442</v>
      </c>
      <c r="K839" t="s">
        <v>382</v>
      </c>
      <c r="L839" s="39">
        <v>0.37331018518518516</v>
      </c>
      <c r="M839" s="39">
        <v>0.72775462962962967</v>
      </c>
      <c r="N839">
        <v>8.51</v>
      </c>
      <c r="O839" t="s">
        <v>604</v>
      </c>
      <c r="P839">
        <v>0</v>
      </c>
      <c r="Q839" t="s">
        <v>908</v>
      </c>
      <c r="R839">
        <v>0</v>
      </c>
      <c r="S839">
        <v>0</v>
      </c>
      <c r="T839" t="s">
        <v>532</v>
      </c>
      <c r="U839" t="s">
        <v>108</v>
      </c>
      <c r="V839" s="101">
        <v>46204</v>
      </c>
      <c r="W839">
        <v>1</v>
      </c>
      <c r="X839">
        <v>1</v>
      </c>
      <c r="Y839">
        <v>0</v>
      </c>
      <c r="Z839">
        <v>0</v>
      </c>
      <c r="AA839">
        <v>0</v>
      </c>
    </row>
    <row r="840" spans="1:27" x14ac:dyDescent="0.3">
      <c r="A840">
        <v>5088</v>
      </c>
      <c r="B840">
        <v>25</v>
      </c>
      <c r="C840">
        <v>2</v>
      </c>
      <c r="D840">
        <v>0</v>
      </c>
      <c r="E840">
        <v>0</v>
      </c>
      <c r="F840" t="s">
        <v>1561</v>
      </c>
      <c r="G840" s="101">
        <v>46205</v>
      </c>
      <c r="H840" t="s">
        <v>163</v>
      </c>
      <c r="I840" t="s">
        <v>445</v>
      </c>
      <c r="J840" t="s">
        <v>442</v>
      </c>
      <c r="K840" t="s">
        <v>382</v>
      </c>
      <c r="L840" s="39">
        <v>0.37410879629629629</v>
      </c>
      <c r="M840" s="39">
        <v>0.72618055555555561</v>
      </c>
      <c r="N840">
        <v>8.4499999999999993</v>
      </c>
      <c r="O840" t="s">
        <v>632</v>
      </c>
      <c r="P840">
        <v>0</v>
      </c>
      <c r="Q840" t="s">
        <v>1161</v>
      </c>
      <c r="R840">
        <v>0</v>
      </c>
      <c r="S840">
        <v>0</v>
      </c>
      <c r="T840" t="s">
        <v>532</v>
      </c>
      <c r="U840" t="s">
        <v>108</v>
      </c>
      <c r="V840" s="101">
        <v>46205</v>
      </c>
      <c r="W840">
        <v>1</v>
      </c>
      <c r="X840">
        <v>1</v>
      </c>
      <c r="Y840">
        <v>0</v>
      </c>
      <c r="Z840">
        <v>0</v>
      </c>
      <c r="AA840">
        <v>0</v>
      </c>
    </row>
    <row r="841" spans="1:27" x14ac:dyDescent="0.3">
      <c r="A841">
        <v>5088</v>
      </c>
      <c r="B841">
        <v>25</v>
      </c>
      <c r="C841">
        <v>2</v>
      </c>
      <c r="D841">
        <v>0</v>
      </c>
      <c r="E841">
        <v>0</v>
      </c>
      <c r="F841" t="s">
        <v>1561</v>
      </c>
      <c r="G841" s="101">
        <v>46206</v>
      </c>
      <c r="H841" t="s">
        <v>163</v>
      </c>
      <c r="I841" t="s">
        <v>445</v>
      </c>
      <c r="J841" t="s">
        <v>442</v>
      </c>
      <c r="K841" t="s">
        <v>382</v>
      </c>
      <c r="L841" s="39">
        <v>0.36910879629629628</v>
      </c>
      <c r="M841" s="39">
        <v>0.72781249999999997</v>
      </c>
      <c r="N841">
        <v>8.61</v>
      </c>
      <c r="O841" t="s">
        <v>1336</v>
      </c>
      <c r="P841">
        <v>0</v>
      </c>
      <c r="Q841" t="s">
        <v>458</v>
      </c>
      <c r="R841">
        <v>0</v>
      </c>
      <c r="S841">
        <v>0</v>
      </c>
      <c r="T841" t="s">
        <v>532</v>
      </c>
      <c r="U841" t="s">
        <v>108</v>
      </c>
      <c r="V841" s="101">
        <v>46206</v>
      </c>
      <c r="W841">
        <v>1</v>
      </c>
      <c r="X841">
        <v>1</v>
      </c>
      <c r="Y841">
        <v>0</v>
      </c>
      <c r="Z841">
        <v>0</v>
      </c>
      <c r="AA841">
        <v>0</v>
      </c>
    </row>
    <row r="842" spans="1:27" x14ac:dyDescent="0.3">
      <c r="A842">
        <v>5088</v>
      </c>
      <c r="B842">
        <v>25</v>
      </c>
      <c r="C842">
        <v>2</v>
      </c>
      <c r="D842">
        <v>0</v>
      </c>
      <c r="E842">
        <v>0</v>
      </c>
      <c r="F842" t="s">
        <v>1561</v>
      </c>
      <c r="G842" s="101">
        <v>46207</v>
      </c>
      <c r="H842" t="s">
        <v>163</v>
      </c>
      <c r="I842" t="s">
        <v>445</v>
      </c>
      <c r="J842" t="s">
        <v>442</v>
      </c>
      <c r="K842" t="s">
        <v>382</v>
      </c>
      <c r="L842" s="39">
        <v>0.37600694444444444</v>
      </c>
      <c r="M842" s="39">
        <v>0.72608796296296296</v>
      </c>
      <c r="N842">
        <v>8.4</v>
      </c>
      <c r="O842" t="s">
        <v>699</v>
      </c>
      <c r="P842">
        <v>0</v>
      </c>
      <c r="Q842" t="s">
        <v>1216</v>
      </c>
      <c r="R842">
        <v>0</v>
      </c>
      <c r="S842">
        <v>0</v>
      </c>
      <c r="T842" t="s">
        <v>532</v>
      </c>
      <c r="U842" t="s">
        <v>108</v>
      </c>
      <c r="V842" s="101">
        <v>46207</v>
      </c>
      <c r="W842">
        <v>1</v>
      </c>
      <c r="X842">
        <v>1</v>
      </c>
      <c r="Y842">
        <v>0</v>
      </c>
      <c r="Z842">
        <v>0</v>
      </c>
      <c r="AA842">
        <v>0</v>
      </c>
    </row>
    <row r="843" spans="1:27" x14ac:dyDescent="0.3">
      <c r="A843">
        <v>5088</v>
      </c>
      <c r="B843">
        <v>25</v>
      </c>
      <c r="C843">
        <v>2</v>
      </c>
      <c r="D843">
        <v>0</v>
      </c>
      <c r="E843">
        <v>0</v>
      </c>
      <c r="F843" t="s">
        <v>1561</v>
      </c>
      <c r="G843" s="101">
        <v>46208</v>
      </c>
      <c r="H843" t="s">
        <v>163</v>
      </c>
      <c r="I843" t="s">
        <v>445</v>
      </c>
      <c r="J843" t="s">
        <v>442</v>
      </c>
      <c r="K843" t="s">
        <v>383</v>
      </c>
      <c r="L843" s="39">
        <v>0</v>
      </c>
      <c r="M843" s="39">
        <v>0</v>
      </c>
      <c r="N843">
        <v>0</v>
      </c>
      <c r="O843" t="s">
        <v>384</v>
      </c>
      <c r="P843">
        <v>9</v>
      </c>
      <c r="Q843" t="s">
        <v>385</v>
      </c>
      <c r="R843">
        <v>0</v>
      </c>
      <c r="S843">
        <v>9</v>
      </c>
      <c r="T843" t="s">
        <v>532</v>
      </c>
      <c r="U843" t="s">
        <v>366</v>
      </c>
      <c r="V843" s="101">
        <v>46208</v>
      </c>
      <c r="W843">
        <v>0</v>
      </c>
      <c r="X843">
        <v>0</v>
      </c>
      <c r="Y843">
        <v>0</v>
      </c>
      <c r="Z843">
        <v>0</v>
      </c>
      <c r="AA843">
        <v>0</v>
      </c>
    </row>
    <row r="844" spans="1:27" x14ac:dyDescent="0.3">
      <c r="A844">
        <v>5088</v>
      </c>
      <c r="B844">
        <v>25</v>
      </c>
      <c r="C844">
        <v>2</v>
      </c>
      <c r="D844">
        <v>0</v>
      </c>
      <c r="E844">
        <v>0</v>
      </c>
      <c r="F844" t="s">
        <v>1561</v>
      </c>
      <c r="G844" s="101">
        <v>46209</v>
      </c>
      <c r="H844" t="s">
        <v>163</v>
      </c>
      <c r="I844" t="s">
        <v>445</v>
      </c>
      <c r="J844" t="s">
        <v>442</v>
      </c>
      <c r="K844" t="s">
        <v>382</v>
      </c>
      <c r="L844" s="39">
        <v>0.37450231481481483</v>
      </c>
      <c r="M844" s="39">
        <v>0.74505787037037041</v>
      </c>
      <c r="N844">
        <v>8.89</v>
      </c>
      <c r="O844" t="s">
        <v>1562</v>
      </c>
      <c r="P844">
        <v>0</v>
      </c>
      <c r="Q844" t="s">
        <v>1563</v>
      </c>
      <c r="R844">
        <v>0</v>
      </c>
      <c r="S844">
        <v>0</v>
      </c>
      <c r="T844" t="s">
        <v>532</v>
      </c>
      <c r="U844" t="s">
        <v>108</v>
      </c>
      <c r="V844" s="101">
        <v>46209</v>
      </c>
      <c r="W844">
        <v>1</v>
      </c>
      <c r="X844">
        <v>1</v>
      </c>
      <c r="Y844">
        <v>0</v>
      </c>
      <c r="Z844">
        <v>0</v>
      </c>
      <c r="AA844">
        <v>0</v>
      </c>
    </row>
    <row r="845" spans="1:27" x14ac:dyDescent="0.3">
      <c r="A845">
        <v>5088</v>
      </c>
      <c r="B845">
        <v>25</v>
      </c>
      <c r="C845">
        <v>2</v>
      </c>
      <c r="D845">
        <v>0</v>
      </c>
      <c r="E845">
        <v>0</v>
      </c>
      <c r="F845" t="s">
        <v>1561</v>
      </c>
      <c r="G845" s="101">
        <v>46210</v>
      </c>
      <c r="H845" t="s">
        <v>163</v>
      </c>
      <c r="I845" t="s">
        <v>445</v>
      </c>
      <c r="J845" t="s">
        <v>442</v>
      </c>
      <c r="K845" t="s">
        <v>382</v>
      </c>
      <c r="L845" s="39">
        <v>0.37961805555555556</v>
      </c>
      <c r="M845" s="39">
        <v>0.76839120370370373</v>
      </c>
      <c r="N845">
        <v>9.33</v>
      </c>
      <c r="O845" t="s">
        <v>1564</v>
      </c>
      <c r="P845">
        <v>0</v>
      </c>
      <c r="Q845" t="s">
        <v>1031</v>
      </c>
      <c r="R845">
        <v>0.94</v>
      </c>
      <c r="S845">
        <v>0.94</v>
      </c>
      <c r="T845" t="s">
        <v>532</v>
      </c>
      <c r="U845" t="s">
        <v>108</v>
      </c>
      <c r="V845" s="101">
        <v>46210</v>
      </c>
      <c r="W845">
        <v>1</v>
      </c>
      <c r="X845">
        <v>1</v>
      </c>
      <c r="Y845">
        <v>0</v>
      </c>
      <c r="Z845">
        <v>0</v>
      </c>
      <c r="AA845">
        <v>0</v>
      </c>
    </row>
    <row r="846" spans="1:27" x14ac:dyDescent="0.3">
      <c r="A846">
        <v>5088</v>
      </c>
      <c r="B846">
        <v>25</v>
      </c>
      <c r="C846">
        <v>2</v>
      </c>
      <c r="D846">
        <v>0</v>
      </c>
      <c r="E846">
        <v>0</v>
      </c>
      <c r="F846" t="s">
        <v>1561</v>
      </c>
      <c r="G846" s="101">
        <v>46211</v>
      </c>
      <c r="H846" t="s">
        <v>163</v>
      </c>
      <c r="I846" t="s">
        <v>445</v>
      </c>
      <c r="J846" t="s">
        <v>442</v>
      </c>
      <c r="K846" t="s">
        <v>382</v>
      </c>
      <c r="L846" s="39">
        <v>0.36684027777777778</v>
      </c>
      <c r="M846" s="39">
        <v>0.76857638888888891</v>
      </c>
      <c r="N846">
        <v>9.64</v>
      </c>
      <c r="O846" t="s">
        <v>1565</v>
      </c>
      <c r="P846">
        <v>0</v>
      </c>
      <c r="Q846" t="s">
        <v>1136</v>
      </c>
      <c r="R846">
        <v>0.95</v>
      </c>
      <c r="S846">
        <v>0.95</v>
      </c>
      <c r="T846" t="s">
        <v>532</v>
      </c>
      <c r="U846" t="s">
        <v>108</v>
      </c>
      <c r="V846" s="101">
        <v>46211</v>
      </c>
      <c r="W846">
        <v>1</v>
      </c>
      <c r="X846">
        <v>1</v>
      </c>
      <c r="Y846">
        <v>0</v>
      </c>
      <c r="Z846">
        <v>0</v>
      </c>
      <c r="AA846">
        <v>0</v>
      </c>
    </row>
    <row r="847" spans="1:27" x14ac:dyDescent="0.3">
      <c r="A847">
        <v>5088</v>
      </c>
      <c r="B847">
        <v>25</v>
      </c>
      <c r="C847">
        <v>2</v>
      </c>
      <c r="D847">
        <v>0</v>
      </c>
      <c r="E847">
        <v>0</v>
      </c>
      <c r="F847" t="s">
        <v>1561</v>
      </c>
      <c r="G847" s="101">
        <v>46212</v>
      </c>
      <c r="H847" t="s">
        <v>163</v>
      </c>
      <c r="I847" t="s">
        <v>445</v>
      </c>
      <c r="J847" t="s">
        <v>442</v>
      </c>
      <c r="K847" t="s">
        <v>382</v>
      </c>
      <c r="L847" s="39">
        <v>0.37251157407407409</v>
      </c>
      <c r="M847" s="39">
        <v>0.76827546296296301</v>
      </c>
      <c r="N847">
        <v>9.5</v>
      </c>
      <c r="O847" t="s">
        <v>751</v>
      </c>
      <c r="P847">
        <v>0</v>
      </c>
      <c r="Q847" t="s">
        <v>1028</v>
      </c>
      <c r="R847">
        <v>0.94</v>
      </c>
      <c r="S847">
        <v>0.94</v>
      </c>
      <c r="T847" t="s">
        <v>532</v>
      </c>
      <c r="U847" t="s">
        <v>108</v>
      </c>
      <c r="V847" s="101">
        <v>46212</v>
      </c>
      <c r="W847">
        <v>1</v>
      </c>
      <c r="X847">
        <v>1</v>
      </c>
      <c r="Y847">
        <v>0</v>
      </c>
      <c r="Z847">
        <v>0</v>
      </c>
      <c r="AA847">
        <v>0</v>
      </c>
    </row>
    <row r="848" spans="1:27" x14ac:dyDescent="0.3">
      <c r="A848">
        <v>5088</v>
      </c>
      <c r="B848">
        <v>25</v>
      </c>
      <c r="C848">
        <v>2</v>
      </c>
      <c r="D848">
        <v>0</v>
      </c>
      <c r="E848">
        <v>0</v>
      </c>
      <c r="F848" t="s">
        <v>1561</v>
      </c>
      <c r="G848" s="101">
        <v>46213</v>
      </c>
      <c r="H848" t="s">
        <v>163</v>
      </c>
      <c r="I848" t="s">
        <v>445</v>
      </c>
      <c r="J848" t="s">
        <v>442</v>
      </c>
      <c r="K848" t="s">
        <v>382</v>
      </c>
      <c r="L848" s="39">
        <v>0.37334490740740739</v>
      </c>
      <c r="M848" s="39">
        <v>0.7678935185185185</v>
      </c>
      <c r="N848">
        <v>9.4700000000000006</v>
      </c>
      <c r="O848" t="s">
        <v>582</v>
      </c>
      <c r="P848">
        <v>0</v>
      </c>
      <c r="Q848" t="s">
        <v>1566</v>
      </c>
      <c r="R848">
        <v>0.93</v>
      </c>
      <c r="S848">
        <v>0.93</v>
      </c>
      <c r="T848" t="s">
        <v>532</v>
      </c>
      <c r="U848" t="s">
        <v>108</v>
      </c>
      <c r="V848" s="101">
        <v>46213</v>
      </c>
      <c r="W848">
        <v>1</v>
      </c>
      <c r="X848">
        <v>1</v>
      </c>
      <c r="Y848">
        <v>0</v>
      </c>
      <c r="Z848">
        <v>0</v>
      </c>
      <c r="AA848">
        <v>0</v>
      </c>
    </row>
    <row r="849" spans="1:27" x14ac:dyDescent="0.3">
      <c r="A849">
        <v>5088</v>
      </c>
      <c r="B849">
        <v>25</v>
      </c>
      <c r="C849">
        <v>2</v>
      </c>
      <c r="D849">
        <v>0</v>
      </c>
      <c r="E849">
        <v>0</v>
      </c>
      <c r="F849" t="s">
        <v>1561</v>
      </c>
      <c r="G849" s="101">
        <v>46214</v>
      </c>
      <c r="H849" t="s">
        <v>163</v>
      </c>
      <c r="I849" t="s">
        <v>445</v>
      </c>
      <c r="J849" t="s">
        <v>442</v>
      </c>
      <c r="K849" t="s">
        <v>382</v>
      </c>
      <c r="L849" s="39">
        <v>0.375</v>
      </c>
      <c r="M849" s="39">
        <v>0.76906249999999998</v>
      </c>
      <c r="N849">
        <v>9.4600000000000009</v>
      </c>
      <c r="O849" t="s">
        <v>418</v>
      </c>
      <c r="P849">
        <v>0</v>
      </c>
      <c r="Q849" t="s">
        <v>1567</v>
      </c>
      <c r="R849">
        <v>0.96</v>
      </c>
      <c r="S849">
        <v>0.96</v>
      </c>
      <c r="T849" t="s">
        <v>532</v>
      </c>
      <c r="U849" t="s">
        <v>108</v>
      </c>
      <c r="V849" s="101">
        <v>46214</v>
      </c>
      <c r="W849">
        <v>1</v>
      </c>
      <c r="X849">
        <v>1</v>
      </c>
      <c r="Y849">
        <v>0</v>
      </c>
      <c r="Z849">
        <v>0</v>
      </c>
      <c r="AA849">
        <v>0</v>
      </c>
    </row>
    <row r="850" spans="1:27" x14ac:dyDescent="0.3">
      <c r="A850">
        <v>5088</v>
      </c>
      <c r="B850">
        <v>25</v>
      </c>
      <c r="C850">
        <v>2</v>
      </c>
      <c r="D850">
        <v>0</v>
      </c>
      <c r="E850">
        <v>0</v>
      </c>
      <c r="F850" t="s">
        <v>1561</v>
      </c>
      <c r="G850" s="101">
        <v>46215</v>
      </c>
      <c r="H850" t="s">
        <v>163</v>
      </c>
      <c r="I850" t="s">
        <v>445</v>
      </c>
      <c r="J850" t="s">
        <v>442</v>
      </c>
      <c r="K850" t="s">
        <v>383</v>
      </c>
      <c r="L850" s="39">
        <v>0</v>
      </c>
      <c r="M850" s="39">
        <v>0</v>
      </c>
      <c r="N850">
        <v>0</v>
      </c>
      <c r="O850" t="s">
        <v>384</v>
      </c>
      <c r="P850">
        <v>9</v>
      </c>
      <c r="Q850" t="s">
        <v>385</v>
      </c>
      <c r="R850">
        <v>0</v>
      </c>
      <c r="S850">
        <v>9</v>
      </c>
      <c r="T850" t="s">
        <v>532</v>
      </c>
      <c r="U850" t="s">
        <v>366</v>
      </c>
      <c r="V850" s="101">
        <v>46215</v>
      </c>
      <c r="W850">
        <v>0</v>
      </c>
      <c r="X850">
        <v>0</v>
      </c>
      <c r="Y850">
        <v>0</v>
      </c>
      <c r="Z850">
        <v>0</v>
      </c>
      <c r="AA850">
        <v>0</v>
      </c>
    </row>
    <row r="851" spans="1:27" x14ac:dyDescent="0.3">
      <c r="A851">
        <v>5088</v>
      </c>
      <c r="B851">
        <v>25</v>
      </c>
      <c r="C851">
        <v>2</v>
      </c>
      <c r="D851">
        <v>0</v>
      </c>
      <c r="E851">
        <v>0</v>
      </c>
      <c r="F851" t="s">
        <v>1561</v>
      </c>
      <c r="G851" s="101">
        <v>46216</v>
      </c>
      <c r="H851" t="s">
        <v>163</v>
      </c>
      <c r="I851" t="s">
        <v>445</v>
      </c>
      <c r="J851" t="s">
        <v>442</v>
      </c>
      <c r="K851" t="s">
        <v>382</v>
      </c>
      <c r="L851" s="39">
        <v>0.36503472222222222</v>
      </c>
      <c r="M851" s="39">
        <v>0.76908564814814817</v>
      </c>
      <c r="N851">
        <v>9.6999999999999993</v>
      </c>
      <c r="O851" t="s">
        <v>1568</v>
      </c>
      <c r="P851">
        <v>0</v>
      </c>
      <c r="Q851" t="s">
        <v>1212</v>
      </c>
      <c r="R851">
        <v>0.96</v>
      </c>
      <c r="S851">
        <v>0.96</v>
      </c>
      <c r="T851" t="s">
        <v>532</v>
      </c>
      <c r="U851" t="s">
        <v>108</v>
      </c>
      <c r="V851" s="101">
        <v>46216</v>
      </c>
      <c r="W851">
        <v>1</v>
      </c>
      <c r="X851">
        <v>1</v>
      </c>
      <c r="Y851">
        <v>0</v>
      </c>
      <c r="Z851">
        <v>0</v>
      </c>
      <c r="AA851">
        <v>0</v>
      </c>
    </row>
    <row r="852" spans="1:27" x14ac:dyDescent="0.3">
      <c r="A852">
        <v>5088</v>
      </c>
      <c r="B852">
        <v>25</v>
      </c>
      <c r="C852">
        <v>2</v>
      </c>
      <c r="D852">
        <v>0</v>
      </c>
      <c r="E852">
        <v>0</v>
      </c>
      <c r="F852" t="s">
        <v>1561</v>
      </c>
      <c r="G852" s="101">
        <v>46217</v>
      </c>
      <c r="H852" t="s">
        <v>163</v>
      </c>
      <c r="I852" t="s">
        <v>445</v>
      </c>
      <c r="J852" t="s">
        <v>442</v>
      </c>
      <c r="K852" t="s">
        <v>382</v>
      </c>
      <c r="L852" s="39">
        <v>0.37437500000000001</v>
      </c>
      <c r="M852" s="39">
        <v>0.76851851851851849</v>
      </c>
      <c r="N852">
        <v>9.4600000000000009</v>
      </c>
      <c r="O852" t="s">
        <v>786</v>
      </c>
      <c r="P852">
        <v>0</v>
      </c>
      <c r="Q852" t="s">
        <v>1131</v>
      </c>
      <c r="R852">
        <v>0.94</v>
      </c>
      <c r="S852">
        <v>0.94</v>
      </c>
      <c r="T852" t="s">
        <v>532</v>
      </c>
      <c r="U852" t="s">
        <v>108</v>
      </c>
      <c r="V852" s="101">
        <v>46217</v>
      </c>
      <c r="W852">
        <v>1</v>
      </c>
      <c r="X852">
        <v>1</v>
      </c>
      <c r="Y852">
        <v>0</v>
      </c>
      <c r="Z852">
        <v>0</v>
      </c>
      <c r="AA852">
        <v>0</v>
      </c>
    </row>
    <row r="853" spans="1:27" x14ac:dyDescent="0.3">
      <c r="A853">
        <v>5088</v>
      </c>
      <c r="B853">
        <v>25</v>
      </c>
      <c r="C853">
        <v>2</v>
      </c>
      <c r="D853">
        <v>0</v>
      </c>
      <c r="E853">
        <v>0</v>
      </c>
      <c r="F853" t="s">
        <v>1561</v>
      </c>
      <c r="G853" s="101">
        <v>46218</v>
      </c>
      <c r="H853" t="s">
        <v>163</v>
      </c>
      <c r="I853" t="s">
        <v>445</v>
      </c>
      <c r="J853" t="s">
        <v>442</v>
      </c>
      <c r="K853" t="s">
        <v>383</v>
      </c>
      <c r="L853" s="39">
        <v>0</v>
      </c>
      <c r="M853" s="39">
        <v>0</v>
      </c>
      <c r="N853">
        <v>0</v>
      </c>
      <c r="O853" t="s">
        <v>384</v>
      </c>
      <c r="P853">
        <v>9</v>
      </c>
      <c r="Q853" t="s">
        <v>385</v>
      </c>
      <c r="R853">
        <v>0</v>
      </c>
      <c r="S853">
        <v>9</v>
      </c>
      <c r="T853" t="s">
        <v>532</v>
      </c>
      <c r="U853" t="s">
        <v>366</v>
      </c>
      <c r="V853" s="101">
        <v>46218</v>
      </c>
      <c r="W853">
        <v>0</v>
      </c>
      <c r="X853">
        <v>0</v>
      </c>
      <c r="Y853">
        <v>0</v>
      </c>
      <c r="Z853">
        <v>0</v>
      </c>
      <c r="AA853">
        <v>0</v>
      </c>
    </row>
    <row r="854" spans="1:27" x14ac:dyDescent="0.3">
      <c r="A854">
        <v>5088</v>
      </c>
      <c r="B854">
        <v>25</v>
      </c>
      <c r="C854">
        <v>2</v>
      </c>
      <c r="D854">
        <v>0</v>
      </c>
      <c r="E854">
        <v>0</v>
      </c>
      <c r="F854" t="s">
        <v>1561</v>
      </c>
      <c r="G854" s="101">
        <v>46219</v>
      </c>
      <c r="H854" t="s">
        <v>163</v>
      </c>
      <c r="I854" t="s">
        <v>445</v>
      </c>
      <c r="J854" t="s">
        <v>442</v>
      </c>
      <c r="K854" t="s">
        <v>382</v>
      </c>
      <c r="L854" s="39">
        <v>0.37591435185185185</v>
      </c>
      <c r="M854" s="39">
        <v>0.76829861111111108</v>
      </c>
      <c r="N854">
        <v>9.42</v>
      </c>
      <c r="O854" t="s">
        <v>782</v>
      </c>
      <c r="P854">
        <v>0</v>
      </c>
      <c r="Q854" t="s">
        <v>1083</v>
      </c>
      <c r="R854">
        <v>0.94</v>
      </c>
      <c r="S854">
        <v>0.94</v>
      </c>
      <c r="T854" t="s">
        <v>532</v>
      </c>
      <c r="U854" t="s">
        <v>108</v>
      </c>
      <c r="V854" s="101">
        <v>46219</v>
      </c>
      <c r="W854">
        <v>1</v>
      </c>
      <c r="X854">
        <v>1</v>
      </c>
      <c r="Y854">
        <v>0</v>
      </c>
      <c r="Z854">
        <v>0</v>
      </c>
      <c r="AA854">
        <v>0</v>
      </c>
    </row>
    <row r="855" spans="1:27" x14ac:dyDescent="0.3">
      <c r="A855">
        <v>5088</v>
      </c>
      <c r="B855">
        <v>25</v>
      </c>
      <c r="C855">
        <v>2</v>
      </c>
      <c r="D855">
        <v>0</v>
      </c>
      <c r="E855">
        <v>0</v>
      </c>
      <c r="F855" t="s">
        <v>1561</v>
      </c>
      <c r="G855" s="101">
        <v>46220</v>
      </c>
      <c r="H855" t="s">
        <v>163</v>
      </c>
      <c r="I855" t="s">
        <v>445</v>
      </c>
      <c r="J855" t="s">
        <v>442</v>
      </c>
      <c r="K855" t="s">
        <v>382</v>
      </c>
      <c r="L855" s="39">
        <v>0.37087962962962961</v>
      </c>
      <c r="M855" s="39">
        <v>0.76719907407407406</v>
      </c>
      <c r="N855">
        <v>9.51</v>
      </c>
      <c r="O855" t="s">
        <v>569</v>
      </c>
      <c r="P855">
        <v>0</v>
      </c>
      <c r="Q855" t="s">
        <v>770</v>
      </c>
      <c r="R855">
        <v>0.91</v>
      </c>
      <c r="S855">
        <v>0.91</v>
      </c>
      <c r="T855" t="s">
        <v>532</v>
      </c>
      <c r="U855" t="s">
        <v>108</v>
      </c>
      <c r="V855" s="101">
        <v>46220</v>
      </c>
      <c r="W855">
        <v>1</v>
      </c>
      <c r="X855">
        <v>1</v>
      </c>
      <c r="Y855">
        <v>0</v>
      </c>
      <c r="Z855">
        <v>0</v>
      </c>
      <c r="AA855">
        <v>0</v>
      </c>
    </row>
    <row r="856" spans="1:27" x14ac:dyDescent="0.3">
      <c r="A856">
        <v>5088</v>
      </c>
      <c r="B856">
        <v>25</v>
      </c>
      <c r="C856">
        <v>2</v>
      </c>
      <c r="D856">
        <v>0</v>
      </c>
      <c r="E856">
        <v>0</v>
      </c>
      <c r="F856" t="s">
        <v>1561</v>
      </c>
      <c r="G856" s="101">
        <v>46221</v>
      </c>
      <c r="H856" t="s">
        <v>163</v>
      </c>
      <c r="I856" t="s">
        <v>445</v>
      </c>
      <c r="J856" t="s">
        <v>442</v>
      </c>
      <c r="K856" t="s">
        <v>382</v>
      </c>
      <c r="L856" s="39">
        <v>0.36054398148148148</v>
      </c>
      <c r="M856" s="39">
        <v>0.72902777777777783</v>
      </c>
      <c r="N856">
        <v>8.84</v>
      </c>
      <c r="O856" t="s">
        <v>1569</v>
      </c>
      <c r="P856">
        <v>0</v>
      </c>
      <c r="Q856" t="s">
        <v>1122</v>
      </c>
      <c r="R856">
        <v>0</v>
      </c>
      <c r="S856">
        <v>0</v>
      </c>
      <c r="T856" t="s">
        <v>532</v>
      </c>
      <c r="U856" t="s">
        <v>108</v>
      </c>
      <c r="V856" s="101">
        <v>46221</v>
      </c>
      <c r="W856">
        <v>1</v>
      </c>
      <c r="X856">
        <v>1</v>
      </c>
      <c r="Y856">
        <v>0</v>
      </c>
      <c r="Z856">
        <v>0</v>
      </c>
      <c r="AA856">
        <v>0</v>
      </c>
    </row>
    <row r="857" spans="1:27" x14ac:dyDescent="0.3">
      <c r="A857">
        <v>5088</v>
      </c>
      <c r="B857">
        <v>25</v>
      </c>
      <c r="C857">
        <v>2</v>
      </c>
      <c r="D857">
        <v>0</v>
      </c>
      <c r="E857">
        <v>0</v>
      </c>
      <c r="F857" t="s">
        <v>1561</v>
      </c>
      <c r="G857" s="101">
        <v>46222</v>
      </c>
      <c r="H857" t="s">
        <v>163</v>
      </c>
      <c r="I857" t="s">
        <v>445</v>
      </c>
      <c r="J857" t="s">
        <v>442</v>
      </c>
      <c r="K857" t="s">
        <v>383</v>
      </c>
      <c r="L857" s="39">
        <v>0</v>
      </c>
      <c r="M857" s="39">
        <v>0</v>
      </c>
      <c r="N857">
        <v>0</v>
      </c>
      <c r="O857" t="s">
        <v>384</v>
      </c>
      <c r="P857">
        <v>9</v>
      </c>
      <c r="Q857" t="s">
        <v>385</v>
      </c>
      <c r="R857">
        <v>0</v>
      </c>
      <c r="S857">
        <v>9</v>
      </c>
      <c r="T857" t="s">
        <v>532</v>
      </c>
      <c r="U857" t="s">
        <v>366</v>
      </c>
      <c r="V857" s="101">
        <v>46222</v>
      </c>
      <c r="W857">
        <v>0</v>
      </c>
      <c r="X857">
        <v>0</v>
      </c>
      <c r="Y857">
        <v>0</v>
      </c>
      <c r="Z857">
        <v>0</v>
      </c>
      <c r="AA857">
        <v>0</v>
      </c>
    </row>
    <row r="858" spans="1:27" x14ac:dyDescent="0.3">
      <c r="A858">
        <v>5088</v>
      </c>
      <c r="B858">
        <v>25</v>
      </c>
      <c r="C858">
        <v>2</v>
      </c>
      <c r="D858">
        <v>0</v>
      </c>
      <c r="E858">
        <v>0</v>
      </c>
      <c r="F858" t="s">
        <v>1561</v>
      </c>
      <c r="G858" s="101">
        <v>46223</v>
      </c>
      <c r="H858" t="s">
        <v>163</v>
      </c>
      <c r="I858" t="s">
        <v>445</v>
      </c>
      <c r="J858" t="s">
        <v>442</v>
      </c>
      <c r="K858" t="s">
        <v>382</v>
      </c>
      <c r="L858" s="39">
        <v>0.3800810185185185</v>
      </c>
      <c r="M858" s="39">
        <v>0.76806712962962964</v>
      </c>
      <c r="N858">
        <v>9.31</v>
      </c>
      <c r="O858" t="s">
        <v>1102</v>
      </c>
      <c r="P858">
        <v>0</v>
      </c>
      <c r="Q858" t="s">
        <v>1065</v>
      </c>
      <c r="R858">
        <v>0.93</v>
      </c>
      <c r="S858">
        <v>0.93</v>
      </c>
      <c r="T858" t="s">
        <v>532</v>
      </c>
      <c r="U858" t="s">
        <v>108</v>
      </c>
      <c r="V858" s="101">
        <v>46223</v>
      </c>
      <c r="W858">
        <v>1</v>
      </c>
      <c r="X858">
        <v>1</v>
      </c>
      <c r="Y858">
        <v>0</v>
      </c>
      <c r="Z858">
        <v>0</v>
      </c>
      <c r="AA858">
        <v>0</v>
      </c>
    </row>
    <row r="859" spans="1:27" x14ac:dyDescent="0.3">
      <c r="A859">
        <v>5088</v>
      </c>
      <c r="B859">
        <v>25</v>
      </c>
      <c r="C859">
        <v>2</v>
      </c>
      <c r="D859">
        <v>0</v>
      </c>
      <c r="E859">
        <v>0</v>
      </c>
      <c r="F859" t="s">
        <v>1561</v>
      </c>
      <c r="G859" s="101">
        <v>46224</v>
      </c>
      <c r="H859" t="s">
        <v>163</v>
      </c>
      <c r="I859" t="s">
        <v>445</v>
      </c>
      <c r="J859" t="s">
        <v>442</v>
      </c>
      <c r="K859" t="s">
        <v>382</v>
      </c>
      <c r="L859" s="39">
        <v>0.37074074074074076</v>
      </c>
      <c r="M859" s="39">
        <v>0.7273263888888889</v>
      </c>
      <c r="N859">
        <v>8.56</v>
      </c>
      <c r="O859" t="s">
        <v>596</v>
      </c>
      <c r="P859">
        <v>0</v>
      </c>
      <c r="Q859" t="s">
        <v>607</v>
      </c>
      <c r="R859">
        <v>0</v>
      </c>
      <c r="S859">
        <v>0</v>
      </c>
      <c r="T859" t="s">
        <v>532</v>
      </c>
      <c r="U859" t="s">
        <v>108</v>
      </c>
      <c r="V859" s="101">
        <v>46224</v>
      </c>
      <c r="W859">
        <v>1</v>
      </c>
      <c r="X859">
        <v>1</v>
      </c>
      <c r="Y859">
        <v>0</v>
      </c>
      <c r="Z859">
        <v>0</v>
      </c>
      <c r="AA859">
        <v>0</v>
      </c>
    </row>
    <row r="860" spans="1:27" x14ac:dyDescent="0.3">
      <c r="A860">
        <v>5088</v>
      </c>
      <c r="B860">
        <v>25</v>
      </c>
      <c r="C860">
        <v>2</v>
      </c>
      <c r="D860">
        <v>0</v>
      </c>
      <c r="E860">
        <v>0</v>
      </c>
      <c r="F860" t="s">
        <v>1561</v>
      </c>
      <c r="G860" s="101">
        <v>46225</v>
      </c>
      <c r="H860" t="s">
        <v>163</v>
      </c>
      <c r="I860" t="s">
        <v>445</v>
      </c>
      <c r="J860" t="s">
        <v>442</v>
      </c>
      <c r="K860" t="s">
        <v>382</v>
      </c>
      <c r="L860" s="39">
        <v>0.37008101851851855</v>
      </c>
      <c r="M860" s="39">
        <v>0.76836805555555554</v>
      </c>
      <c r="N860">
        <v>9.56</v>
      </c>
      <c r="O860" t="s">
        <v>552</v>
      </c>
      <c r="P860">
        <v>0</v>
      </c>
      <c r="Q860" t="s">
        <v>1030</v>
      </c>
      <c r="R860">
        <v>0.94</v>
      </c>
      <c r="S860">
        <v>0.94</v>
      </c>
      <c r="T860" t="s">
        <v>532</v>
      </c>
      <c r="U860" t="s">
        <v>108</v>
      </c>
      <c r="V860" s="101">
        <v>46225</v>
      </c>
      <c r="W860">
        <v>1</v>
      </c>
      <c r="X860">
        <v>1</v>
      </c>
      <c r="Y860">
        <v>0</v>
      </c>
      <c r="Z860">
        <v>0</v>
      </c>
      <c r="AA860">
        <v>0</v>
      </c>
    </row>
    <row r="861" spans="1:27" x14ac:dyDescent="0.3">
      <c r="A861">
        <v>5088</v>
      </c>
      <c r="B861">
        <v>25</v>
      </c>
      <c r="C861">
        <v>2</v>
      </c>
      <c r="D861">
        <v>0</v>
      </c>
      <c r="E861">
        <v>0</v>
      </c>
      <c r="F861" t="s">
        <v>1561</v>
      </c>
      <c r="G861" s="101">
        <v>46226</v>
      </c>
      <c r="H861" t="s">
        <v>163</v>
      </c>
      <c r="I861" t="s">
        <v>445</v>
      </c>
      <c r="J861" t="s">
        <v>442</v>
      </c>
      <c r="K861" t="s">
        <v>382</v>
      </c>
      <c r="L861" s="39">
        <v>0.37457175925925928</v>
      </c>
      <c r="M861" s="39">
        <v>0.76790509259259254</v>
      </c>
      <c r="N861">
        <v>9.44</v>
      </c>
      <c r="O861" t="s">
        <v>504</v>
      </c>
      <c r="P861">
        <v>0</v>
      </c>
      <c r="Q861" t="s">
        <v>778</v>
      </c>
      <c r="R861">
        <v>0.93</v>
      </c>
      <c r="S861">
        <v>0.93</v>
      </c>
      <c r="T861" t="s">
        <v>532</v>
      </c>
      <c r="U861" t="s">
        <v>108</v>
      </c>
      <c r="V861" s="101">
        <v>46226</v>
      </c>
      <c r="W861">
        <v>1</v>
      </c>
      <c r="X861">
        <v>1</v>
      </c>
      <c r="Y861">
        <v>0</v>
      </c>
      <c r="Z861">
        <v>0</v>
      </c>
      <c r="AA861">
        <v>0</v>
      </c>
    </row>
    <row r="862" spans="1:27" x14ac:dyDescent="0.3">
      <c r="A862">
        <v>5088</v>
      </c>
      <c r="B862">
        <v>25</v>
      </c>
      <c r="C862">
        <v>2</v>
      </c>
      <c r="D862">
        <v>0</v>
      </c>
      <c r="E862">
        <v>0</v>
      </c>
      <c r="F862" t="s">
        <v>1561</v>
      </c>
      <c r="G862" s="101">
        <v>46227</v>
      </c>
      <c r="H862" t="s">
        <v>163</v>
      </c>
      <c r="I862" t="s">
        <v>445</v>
      </c>
      <c r="J862" t="s">
        <v>442</v>
      </c>
      <c r="K862" t="s">
        <v>382</v>
      </c>
      <c r="L862" s="39">
        <v>0.37195601851851851</v>
      </c>
      <c r="M862" s="39">
        <v>0.76872685185185186</v>
      </c>
      <c r="N862">
        <v>9.52</v>
      </c>
      <c r="O862" t="s">
        <v>549</v>
      </c>
      <c r="P862">
        <v>0</v>
      </c>
      <c r="Q862" t="s">
        <v>1551</v>
      </c>
      <c r="R862">
        <v>0.95</v>
      </c>
      <c r="S862">
        <v>0.95</v>
      </c>
      <c r="T862" t="s">
        <v>532</v>
      </c>
      <c r="U862" t="s">
        <v>108</v>
      </c>
      <c r="V862" s="101">
        <v>46227</v>
      </c>
      <c r="W862">
        <v>1</v>
      </c>
      <c r="X862">
        <v>1</v>
      </c>
      <c r="Y862">
        <v>0</v>
      </c>
      <c r="Z862">
        <v>0</v>
      </c>
      <c r="AA862">
        <v>0</v>
      </c>
    </row>
    <row r="863" spans="1:27" x14ac:dyDescent="0.3">
      <c r="A863">
        <v>5088</v>
      </c>
      <c r="B863">
        <v>25</v>
      </c>
      <c r="C863">
        <v>2</v>
      </c>
      <c r="D863">
        <v>0</v>
      </c>
      <c r="E863">
        <v>0</v>
      </c>
      <c r="F863" t="s">
        <v>1561</v>
      </c>
      <c r="G863" s="101">
        <v>46228</v>
      </c>
      <c r="H863" t="s">
        <v>163</v>
      </c>
      <c r="I863" t="s">
        <v>445</v>
      </c>
      <c r="J863" t="s">
        <v>442</v>
      </c>
      <c r="K863" t="s">
        <v>383</v>
      </c>
      <c r="L863" s="39">
        <v>0</v>
      </c>
      <c r="M863" s="39">
        <v>0</v>
      </c>
      <c r="N863">
        <v>0</v>
      </c>
      <c r="O863" t="s">
        <v>384</v>
      </c>
      <c r="P863">
        <v>9</v>
      </c>
      <c r="Q863" t="s">
        <v>385</v>
      </c>
      <c r="R863">
        <v>0</v>
      </c>
      <c r="S863">
        <v>9</v>
      </c>
      <c r="T863" t="s">
        <v>532</v>
      </c>
      <c r="U863" t="s">
        <v>366</v>
      </c>
      <c r="V863" s="101">
        <v>46228</v>
      </c>
      <c r="W863">
        <v>0</v>
      </c>
      <c r="X863">
        <v>0</v>
      </c>
      <c r="Y863">
        <v>0</v>
      </c>
      <c r="Z863">
        <v>0</v>
      </c>
      <c r="AA863">
        <v>0</v>
      </c>
    </row>
    <row r="864" spans="1:27" x14ac:dyDescent="0.3">
      <c r="A864">
        <v>5088</v>
      </c>
      <c r="B864">
        <v>25</v>
      </c>
      <c r="C864">
        <v>2</v>
      </c>
      <c r="D864">
        <v>0</v>
      </c>
      <c r="E864">
        <v>0</v>
      </c>
      <c r="F864" t="s">
        <v>1561</v>
      </c>
      <c r="G864" s="101">
        <v>46229</v>
      </c>
      <c r="H864" t="s">
        <v>163</v>
      </c>
      <c r="I864" t="s">
        <v>445</v>
      </c>
      <c r="J864" t="s">
        <v>442</v>
      </c>
      <c r="K864" t="s">
        <v>383</v>
      </c>
      <c r="L864" s="39">
        <v>0</v>
      </c>
      <c r="M864" s="39">
        <v>0</v>
      </c>
      <c r="N864">
        <v>0</v>
      </c>
      <c r="O864" t="s">
        <v>384</v>
      </c>
      <c r="P864">
        <v>9</v>
      </c>
      <c r="Q864" t="s">
        <v>385</v>
      </c>
      <c r="R864">
        <v>0</v>
      </c>
      <c r="S864">
        <v>9</v>
      </c>
      <c r="T864" t="s">
        <v>532</v>
      </c>
      <c r="U864" t="s">
        <v>366</v>
      </c>
      <c r="V864" s="101">
        <v>46229</v>
      </c>
      <c r="W864">
        <v>0</v>
      </c>
      <c r="X864">
        <v>0</v>
      </c>
      <c r="Y864">
        <v>0</v>
      </c>
      <c r="Z864">
        <v>0</v>
      </c>
      <c r="AA864">
        <v>0</v>
      </c>
    </row>
    <row r="865" spans="1:27" x14ac:dyDescent="0.3">
      <c r="A865">
        <v>5088</v>
      </c>
      <c r="B865">
        <v>25</v>
      </c>
      <c r="C865">
        <v>2</v>
      </c>
      <c r="D865">
        <v>0</v>
      </c>
      <c r="E865">
        <v>0</v>
      </c>
      <c r="F865" t="s">
        <v>1561</v>
      </c>
      <c r="G865" s="101">
        <v>46230</v>
      </c>
      <c r="H865" t="s">
        <v>163</v>
      </c>
      <c r="I865" t="s">
        <v>445</v>
      </c>
      <c r="J865" t="s">
        <v>442</v>
      </c>
      <c r="K865" t="s">
        <v>382</v>
      </c>
      <c r="L865" s="39">
        <v>0.37189814814814814</v>
      </c>
      <c r="M865" s="39">
        <v>0.72968750000000004</v>
      </c>
      <c r="N865">
        <v>8.59</v>
      </c>
      <c r="O865" t="s">
        <v>950</v>
      </c>
      <c r="P865">
        <v>0</v>
      </c>
      <c r="Q865" t="s">
        <v>783</v>
      </c>
      <c r="R865">
        <v>0</v>
      </c>
      <c r="S865">
        <v>0</v>
      </c>
      <c r="T865" t="s">
        <v>532</v>
      </c>
      <c r="U865" t="s">
        <v>108</v>
      </c>
      <c r="V865" s="101">
        <v>46230</v>
      </c>
      <c r="W865">
        <v>1</v>
      </c>
      <c r="X865">
        <v>1</v>
      </c>
      <c r="Y865">
        <v>0</v>
      </c>
      <c r="Z865">
        <v>0</v>
      </c>
      <c r="AA865">
        <v>0</v>
      </c>
    </row>
    <row r="866" spans="1:27" x14ac:dyDescent="0.3">
      <c r="A866">
        <v>5088</v>
      </c>
      <c r="B866">
        <v>25</v>
      </c>
      <c r="C866">
        <v>2</v>
      </c>
      <c r="D866">
        <v>0</v>
      </c>
      <c r="E866">
        <v>0</v>
      </c>
      <c r="F866" t="s">
        <v>1561</v>
      </c>
      <c r="G866" s="101">
        <v>46231</v>
      </c>
      <c r="H866" t="s">
        <v>163</v>
      </c>
      <c r="I866" t="s">
        <v>445</v>
      </c>
      <c r="J866" t="s">
        <v>442</v>
      </c>
      <c r="K866" t="s">
        <v>382</v>
      </c>
      <c r="L866" s="39">
        <v>0.36984953703703705</v>
      </c>
      <c r="M866" s="39">
        <v>0.76790509259259254</v>
      </c>
      <c r="N866">
        <v>9.5500000000000007</v>
      </c>
      <c r="O866" t="s">
        <v>508</v>
      </c>
      <c r="P866">
        <v>0</v>
      </c>
      <c r="Q866" t="s">
        <v>778</v>
      </c>
      <c r="R866">
        <v>0.93</v>
      </c>
      <c r="S866">
        <v>0.93</v>
      </c>
      <c r="T866" t="s">
        <v>532</v>
      </c>
      <c r="U866" t="s">
        <v>108</v>
      </c>
      <c r="V866" s="101">
        <v>46231</v>
      </c>
      <c r="W866">
        <v>1</v>
      </c>
      <c r="X866">
        <v>1</v>
      </c>
      <c r="Y866">
        <v>0</v>
      </c>
      <c r="Z866">
        <v>0</v>
      </c>
      <c r="AA866">
        <v>0</v>
      </c>
    </row>
    <row r="867" spans="1:27" x14ac:dyDescent="0.3">
      <c r="A867">
        <v>5088</v>
      </c>
      <c r="B867">
        <v>25</v>
      </c>
      <c r="C867">
        <v>2</v>
      </c>
      <c r="D867">
        <v>0</v>
      </c>
      <c r="E867">
        <v>0</v>
      </c>
      <c r="F867" t="s">
        <v>1561</v>
      </c>
      <c r="G867" s="101">
        <v>46232</v>
      </c>
      <c r="H867" t="s">
        <v>163</v>
      </c>
      <c r="I867" t="s">
        <v>445</v>
      </c>
      <c r="J867" t="s">
        <v>442</v>
      </c>
      <c r="K867" t="s">
        <v>382</v>
      </c>
      <c r="L867" s="39">
        <v>0.36614583333333334</v>
      </c>
      <c r="M867" s="39">
        <v>0.76739583333333339</v>
      </c>
      <c r="N867">
        <v>9.6300000000000008</v>
      </c>
      <c r="O867" t="s">
        <v>747</v>
      </c>
      <c r="P867">
        <v>0</v>
      </c>
      <c r="Q867" t="s">
        <v>1344</v>
      </c>
      <c r="R867">
        <v>0.92</v>
      </c>
      <c r="S867">
        <v>0.92</v>
      </c>
      <c r="T867" t="s">
        <v>532</v>
      </c>
      <c r="U867" t="s">
        <v>108</v>
      </c>
      <c r="V867" s="101">
        <v>46232</v>
      </c>
      <c r="W867">
        <v>1</v>
      </c>
      <c r="X867">
        <v>1</v>
      </c>
      <c r="Y867">
        <v>0</v>
      </c>
      <c r="Z867">
        <v>0</v>
      </c>
      <c r="AA867">
        <v>0</v>
      </c>
    </row>
    <row r="868" spans="1:27" x14ac:dyDescent="0.3">
      <c r="A868">
        <v>5088</v>
      </c>
      <c r="B868">
        <v>25</v>
      </c>
      <c r="C868">
        <v>2</v>
      </c>
      <c r="D868">
        <v>0</v>
      </c>
      <c r="E868">
        <v>0</v>
      </c>
      <c r="F868" t="s">
        <v>1561</v>
      </c>
      <c r="G868" s="101">
        <v>46233</v>
      </c>
      <c r="H868" t="s">
        <v>163</v>
      </c>
      <c r="I868" t="s">
        <v>445</v>
      </c>
      <c r="J868" t="s">
        <v>442</v>
      </c>
      <c r="K868" t="s">
        <v>382</v>
      </c>
      <c r="L868" s="39">
        <v>0.36767361111111113</v>
      </c>
      <c r="M868" s="39">
        <v>0.76798611111111115</v>
      </c>
      <c r="N868">
        <v>9.61</v>
      </c>
      <c r="O868" t="s">
        <v>1570</v>
      </c>
      <c r="P868">
        <v>0</v>
      </c>
      <c r="Q868" t="s">
        <v>587</v>
      </c>
      <c r="R868">
        <v>0.93</v>
      </c>
      <c r="S868">
        <v>0.93</v>
      </c>
      <c r="T868" t="s">
        <v>532</v>
      </c>
      <c r="U868" t="s">
        <v>108</v>
      </c>
      <c r="V868" s="101">
        <v>46233</v>
      </c>
      <c r="W868">
        <v>1</v>
      </c>
      <c r="X868">
        <v>1</v>
      </c>
      <c r="Y868">
        <v>0</v>
      </c>
      <c r="Z868">
        <v>0</v>
      </c>
      <c r="AA868">
        <v>0</v>
      </c>
    </row>
    <row r="869" spans="1:27" x14ac:dyDescent="0.3">
      <c r="A869">
        <v>5088</v>
      </c>
      <c r="B869">
        <v>25</v>
      </c>
      <c r="C869">
        <v>2</v>
      </c>
      <c r="D869">
        <v>0</v>
      </c>
      <c r="E869">
        <v>0</v>
      </c>
      <c r="F869" t="s">
        <v>1561</v>
      </c>
      <c r="G869" s="101">
        <v>46234</v>
      </c>
      <c r="H869" t="s">
        <v>163</v>
      </c>
      <c r="I869" t="s">
        <v>445</v>
      </c>
      <c r="J869" t="s">
        <v>442</v>
      </c>
      <c r="K869" t="s">
        <v>382</v>
      </c>
      <c r="L869" s="39">
        <v>0.3646875</v>
      </c>
      <c r="M869" s="39">
        <v>0.7668518518518519</v>
      </c>
      <c r="N869">
        <v>9.65</v>
      </c>
      <c r="O869" t="s">
        <v>1571</v>
      </c>
      <c r="P869">
        <v>0</v>
      </c>
      <c r="Q869" t="s">
        <v>1230</v>
      </c>
      <c r="R869">
        <v>0.9</v>
      </c>
      <c r="S869">
        <v>0.9</v>
      </c>
      <c r="T869" t="s">
        <v>532</v>
      </c>
      <c r="U869" t="s">
        <v>108</v>
      </c>
      <c r="V869" s="101">
        <v>46234</v>
      </c>
      <c r="W869">
        <v>1</v>
      </c>
      <c r="X869">
        <v>1</v>
      </c>
      <c r="Y869">
        <v>0</v>
      </c>
      <c r="Z869">
        <v>0</v>
      </c>
      <c r="AA869">
        <v>0</v>
      </c>
    </row>
    <row r="870" spans="1:27" x14ac:dyDescent="0.3">
      <c r="A870">
        <v>5089</v>
      </c>
      <c r="B870">
        <v>24.5</v>
      </c>
      <c r="C870">
        <v>2.5</v>
      </c>
      <c r="D870">
        <v>0</v>
      </c>
      <c r="E870">
        <v>0</v>
      </c>
      <c r="F870" t="s">
        <v>1572</v>
      </c>
      <c r="G870" s="101">
        <v>46204</v>
      </c>
      <c r="H870" t="s">
        <v>527</v>
      </c>
      <c r="I870" t="s">
        <v>445</v>
      </c>
      <c r="J870" t="s">
        <v>442</v>
      </c>
      <c r="K870" t="s">
        <v>382</v>
      </c>
      <c r="L870" s="39">
        <v>0.37064814814814817</v>
      </c>
      <c r="M870" s="39">
        <v>0.72689814814814813</v>
      </c>
      <c r="N870">
        <v>8.5500000000000007</v>
      </c>
      <c r="O870" t="s">
        <v>1137</v>
      </c>
      <c r="P870">
        <v>0</v>
      </c>
      <c r="Q870" t="s">
        <v>725</v>
      </c>
      <c r="R870">
        <v>0</v>
      </c>
      <c r="S870">
        <v>0</v>
      </c>
      <c r="T870" t="s">
        <v>528</v>
      </c>
      <c r="U870" t="s">
        <v>108</v>
      </c>
      <c r="V870" s="101">
        <v>46204</v>
      </c>
      <c r="W870">
        <v>1</v>
      </c>
      <c r="X870">
        <v>1</v>
      </c>
      <c r="Y870">
        <v>0</v>
      </c>
      <c r="Z870">
        <v>0</v>
      </c>
      <c r="AA870">
        <v>0</v>
      </c>
    </row>
    <row r="871" spans="1:27" x14ac:dyDescent="0.3">
      <c r="A871">
        <v>5089</v>
      </c>
      <c r="B871">
        <v>24.5</v>
      </c>
      <c r="C871">
        <v>2.5</v>
      </c>
      <c r="D871">
        <v>0</v>
      </c>
      <c r="E871">
        <v>0</v>
      </c>
      <c r="F871" t="s">
        <v>1572</v>
      </c>
      <c r="G871" s="101">
        <v>46205</v>
      </c>
      <c r="H871" t="s">
        <v>527</v>
      </c>
      <c r="I871" t="s">
        <v>445</v>
      </c>
      <c r="J871" t="s">
        <v>442</v>
      </c>
      <c r="K871" t="s">
        <v>382</v>
      </c>
      <c r="L871" s="39">
        <v>0.37417824074074074</v>
      </c>
      <c r="M871" s="39">
        <v>0.72615740740740742</v>
      </c>
      <c r="N871">
        <v>8.4499999999999993</v>
      </c>
      <c r="O871" t="s">
        <v>1345</v>
      </c>
      <c r="P871">
        <v>0</v>
      </c>
      <c r="Q871" t="s">
        <v>1573</v>
      </c>
      <c r="R871">
        <v>0</v>
      </c>
      <c r="S871">
        <v>0</v>
      </c>
      <c r="T871" t="s">
        <v>528</v>
      </c>
      <c r="U871" t="s">
        <v>108</v>
      </c>
      <c r="V871" s="101">
        <v>46205</v>
      </c>
      <c r="W871">
        <v>1</v>
      </c>
      <c r="X871">
        <v>1</v>
      </c>
      <c r="Y871">
        <v>0</v>
      </c>
      <c r="Z871">
        <v>0</v>
      </c>
      <c r="AA871">
        <v>0</v>
      </c>
    </row>
    <row r="872" spans="1:27" x14ac:dyDescent="0.3">
      <c r="A872">
        <v>5089</v>
      </c>
      <c r="B872">
        <v>24.5</v>
      </c>
      <c r="C872">
        <v>2.5</v>
      </c>
      <c r="D872">
        <v>0</v>
      </c>
      <c r="E872">
        <v>0</v>
      </c>
      <c r="F872" t="s">
        <v>1572</v>
      </c>
      <c r="G872" s="101">
        <v>46206</v>
      </c>
      <c r="H872" t="s">
        <v>527</v>
      </c>
      <c r="I872" t="s">
        <v>445</v>
      </c>
      <c r="J872" t="s">
        <v>442</v>
      </c>
      <c r="K872" t="s">
        <v>382</v>
      </c>
      <c r="L872" s="39">
        <v>0.37165509259259261</v>
      </c>
      <c r="M872" s="39">
        <v>0.53880787037037037</v>
      </c>
      <c r="N872">
        <v>4.01</v>
      </c>
      <c r="O872" t="s">
        <v>960</v>
      </c>
      <c r="P872">
        <v>0</v>
      </c>
      <c r="Q872" t="s">
        <v>1574</v>
      </c>
      <c r="R872">
        <v>0</v>
      </c>
      <c r="S872">
        <v>0</v>
      </c>
      <c r="T872" t="s">
        <v>528</v>
      </c>
      <c r="U872" t="s">
        <v>314</v>
      </c>
      <c r="V872" s="101">
        <v>46206</v>
      </c>
      <c r="W872">
        <v>0.5</v>
      </c>
      <c r="X872">
        <v>0.5</v>
      </c>
      <c r="Y872">
        <v>0</v>
      </c>
      <c r="Z872">
        <v>0</v>
      </c>
      <c r="AA872">
        <v>0</v>
      </c>
    </row>
    <row r="873" spans="1:27" x14ac:dyDescent="0.3">
      <c r="A873">
        <v>5089</v>
      </c>
      <c r="B873">
        <v>24.5</v>
      </c>
      <c r="C873">
        <v>2.5</v>
      </c>
      <c r="D873">
        <v>0</v>
      </c>
      <c r="E873">
        <v>0</v>
      </c>
      <c r="F873" t="s">
        <v>1572</v>
      </c>
      <c r="G873" s="101">
        <v>46207</v>
      </c>
      <c r="H873" t="s">
        <v>527</v>
      </c>
      <c r="I873" t="s">
        <v>445</v>
      </c>
      <c r="J873" t="s">
        <v>442</v>
      </c>
      <c r="K873" t="s">
        <v>383</v>
      </c>
      <c r="L873" s="39">
        <v>0</v>
      </c>
      <c r="M873" s="39">
        <v>0</v>
      </c>
      <c r="N873">
        <v>0</v>
      </c>
      <c r="O873" t="s">
        <v>384</v>
      </c>
      <c r="P873">
        <v>9</v>
      </c>
      <c r="Q873" t="s">
        <v>385</v>
      </c>
      <c r="R873">
        <v>0</v>
      </c>
      <c r="S873">
        <v>9</v>
      </c>
      <c r="T873" t="s">
        <v>528</v>
      </c>
      <c r="U873" t="s">
        <v>366</v>
      </c>
      <c r="V873" s="101">
        <v>46207</v>
      </c>
      <c r="W873">
        <v>0</v>
      </c>
      <c r="X873">
        <v>0</v>
      </c>
      <c r="Y873">
        <v>0</v>
      </c>
      <c r="Z873">
        <v>0</v>
      </c>
      <c r="AA873">
        <v>0</v>
      </c>
    </row>
    <row r="874" spans="1:27" x14ac:dyDescent="0.3">
      <c r="A874">
        <v>5089</v>
      </c>
      <c r="B874">
        <v>24.5</v>
      </c>
      <c r="C874">
        <v>2.5</v>
      </c>
      <c r="D874">
        <v>0</v>
      </c>
      <c r="E874">
        <v>0</v>
      </c>
      <c r="F874" t="s">
        <v>1572</v>
      </c>
      <c r="G874" s="101">
        <v>46208</v>
      </c>
      <c r="H874" t="s">
        <v>527</v>
      </c>
      <c r="I874" t="s">
        <v>445</v>
      </c>
      <c r="J874" t="s">
        <v>442</v>
      </c>
      <c r="K874" t="s">
        <v>382</v>
      </c>
      <c r="L874" s="39">
        <v>0.375</v>
      </c>
      <c r="M874" s="39">
        <v>0.52162037037037035</v>
      </c>
      <c r="N874">
        <v>3.52</v>
      </c>
      <c r="O874" t="s">
        <v>418</v>
      </c>
      <c r="P874">
        <v>0</v>
      </c>
      <c r="Q874" t="s">
        <v>1575</v>
      </c>
      <c r="R874">
        <v>0</v>
      </c>
      <c r="S874">
        <v>0</v>
      </c>
      <c r="T874" t="s">
        <v>528</v>
      </c>
      <c r="U874" t="s">
        <v>314</v>
      </c>
      <c r="V874" s="101">
        <v>46208</v>
      </c>
      <c r="W874">
        <v>0.5</v>
      </c>
      <c r="X874">
        <v>0</v>
      </c>
      <c r="Y874">
        <v>0.5</v>
      </c>
      <c r="Z874">
        <v>0</v>
      </c>
      <c r="AA874">
        <v>0</v>
      </c>
    </row>
    <row r="875" spans="1:27" x14ac:dyDescent="0.3">
      <c r="A875">
        <v>5089</v>
      </c>
      <c r="B875">
        <v>24.5</v>
      </c>
      <c r="C875">
        <v>2.5</v>
      </c>
      <c r="D875">
        <v>0</v>
      </c>
      <c r="E875">
        <v>0</v>
      </c>
      <c r="F875" t="s">
        <v>1572</v>
      </c>
      <c r="G875" s="101">
        <v>46209</v>
      </c>
      <c r="H875" t="s">
        <v>527</v>
      </c>
      <c r="I875" t="s">
        <v>445</v>
      </c>
      <c r="J875" t="s">
        <v>442</v>
      </c>
      <c r="K875" t="s">
        <v>383</v>
      </c>
      <c r="L875" s="39">
        <v>0</v>
      </c>
      <c r="M875" s="39">
        <v>0</v>
      </c>
      <c r="N875">
        <v>0</v>
      </c>
      <c r="O875" t="s">
        <v>384</v>
      </c>
      <c r="P875">
        <v>9</v>
      </c>
      <c r="Q875" t="s">
        <v>385</v>
      </c>
      <c r="R875">
        <v>0</v>
      </c>
      <c r="S875">
        <v>9</v>
      </c>
      <c r="T875" t="s">
        <v>528</v>
      </c>
      <c r="U875" t="s">
        <v>366</v>
      </c>
      <c r="V875" s="101">
        <v>46209</v>
      </c>
      <c r="W875">
        <v>0</v>
      </c>
      <c r="X875">
        <v>0</v>
      </c>
      <c r="Y875">
        <v>0</v>
      </c>
      <c r="Z875">
        <v>0</v>
      </c>
      <c r="AA875">
        <v>0</v>
      </c>
    </row>
    <row r="876" spans="1:27" x14ac:dyDescent="0.3">
      <c r="A876">
        <v>5089</v>
      </c>
      <c r="B876">
        <v>24.5</v>
      </c>
      <c r="C876">
        <v>2.5</v>
      </c>
      <c r="D876">
        <v>0</v>
      </c>
      <c r="E876">
        <v>0</v>
      </c>
      <c r="F876" t="s">
        <v>1572</v>
      </c>
      <c r="G876" s="101">
        <v>46210</v>
      </c>
      <c r="H876" t="s">
        <v>527</v>
      </c>
      <c r="I876" t="s">
        <v>445</v>
      </c>
      <c r="J876" t="s">
        <v>442</v>
      </c>
      <c r="K876" t="s">
        <v>382</v>
      </c>
      <c r="L876" s="39">
        <v>0.37387731481481479</v>
      </c>
      <c r="M876" s="39">
        <v>0.76908564814814817</v>
      </c>
      <c r="N876">
        <v>9.48</v>
      </c>
      <c r="O876" t="s">
        <v>642</v>
      </c>
      <c r="P876">
        <v>0</v>
      </c>
      <c r="Q876" t="s">
        <v>1212</v>
      </c>
      <c r="R876">
        <v>0.96</v>
      </c>
      <c r="S876">
        <v>0.96</v>
      </c>
      <c r="T876" t="s">
        <v>528</v>
      </c>
      <c r="U876" t="s">
        <v>108</v>
      </c>
      <c r="V876" s="101">
        <v>46210</v>
      </c>
      <c r="W876">
        <v>1</v>
      </c>
      <c r="X876">
        <v>1</v>
      </c>
      <c r="Y876">
        <v>0</v>
      </c>
      <c r="Z876">
        <v>0</v>
      </c>
      <c r="AA876">
        <v>0</v>
      </c>
    </row>
    <row r="877" spans="1:27" x14ac:dyDescent="0.3">
      <c r="A877">
        <v>5089</v>
      </c>
      <c r="B877">
        <v>24.5</v>
      </c>
      <c r="C877">
        <v>2.5</v>
      </c>
      <c r="D877">
        <v>0</v>
      </c>
      <c r="E877">
        <v>0</v>
      </c>
      <c r="F877" t="s">
        <v>1572</v>
      </c>
      <c r="G877" s="101">
        <v>46211</v>
      </c>
      <c r="H877" t="s">
        <v>527</v>
      </c>
      <c r="I877" t="s">
        <v>445</v>
      </c>
      <c r="J877" t="s">
        <v>442</v>
      </c>
      <c r="K877" t="s">
        <v>382</v>
      </c>
      <c r="L877" s="39">
        <v>0.37300925925925926</v>
      </c>
      <c r="M877" s="39">
        <v>0.76937500000000003</v>
      </c>
      <c r="N877">
        <v>9.51</v>
      </c>
      <c r="O877" t="s">
        <v>716</v>
      </c>
      <c r="P877">
        <v>0</v>
      </c>
      <c r="Q877" t="s">
        <v>1576</v>
      </c>
      <c r="R877">
        <v>0.96</v>
      </c>
      <c r="S877">
        <v>0.96</v>
      </c>
      <c r="T877" t="s">
        <v>528</v>
      </c>
      <c r="U877" t="s">
        <v>108</v>
      </c>
      <c r="V877" s="101">
        <v>46211</v>
      </c>
      <c r="W877">
        <v>1</v>
      </c>
      <c r="X877">
        <v>1</v>
      </c>
      <c r="Y877">
        <v>0</v>
      </c>
      <c r="Z877">
        <v>0</v>
      </c>
      <c r="AA877">
        <v>0</v>
      </c>
    </row>
    <row r="878" spans="1:27" x14ac:dyDescent="0.3">
      <c r="A878">
        <v>5089</v>
      </c>
      <c r="B878">
        <v>24.5</v>
      </c>
      <c r="C878">
        <v>2.5</v>
      </c>
      <c r="D878">
        <v>0</v>
      </c>
      <c r="E878">
        <v>0</v>
      </c>
      <c r="F878" t="s">
        <v>1572</v>
      </c>
      <c r="G878" s="101">
        <v>46212</v>
      </c>
      <c r="H878" t="s">
        <v>527</v>
      </c>
      <c r="I878" t="s">
        <v>445</v>
      </c>
      <c r="J878" t="s">
        <v>442</v>
      </c>
      <c r="K878" t="s">
        <v>382</v>
      </c>
      <c r="L878" s="39">
        <v>0.37306712962962962</v>
      </c>
      <c r="M878" s="39">
        <v>0.73953703703703699</v>
      </c>
      <c r="N878">
        <v>8.8000000000000007</v>
      </c>
      <c r="O878" t="s">
        <v>628</v>
      </c>
      <c r="P878">
        <v>0</v>
      </c>
      <c r="Q878" t="s">
        <v>1577</v>
      </c>
      <c r="R878">
        <v>0</v>
      </c>
      <c r="S878">
        <v>0</v>
      </c>
      <c r="T878" t="s">
        <v>528</v>
      </c>
      <c r="U878" t="s">
        <v>108</v>
      </c>
      <c r="V878" s="101">
        <v>46212</v>
      </c>
      <c r="W878">
        <v>1</v>
      </c>
      <c r="X878">
        <v>1</v>
      </c>
      <c r="Y878">
        <v>0</v>
      </c>
      <c r="Z878">
        <v>0</v>
      </c>
      <c r="AA878">
        <v>0</v>
      </c>
    </row>
    <row r="879" spans="1:27" x14ac:dyDescent="0.3">
      <c r="A879">
        <v>5089</v>
      </c>
      <c r="B879">
        <v>24.5</v>
      </c>
      <c r="C879">
        <v>2.5</v>
      </c>
      <c r="D879">
        <v>0</v>
      </c>
      <c r="E879">
        <v>0</v>
      </c>
      <c r="F879" t="s">
        <v>1572</v>
      </c>
      <c r="G879" s="101">
        <v>46213</v>
      </c>
      <c r="H879" t="s">
        <v>527</v>
      </c>
      <c r="I879" t="s">
        <v>445</v>
      </c>
      <c r="J879" t="s">
        <v>442</v>
      </c>
      <c r="K879" t="s">
        <v>382</v>
      </c>
      <c r="L879" s="39">
        <v>0.37445601851851851</v>
      </c>
      <c r="M879" s="39">
        <v>0.76787037037037043</v>
      </c>
      <c r="N879">
        <v>9.44</v>
      </c>
      <c r="O879" t="s">
        <v>1578</v>
      </c>
      <c r="P879">
        <v>0</v>
      </c>
      <c r="Q879" t="s">
        <v>605</v>
      </c>
      <c r="R879">
        <v>0.93</v>
      </c>
      <c r="S879">
        <v>0.93</v>
      </c>
      <c r="T879" t="s">
        <v>528</v>
      </c>
      <c r="U879" t="s">
        <v>108</v>
      </c>
      <c r="V879" s="101">
        <v>46213</v>
      </c>
      <c r="W879">
        <v>1</v>
      </c>
      <c r="X879">
        <v>1</v>
      </c>
      <c r="Y879">
        <v>0</v>
      </c>
      <c r="Z879">
        <v>0</v>
      </c>
      <c r="AA879">
        <v>0</v>
      </c>
    </row>
    <row r="880" spans="1:27" x14ac:dyDescent="0.3">
      <c r="A880">
        <v>5089</v>
      </c>
      <c r="B880">
        <v>24.5</v>
      </c>
      <c r="C880">
        <v>2.5</v>
      </c>
      <c r="D880">
        <v>0</v>
      </c>
      <c r="E880">
        <v>0</v>
      </c>
      <c r="F880" t="s">
        <v>1572</v>
      </c>
      <c r="G880" s="101">
        <v>46214</v>
      </c>
      <c r="H880" t="s">
        <v>527</v>
      </c>
      <c r="I880" t="s">
        <v>445</v>
      </c>
      <c r="J880" t="s">
        <v>442</v>
      </c>
      <c r="K880" t="s">
        <v>382</v>
      </c>
      <c r="L880" s="39">
        <v>0.37018518518518517</v>
      </c>
      <c r="M880" s="39">
        <v>0.76871527777777782</v>
      </c>
      <c r="N880">
        <v>9.56</v>
      </c>
      <c r="O880" t="s">
        <v>652</v>
      </c>
      <c r="P880">
        <v>0</v>
      </c>
      <c r="Q880" t="s">
        <v>1579</v>
      </c>
      <c r="R880">
        <v>0.95</v>
      </c>
      <c r="S880">
        <v>0.95</v>
      </c>
      <c r="T880" t="s">
        <v>528</v>
      </c>
      <c r="U880" t="s">
        <v>108</v>
      </c>
      <c r="V880" s="101">
        <v>46214</v>
      </c>
      <c r="W880">
        <v>1</v>
      </c>
      <c r="X880">
        <v>1</v>
      </c>
      <c r="Y880">
        <v>0</v>
      </c>
      <c r="Z880">
        <v>0</v>
      </c>
      <c r="AA880">
        <v>0</v>
      </c>
    </row>
    <row r="881" spans="1:27" x14ac:dyDescent="0.3">
      <c r="A881">
        <v>5089</v>
      </c>
      <c r="B881">
        <v>24.5</v>
      </c>
      <c r="C881">
        <v>2.5</v>
      </c>
      <c r="D881">
        <v>0</v>
      </c>
      <c r="E881">
        <v>0</v>
      </c>
      <c r="F881" t="s">
        <v>1572</v>
      </c>
      <c r="G881" s="101">
        <v>46215</v>
      </c>
      <c r="H881" t="s">
        <v>527</v>
      </c>
      <c r="I881" t="s">
        <v>445</v>
      </c>
      <c r="J881" t="s">
        <v>442</v>
      </c>
      <c r="K881" t="s">
        <v>383</v>
      </c>
      <c r="L881" s="39">
        <v>0</v>
      </c>
      <c r="M881" s="39">
        <v>0</v>
      </c>
      <c r="N881">
        <v>0</v>
      </c>
      <c r="O881" t="s">
        <v>384</v>
      </c>
      <c r="P881">
        <v>9</v>
      </c>
      <c r="Q881" t="s">
        <v>385</v>
      </c>
      <c r="R881">
        <v>0</v>
      </c>
      <c r="S881">
        <v>9</v>
      </c>
      <c r="T881" t="s">
        <v>528</v>
      </c>
      <c r="U881" t="s">
        <v>366</v>
      </c>
      <c r="V881" s="101">
        <v>46215</v>
      </c>
      <c r="W881">
        <v>0</v>
      </c>
      <c r="X881">
        <v>0</v>
      </c>
      <c r="Y881">
        <v>0</v>
      </c>
      <c r="Z881">
        <v>0</v>
      </c>
      <c r="AA881">
        <v>0</v>
      </c>
    </row>
    <row r="882" spans="1:27" x14ac:dyDescent="0.3">
      <c r="A882">
        <v>5089</v>
      </c>
      <c r="B882">
        <v>24.5</v>
      </c>
      <c r="C882">
        <v>2.5</v>
      </c>
      <c r="D882">
        <v>0</v>
      </c>
      <c r="E882">
        <v>0</v>
      </c>
      <c r="F882" t="s">
        <v>1572</v>
      </c>
      <c r="G882" s="101">
        <v>46216</v>
      </c>
      <c r="H882" t="s">
        <v>527</v>
      </c>
      <c r="I882" t="s">
        <v>445</v>
      </c>
      <c r="J882" t="s">
        <v>442</v>
      </c>
      <c r="K882" t="s">
        <v>382</v>
      </c>
      <c r="L882" s="39">
        <v>0.54969907407407403</v>
      </c>
      <c r="M882" s="39">
        <v>0</v>
      </c>
      <c r="N882">
        <v>10.81</v>
      </c>
      <c r="O882" t="s">
        <v>1580</v>
      </c>
      <c r="P882">
        <v>0</v>
      </c>
      <c r="Q882" t="s">
        <v>385</v>
      </c>
      <c r="R882">
        <v>0</v>
      </c>
      <c r="S882">
        <v>0</v>
      </c>
      <c r="T882" t="s">
        <v>528</v>
      </c>
      <c r="U882" t="s">
        <v>108</v>
      </c>
      <c r="V882" s="101">
        <v>46216</v>
      </c>
      <c r="W882">
        <v>1</v>
      </c>
      <c r="X882">
        <v>1</v>
      </c>
      <c r="Y882">
        <v>0</v>
      </c>
      <c r="Z882">
        <v>0</v>
      </c>
      <c r="AA882">
        <v>0</v>
      </c>
    </row>
    <row r="883" spans="1:27" x14ac:dyDescent="0.3">
      <c r="A883">
        <v>5089</v>
      </c>
      <c r="B883">
        <v>24.5</v>
      </c>
      <c r="C883">
        <v>2.5</v>
      </c>
      <c r="D883">
        <v>0</v>
      </c>
      <c r="E883">
        <v>0</v>
      </c>
      <c r="F883" t="s">
        <v>1572</v>
      </c>
      <c r="G883" s="101">
        <v>46217</v>
      </c>
      <c r="H883" t="s">
        <v>527</v>
      </c>
      <c r="I883" t="s">
        <v>445</v>
      </c>
      <c r="J883" t="s">
        <v>442</v>
      </c>
      <c r="K883" t="s">
        <v>382</v>
      </c>
      <c r="L883" s="39">
        <v>0.36768518518518517</v>
      </c>
      <c r="M883" s="39">
        <v>0.7690393518518519</v>
      </c>
      <c r="N883">
        <v>9.6300000000000008</v>
      </c>
      <c r="O883" t="s">
        <v>1581</v>
      </c>
      <c r="P883">
        <v>0</v>
      </c>
      <c r="Q883" t="s">
        <v>1582</v>
      </c>
      <c r="R883">
        <v>0.96</v>
      </c>
      <c r="S883">
        <v>0.96</v>
      </c>
      <c r="T883" t="s">
        <v>528</v>
      </c>
      <c r="U883" t="s">
        <v>108</v>
      </c>
      <c r="V883" s="101">
        <v>46217</v>
      </c>
      <c r="W883">
        <v>1</v>
      </c>
      <c r="X883">
        <v>1</v>
      </c>
      <c r="Y883">
        <v>0</v>
      </c>
      <c r="Z883">
        <v>0</v>
      </c>
      <c r="AA883">
        <v>0</v>
      </c>
    </row>
    <row r="884" spans="1:27" x14ac:dyDescent="0.3">
      <c r="A884">
        <v>5089</v>
      </c>
      <c r="B884">
        <v>24.5</v>
      </c>
      <c r="C884">
        <v>2.5</v>
      </c>
      <c r="D884">
        <v>0</v>
      </c>
      <c r="E884">
        <v>0</v>
      </c>
      <c r="F884" t="s">
        <v>1572</v>
      </c>
      <c r="G884" s="101">
        <v>46218</v>
      </c>
      <c r="H884" t="s">
        <v>527</v>
      </c>
      <c r="I884" t="s">
        <v>445</v>
      </c>
      <c r="J884" t="s">
        <v>442</v>
      </c>
      <c r="K884" t="s">
        <v>382</v>
      </c>
      <c r="L884" s="39">
        <v>0.37092592592592594</v>
      </c>
      <c r="M884" s="39">
        <v>0.76876157407407408</v>
      </c>
      <c r="N884">
        <v>9.5500000000000007</v>
      </c>
      <c r="O884" t="s">
        <v>842</v>
      </c>
      <c r="P884">
        <v>0</v>
      </c>
      <c r="Q884" t="s">
        <v>1145</v>
      </c>
      <c r="R884">
        <v>0.95</v>
      </c>
      <c r="S884">
        <v>0.95</v>
      </c>
      <c r="T884" t="s">
        <v>528</v>
      </c>
      <c r="U884" t="s">
        <v>108</v>
      </c>
      <c r="V884" s="101">
        <v>46218</v>
      </c>
      <c r="W884">
        <v>1</v>
      </c>
      <c r="X884">
        <v>1</v>
      </c>
      <c r="Y884">
        <v>0</v>
      </c>
      <c r="Z884">
        <v>0</v>
      </c>
      <c r="AA884">
        <v>0</v>
      </c>
    </row>
    <row r="885" spans="1:27" x14ac:dyDescent="0.3">
      <c r="A885">
        <v>5089</v>
      </c>
      <c r="B885">
        <v>24.5</v>
      </c>
      <c r="C885">
        <v>2.5</v>
      </c>
      <c r="D885">
        <v>0</v>
      </c>
      <c r="E885">
        <v>0</v>
      </c>
      <c r="F885" t="s">
        <v>1572</v>
      </c>
      <c r="G885" s="101">
        <v>46219</v>
      </c>
      <c r="H885" t="s">
        <v>527</v>
      </c>
      <c r="I885" t="s">
        <v>445</v>
      </c>
      <c r="J885" t="s">
        <v>442</v>
      </c>
      <c r="K885" t="s">
        <v>382</v>
      </c>
      <c r="L885" s="39">
        <v>0.36913194444444447</v>
      </c>
      <c r="M885" s="39">
        <v>0.76873842592592589</v>
      </c>
      <c r="N885">
        <v>9.59</v>
      </c>
      <c r="O885" t="s">
        <v>956</v>
      </c>
      <c r="P885">
        <v>0</v>
      </c>
      <c r="Q885" t="s">
        <v>1255</v>
      </c>
      <c r="R885">
        <v>0.95</v>
      </c>
      <c r="S885">
        <v>0.95</v>
      </c>
      <c r="T885" t="s">
        <v>528</v>
      </c>
      <c r="U885" t="s">
        <v>108</v>
      </c>
      <c r="V885" s="101">
        <v>46219</v>
      </c>
      <c r="W885">
        <v>1</v>
      </c>
      <c r="X885">
        <v>1</v>
      </c>
      <c r="Y885">
        <v>0</v>
      </c>
      <c r="Z885">
        <v>0</v>
      </c>
      <c r="AA885">
        <v>0</v>
      </c>
    </row>
    <row r="886" spans="1:27" x14ac:dyDescent="0.3">
      <c r="A886">
        <v>5089</v>
      </c>
      <c r="B886">
        <v>24.5</v>
      </c>
      <c r="C886">
        <v>2.5</v>
      </c>
      <c r="D886">
        <v>0</v>
      </c>
      <c r="E886">
        <v>0</v>
      </c>
      <c r="F886" t="s">
        <v>1572</v>
      </c>
      <c r="G886" s="101">
        <v>46220</v>
      </c>
      <c r="H886" t="s">
        <v>527</v>
      </c>
      <c r="I886" t="s">
        <v>445</v>
      </c>
      <c r="J886" t="s">
        <v>442</v>
      </c>
      <c r="K886" t="s">
        <v>382</v>
      </c>
      <c r="L886" s="39">
        <v>0.36922453703703706</v>
      </c>
      <c r="M886" s="39">
        <v>0.65622685185185181</v>
      </c>
      <c r="N886">
        <v>6.89</v>
      </c>
      <c r="O886" t="s">
        <v>1175</v>
      </c>
      <c r="P886">
        <v>0</v>
      </c>
      <c r="Q886" t="s">
        <v>1583</v>
      </c>
      <c r="R886">
        <v>0</v>
      </c>
      <c r="S886">
        <v>0</v>
      </c>
      <c r="T886" t="s">
        <v>528</v>
      </c>
      <c r="U886" t="s">
        <v>108</v>
      </c>
      <c r="V886" s="101">
        <v>46220</v>
      </c>
      <c r="W886">
        <v>1</v>
      </c>
      <c r="X886">
        <v>1</v>
      </c>
      <c r="Y886">
        <v>0</v>
      </c>
      <c r="Z886">
        <v>0</v>
      </c>
      <c r="AA886">
        <v>0</v>
      </c>
    </row>
    <row r="887" spans="1:27" x14ac:dyDescent="0.3">
      <c r="A887">
        <v>5089</v>
      </c>
      <c r="B887">
        <v>24.5</v>
      </c>
      <c r="C887">
        <v>2.5</v>
      </c>
      <c r="D887">
        <v>0</v>
      </c>
      <c r="E887">
        <v>0</v>
      </c>
      <c r="F887" t="s">
        <v>1572</v>
      </c>
      <c r="G887" s="101">
        <v>46221</v>
      </c>
      <c r="H887" t="s">
        <v>527</v>
      </c>
      <c r="I887" t="s">
        <v>445</v>
      </c>
      <c r="J887" t="s">
        <v>442</v>
      </c>
      <c r="K887" t="s">
        <v>382</v>
      </c>
      <c r="L887" s="39">
        <v>0.37182870370370369</v>
      </c>
      <c r="M887" s="39">
        <v>0.72864583333333333</v>
      </c>
      <c r="N887">
        <v>8.56</v>
      </c>
      <c r="O887" t="s">
        <v>985</v>
      </c>
      <c r="P887">
        <v>0</v>
      </c>
      <c r="Q887" t="s">
        <v>746</v>
      </c>
      <c r="R887">
        <v>0</v>
      </c>
      <c r="S887">
        <v>0</v>
      </c>
      <c r="T887" t="s">
        <v>528</v>
      </c>
      <c r="U887" t="s">
        <v>108</v>
      </c>
      <c r="V887" s="101">
        <v>46221</v>
      </c>
      <c r="W887">
        <v>1</v>
      </c>
      <c r="X887">
        <v>1</v>
      </c>
      <c r="Y887">
        <v>0</v>
      </c>
      <c r="Z887">
        <v>0</v>
      </c>
      <c r="AA887">
        <v>0</v>
      </c>
    </row>
    <row r="888" spans="1:27" x14ac:dyDescent="0.3">
      <c r="A888">
        <v>5089</v>
      </c>
      <c r="B888">
        <v>24.5</v>
      </c>
      <c r="C888">
        <v>2.5</v>
      </c>
      <c r="D888">
        <v>0</v>
      </c>
      <c r="E888">
        <v>0</v>
      </c>
      <c r="F888" t="s">
        <v>1572</v>
      </c>
      <c r="G888" s="101">
        <v>46222</v>
      </c>
      <c r="H888" t="s">
        <v>527</v>
      </c>
      <c r="I888" t="s">
        <v>445</v>
      </c>
      <c r="J888" t="s">
        <v>442</v>
      </c>
      <c r="K888" t="s">
        <v>382</v>
      </c>
      <c r="L888" s="39">
        <v>0.36908564814814815</v>
      </c>
      <c r="M888" s="39">
        <v>0.69077546296296299</v>
      </c>
      <c r="N888">
        <v>7.72</v>
      </c>
      <c r="O888" t="s">
        <v>1584</v>
      </c>
      <c r="P888">
        <v>0</v>
      </c>
      <c r="Q888" t="s">
        <v>1585</v>
      </c>
      <c r="R888">
        <v>0</v>
      </c>
      <c r="S888">
        <v>0</v>
      </c>
      <c r="T888" t="s">
        <v>528</v>
      </c>
      <c r="U888" t="s">
        <v>108</v>
      </c>
      <c r="V888" s="101">
        <v>46222</v>
      </c>
      <c r="W888">
        <v>1</v>
      </c>
      <c r="X888">
        <v>0</v>
      </c>
      <c r="Y888">
        <v>1</v>
      </c>
      <c r="Z888">
        <v>0</v>
      </c>
      <c r="AA888">
        <v>0</v>
      </c>
    </row>
    <row r="889" spans="1:27" x14ac:dyDescent="0.3">
      <c r="A889">
        <v>5089</v>
      </c>
      <c r="B889">
        <v>24.5</v>
      </c>
      <c r="C889">
        <v>2.5</v>
      </c>
      <c r="D889">
        <v>0</v>
      </c>
      <c r="E889">
        <v>0</v>
      </c>
      <c r="F889" t="s">
        <v>1572</v>
      </c>
      <c r="G889" s="101">
        <v>46223</v>
      </c>
      <c r="H889" t="s">
        <v>527</v>
      </c>
      <c r="I889" t="s">
        <v>445</v>
      </c>
      <c r="J889" t="s">
        <v>442</v>
      </c>
      <c r="K889" t="s">
        <v>382</v>
      </c>
      <c r="L889" s="39">
        <v>0.37876157407407407</v>
      </c>
      <c r="M889" s="39">
        <v>0.81209490740740742</v>
      </c>
      <c r="N889">
        <v>10.4</v>
      </c>
      <c r="O889" t="s">
        <v>1586</v>
      </c>
      <c r="P889">
        <v>0</v>
      </c>
      <c r="Q889" t="s">
        <v>1587</v>
      </c>
      <c r="R889">
        <v>1.99</v>
      </c>
      <c r="S889">
        <v>1.99</v>
      </c>
      <c r="T889" t="s">
        <v>528</v>
      </c>
      <c r="U889" t="s">
        <v>108</v>
      </c>
      <c r="V889" s="101">
        <v>46223</v>
      </c>
      <c r="W889">
        <v>1</v>
      </c>
      <c r="X889">
        <v>1</v>
      </c>
      <c r="Y889">
        <v>0</v>
      </c>
      <c r="Z889">
        <v>0</v>
      </c>
      <c r="AA889">
        <v>0</v>
      </c>
    </row>
    <row r="890" spans="1:27" x14ac:dyDescent="0.3">
      <c r="A890">
        <v>5089</v>
      </c>
      <c r="B890">
        <v>24.5</v>
      </c>
      <c r="C890">
        <v>2.5</v>
      </c>
      <c r="D890">
        <v>0</v>
      </c>
      <c r="E890">
        <v>0</v>
      </c>
      <c r="F890" t="s">
        <v>1572</v>
      </c>
      <c r="G890" s="101">
        <v>46224</v>
      </c>
      <c r="H890" t="s">
        <v>527</v>
      </c>
      <c r="I890" t="s">
        <v>445</v>
      </c>
      <c r="J890" t="s">
        <v>442</v>
      </c>
      <c r="K890" t="s">
        <v>382</v>
      </c>
      <c r="L890" s="39">
        <v>0.40671296296296294</v>
      </c>
      <c r="M890" s="39">
        <v>0.83119212962962963</v>
      </c>
      <c r="N890">
        <v>10.19</v>
      </c>
      <c r="O890" t="s">
        <v>1588</v>
      </c>
      <c r="P890">
        <v>0</v>
      </c>
      <c r="Q890" t="s">
        <v>1589</v>
      </c>
      <c r="R890">
        <v>2.4500000000000002</v>
      </c>
      <c r="S890">
        <v>2.4500000000000002</v>
      </c>
      <c r="T890" t="s">
        <v>528</v>
      </c>
      <c r="U890" t="s">
        <v>108</v>
      </c>
      <c r="V890" s="101">
        <v>46224</v>
      </c>
      <c r="W890">
        <v>1</v>
      </c>
      <c r="X890">
        <v>1</v>
      </c>
      <c r="Y890">
        <v>0</v>
      </c>
      <c r="Z890">
        <v>0</v>
      </c>
      <c r="AA890">
        <v>0</v>
      </c>
    </row>
    <row r="891" spans="1:27" x14ac:dyDescent="0.3">
      <c r="A891">
        <v>5089</v>
      </c>
      <c r="B891">
        <v>24.5</v>
      </c>
      <c r="C891">
        <v>2.5</v>
      </c>
      <c r="D891">
        <v>0</v>
      </c>
      <c r="E891">
        <v>0</v>
      </c>
      <c r="F891" t="s">
        <v>1572</v>
      </c>
      <c r="G891" s="101">
        <v>46225</v>
      </c>
      <c r="H891" t="s">
        <v>527</v>
      </c>
      <c r="I891" t="s">
        <v>445</v>
      </c>
      <c r="J891" t="s">
        <v>442</v>
      </c>
      <c r="K891" t="s">
        <v>382</v>
      </c>
      <c r="L891" s="39">
        <v>0.38298611111111114</v>
      </c>
      <c r="M891" s="39">
        <v>0.76899305555555553</v>
      </c>
      <c r="N891">
        <v>9.26</v>
      </c>
      <c r="O891" t="s">
        <v>1590</v>
      </c>
      <c r="P891">
        <v>0</v>
      </c>
      <c r="Q891" t="s">
        <v>556</v>
      </c>
      <c r="R891">
        <v>0.96</v>
      </c>
      <c r="S891">
        <v>0.96</v>
      </c>
      <c r="T891" t="s">
        <v>528</v>
      </c>
      <c r="U891" t="s">
        <v>108</v>
      </c>
      <c r="V891" s="101">
        <v>46225</v>
      </c>
      <c r="W891">
        <v>1</v>
      </c>
      <c r="X891">
        <v>1</v>
      </c>
      <c r="Y891">
        <v>0</v>
      </c>
      <c r="Z891">
        <v>0</v>
      </c>
      <c r="AA891">
        <v>0</v>
      </c>
    </row>
    <row r="892" spans="1:27" x14ac:dyDescent="0.3">
      <c r="A892">
        <v>5089</v>
      </c>
      <c r="B892">
        <v>24.5</v>
      </c>
      <c r="C892">
        <v>2.5</v>
      </c>
      <c r="D892">
        <v>0</v>
      </c>
      <c r="E892">
        <v>0</v>
      </c>
      <c r="F892" t="s">
        <v>1572</v>
      </c>
      <c r="G892" s="101">
        <v>46226</v>
      </c>
      <c r="H892" t="s">
        <v>527</v>
      </c>
      <c r="I892" t="s">
        <v>445</v>
      </c>
      <c r="J892" t="s">
        <v>442</v>
      </c>
      <c r="K892" t="s">
        <v>382</v>
      </c>
      <c r="L892" s="39">
        <v>0.35422453703703705</v>
      </c>
      <c r="M892" s="39">
        <v>0.76872685185185186</v>
      </c>
      <c r="N892">
        <v>9.9499999999999993</v>
      </c>
      <c r="O892" t="s">
        <v>1591</v>
      </c>
      <c r="P892">
        <v>0</v>
      </c>
      <c r="Q892" t="s">
        <v>1551</v>
      </c>
      <c r="R892">
        <v>0.95</v>
      </c>
      <c r="S892">
        <v>0.95</v>
      </c>
      <c r="T892" t="s">
        <v>528</v>
      </c>
      <c r="U892" t="s">
        <v>108</v>
      </c>
      <c r="V892" s="101">
        <v>46226</v>
      </c>
      <c r="W892">
        <v>1</v>
      </c>
      <c r="X892">
        <v>1</v>
      </c>
      <c r="Y892">
        <v>0</v>
      </c>
      <c r="Z892">
        <v>0</v>
      </c>
      <c r="AA892">
        <v>0</v>
      </c>
    </row>
    <row r="893" spans="1:27" x14ac:dyDescent="0.3">
      <c r="A893">
        <v>5089</v>
      </c>
      <c r="B893">
        <v>24.5</v>
      </c>
      <c r="C893">
        <v>2.5</v>
      </c>
      <c r="D893">
        <v>0</v>
      </c>
      <c r="E893">
        <v>0</v>
      </c>
      <c r="F893" t="s">
        <v>1572</v>
      </c>
      <c r="G893" s="101">
        <v>46227</v>
      </c>
      <c r="H893" t="s">
        <v>527</v>
      </c>
      <c r="I893" t="s">
        <v>445</v>
      </c>
      <c r="J893" t="s">
        <v>442</v>
      </c>
      <c r="K893" t="s">
        <v>382</v>
      </c>
      <c r="L893" s="39">
        <v>0.37072916666666667</v>
      </c>
      <c r="M893" s="39">
        <v>0.81157407407407411</v>
      </c>
      <c r="N893">
        <v>10.58</v>
      </c>
      <c r="O893" t="s">
        <v>1592</v>
      </c>
      <c r="P893">
        <v>0</v>
      </c>
      <c r="Q893" t="s">
        <v>1593</v>
      </c>
      <c r="R893">
        <v>1.98</v>
      </c>
      <c r="S893">
        <v>1.98</v>
      </c>
      <c r="T893" t="s">
        <v>528</v>
      </c>
      <c r="U893" t="s">
        <v>108</v>
      </c>
      <c r="V893" s="101">
        <v>46227</v>
      </c>
      <c r="W893">
        <v>1</v>
      </c>
      <c r="X893">
        <v>1</v>
      </c>
      <c r="Y893">
        <v>0</v>
      </c>
      <c r="Z893">
        <v>0</v>
      </c>
      <c r="AA893">
        <v>0</v>
      </c>
    </row>
    <row r="894" spans="1:27" x14ac:dyDescent="0.3">
      <c r="A894">
        <v>5089</v>
      </c>
      <c r="B894">
        <v>24.5</v>
      </c>
      <c r="C894">
        <v>2.5</v>
      </c>
      <c r="D894">
        <v>0</v>
      </c>
      <c r="E894">
        <v>0</v>
      </c>
      <c r="F894" t="s">
        <v>1572</v>
      </c>
      <c r="G894" s="101">
        <v>46228</v>
      </c>
      <c r="H894" t="s">
        <v>527</v>
      </c>
      <c r="I894" t="s">
        <v>445</v>
      </c>
      <c r="J894" t="s">
        <v>442</v>
      </c>
      <c r="K894" t="s">
        <v>382</v>
      </c>
      <c r="L894" s="39">
        <v>0.37057870370370372</v>
      </c>
      <c r="M894" s="39">
        <v>0.79005787037037034</v>
      </c>
      <c r="N894">
        <v>10.07</v>
      </c>
      <c r="O894" t="s">
        <v>491</v>
      </c>
      <c r="P894">
        <v>0</v>
      </c>
      <c r="Q894" t="s">
        <v>1594</v>
      </c>
      <c r="R894">
        <v>1.46</v>
      </c>
      <c r="S894">
        <v>1.46</v>
      </c>
      <c r="T894" t="s">
        <v>528</v>
      </c>
      <c r="U894" t="s">
        <v>108</v>
      </c>
      <c r="V894" s="101">
        <v>46228</v>
      </c>
      <c r="W894">
        <v>1</v>
      </c>
      <c r="X894">
        <v>1</v>
      </c>
      <c r="Y894">
        <v>0</v>
      </c>
      <c r="Z894">
        <v>0</v>
      </c>
      <c r="AA894">
        <v>0</v>
      </c>
    </row>
    <row r="895" spans="1:27" x14ac:dyDescent="0.3">
      <c r="A895">
        <v>5089</v>
      </c>
      <c r="B895">
        <v>24.5</v>
      </c>
      <c r="C895">
        <v>2.5</v>
      </c>
      <c r="D895">
        <v>0</v>
      </c>
      <c r="E895">
        <v>0</v>
      </c>
      <c r="F895" t="s">
        <v>1572</v>
      </c>
      <c r="G895" s="101">
        <v>46229</v>
      </c>
      <c r="H895" t="s">
        <v>527</v>
      </c>
      <c r="I895" t="s">
        <v>445</v>
      </c>
      <c r="J895" t="s">
        <v>442</v>
      </c>
      <c r="K895" t="s">
        <v>383</v>
      </c>
      <c r="L895" s="39">
        <v>0</v>
      </c>
      <c r="M895" s="39">
        <v>0</v>
      </c>
      <c r="N895">
        <v>0</v>
      </c>
      <c r="O895" t="s">
        <v>384</v>
      </c>
      <c r="P895">
        <v>9</v>
      </c>
      <c r="Q895" t="s">
        <v>385</v>
      </c>
      <c r="R895">
        <v>0</v>
      </c>
      <c r="S895">
        <v>9</v>
      </c>
      <c r="T895" t="s">
        <v>528</v>
      </c>
      <c r="U895" t="s">
        <v>366</v>
      </c>
      <c r="V895" s="101">
        <v>46229</v>
      </c>
      <c r="W895">
        <v>0</v>
      </c>
      <c r="X895">
        <v>0</v>
      </c>
      <c r="Y895">
        <v>0</v>
      </c>
      <c r="Z895">
        <v>0</v>
      </c>
      <c r="AA895">
        <v>0</v>
      </c>
    </row>
    <row r="896" spans="1:27" x14ac:dyDescent="0.3">
      <c r="A896">
        <v>5089</v>
      </c>
      <c r="B896">
        <v>24.5</v>
      </c>
      <c r="C896">
        <v>2.5</v>
      </c>
      <c r="D896">
        <v>0</v>
      </c>
      <c r="E896">
        <v>0</v>
      </c>
      <c r="F896" t="s">
        <v>1572</v>
      </c>
      <c r="G896" s="101">
        <v>46230</v>
      </c>
      <c r="H896" t="s">
        <v>527</v>
      </c>
      <c r="I896" t="s">
        <v>445</v>
      </c>
      <c r="J896" t="s">
        <v>442</v>
      </c>
      <c r="K896" t="s">
        <v>382</v>
      </c>
      <c r="L896" s="39">
        <v>0.36902777777777779</v>
      </c>
      <c r="M896" s="39">
        <v>0.76924768518518516</v>
      </c>
      <c r="N896">
        <v>9.61</v>
      </c>
      <c r="O896" t="s">
        <v>600</v>
      </c>
      <c r="P896">
        <v>0</v>
      </c>
      <c r="Q896" t="s">
        <v>1595</v>
      </c>
      <c r="R896">
        <v>0.96</v>
      </c>
      <c r="S896">
        <v>0.96</v>
      </c>
      <c r="T896" t="s">
        <v>528</v>
      </c>
      <c r="U896" t="s">
        <v>108</v>
      </c>
      <c r="V896" s="101">
        <v>46230</v>
      </c>
      <c r="W896">
        <v>1</v>
      </c>
      <c r="X896">
        <v>1</v>
      </c>
      <c r="Y896">
        <v>0</v>
      </c>
      <c r="Z896">
        <v>0</v>
      </c>
      <c r="AA896">
        <v>0</v>
      </c>
    </row>
    <row r="897" spans="1:27" x14ac:dyDescent="0.3">
      <c r="A897">
        <v>5089</v>
      </c>
      <c r="B897">
        <v>24.5</v>
      </c>
      <c r="C897">
        <v>2.5</v>
      </c>
      <c r="D897">
        <v>0</v>
      </c>
      <c r="E897">
        <v>0</v>
      </c>
      <c r="F897" t="s">
        <v>1572</v>
      </c>
      <c r="G897" s="101">
        <v>46231</v>
      </c>
      <c r="H897" t="s">
        <v>527</v>
      </c>
      <c r="I897" t="s">
        <v>445</v>
      </c>
      <c r="J897" t="s">
        <v>442</v>
      </c>
      <c r="K897" t="s">
        <v>382</v>
      </c>
      <c r="L897" s="39">
        <v>0.36934027777777778</v>
      </c>
      <c r="M897" s="39">
        <v>0.77011574074074074</v>
      </c>
      <c r="N897">
        <v>9.6199999999999992</v>
      </c>
      <c r="O897" t="s">
        <v>643</v>
      </c>
      <c r="P897">
        <v>0</v>
      </c>
      <c r="Q897" t="s">
        <v>1596</v>
      </c>
      <c r="R897">
        <v>0.98</v>
      </c>
      <c r="S897">
        <v>0.98</v>
      </c>
      <c r="T897" t="s">
        <v>528</v>
      </c>
      <c r="U897" t="s">
        <v>108</v>
      </c>
      <c r="V897" s="101">
        <v>46231</v>
      </c>
      <c r="W897">
        <v>1</v>
      </c>
      <c r="X897">
        <v>1</v>
      </c>
      <c r="Y897">
        <v>0</v>
      </c>
      <c r="Z897">
        <v>0</v>
      </c>
      <c r="AA897">
        <v>0</v>
      </c>
    </row>
    <row r="898" spans="1:27" x14ac:dyDescent="0.3">
      <c r="A898">
        <v>5089</v>
      </c>
      <c r="B898">
        <v>24.5</v>
      </c>
      <c r="C898">
        <v>2.5</v>
      </c>
      <c r="D898">
        <v>0</v>
      </c>
      <c r="E898">
        <v>0</v>
      </c>
      <c r="F898" t="s">
        <v>1572</v>
      </c>
      <c r="G898" s="101">
        <v>46232</v>
      </c>
      <c r="H898" t="s">
        <v>527</v>
      </c>
      <c r="I898" t="s">
        <v>445</v>
      </c>
      <c r="J898" t="s">
        <v>442</v>
      </c>
      <c r="K898" t="s">
        <v>382</v>
      </c>
      <c r="L898" s="39">
        <v>0.35425925925925927</v>
      </c>
      <c r="M898" s="39">
        <v>0.81497685185185187</v>
      </c>
      <c r="N898">
        <v>11.06</v>
      </c>
      <c r="O898" t="s">
        <v>1597</v>
      </c>
      <c r="P898">
        <v>0</v>
      </c>
      <c r="Q898" t="s">
        <v>1598</v>
      </c>
      <c r="R898">
        <v>2.06</v>
      </c>
      <c r="S898">
        <v>2.06</v>
      </c>
      <c r="T898" t="s">
        <v>528</v>
      </c>
      <c r="U898" t="s">
        <v>108</v>
      </c>
      <c r="V898" s="101">
        <v>46232</v>
      </c>
      <c r="W898">
        <v>1</v>
      </c>
      <c r="X898">
        <v>1</v>
      </c>
      <c r="Y898">
        <v>0</v>
      </c>
      <c r="Z898">
        <v>0</v>
      </c>
      <c r="AA898">
        <v>0</v>
      </c>
    </row>
    <row r="899" spans="1:27" x14ac:dyDescent="0.3">
      <c r="A899">
        <v>5089</v>
      </c>
      <c r="B899">
        <v>24.5</v>
      </c>
      <c r="C899">
        <v>2.5</v>
      </c>
      <c r="D899">
        <v>0</v>
      </c>
      <c r="E899">
        <v>0</v>
      </c>
      <c r="F899" t="s">
        <v>1572</v>
      </c>
      <c r="G899" s="101">
        <v>46233</v>
      </c>
      <c r="H899" t="s">
        <v>527</v>
      </c>
      <c r="I899" t="s">
        <v>445</v>
      </c>
      <c r="J899" t="s">
        <v>442</v>
      </c>
      <c r="K899" t="s">
        <v>382</v>
      </c>
      <c r="L899" s="39">
        <v>0.35509259259259257</v>
      </c>
      <c r="M899" s="39">
        <v>0.98097222222222225</v>
      </c>
      <c r="N899">
        <v>15.02</v>
      </c>
      <c r="O899" t="s">
        <v>1599</v>
      </c>
      <c r="P899">
        <v>0</v>
      </c>
      <c r="Q899" t="s">
        <v>1600</v>
      </c>
      <c r="R899">
        <v>6.04</v>
      </c>
      <c r="S899">
        <v>6.04</v>
      </c>
      <c r="T899" t="s">
        <v>528</v>
      </c>
      <c r="U899" t="s">
        <v>108</v>
      </c>
      <c r="V899" s="101">
        <v>46233</v>
      </c>
      <c r="W899">
        <v>1</v>
      </c>
      <c r="X899">
        <v>1</v>
      </c>
      <c r="Y899">
        <v>0</v>
      </c>
      <c r="Z899">
        <v>0</v>
      </c>
      <c r="AA899">
        <v>0</v>
      </c>
    </row>
    <row r="900" spans="1:27" x14ac:dyDescent="0.3">
      <c r="A900">
        <v>5089</v>
      </c>
      <c r="B900">
        <v>24.5</v>
      </c>
      <c r="C900">
        <v>2.5</v>
      </c>
      <c r="D900">
        <v>0</v>
      </c>
      <c r="E900">
        <v>0</v>
      </c>
      <c r="F900" t="s">
        <v>1572</v>
      </c>
      <c r="G900" s="101">
        <v>46234</v>
      </c>
      <c r="H900" t="s">
        <v>527</v>
      </c>
      <c r="I900" t="s">
        <v>445</v>
      </c>
      <c r="J900" t="s">
        <v>442</v>
      </c>
      <c r="K900" t="s">
        <v>382</v>
      </c>
      <c r="L900" s="39">
        <v>0.35556712962962961</v>
      </c>
      <c r="M900" s="39">
        <v>0.96359953703703705</v>
      </c>
      <c r="N900">
        <v>14.59</v>
      </c>
      <c r="O900" t="s">
        <v>1601</v>
      </c>
      <c r="P900">
        <v>0</v>
      </c>
      <c r="Q900" t="s">
        <v>1602</v>
      </c>
      <c r="R900">
        <v>5.63</v>
      </c>
      <c r="S900">
        <v>5.63</v>
      </c>
      <c r="T900" t="s">
        <v>528</v>
      </c>
      <c r="U900" t="s">
        <v>108</v>
      </c>
      <c r="V900" s="101">
        <v>46234</v>
      </c>
      <c r="W900">
        <v>1</v>
      </c>
      <c r="X900">
        <v>1</v>
      </c>
      <c r="Y900">
        <v>0</v>
      </c>
      <c r="Z900">
        <v>0</v>
      </c>
      <c r="AA900">
        <v>0</v>
      </c>
    </row>
    <row r="901" spans="1:27" x14ac:dyDescent="0.3">
      <c r="A901">
        <v>5090</v>
      </c>
      <c r="B901">
        <v>4</v>
      </c>
      <c r="C901">
        <v>23</v>
      </c>
      <c r="D901">
        <v>0</v>
      </c>
      <c r="E901">
        <v>0</v>
      </c>
      <c r="F901" t="s">
        <v>1603</v>
      </c>
      <c r="G901" s="101">
        <v>46204</v>
      </c>
      <c r="H901" t="s">
        <v>307</v>
      </c>
      <c r="I901" t="s">
        <v>441</v>
      </c>
      <c r="J901" t="s">
        <v>459</v>
      </c>
      <c r="K901" t="s">
        <v>383</v>
      </c>
      <c r="L901" s="39">
        <v>0</v>
      </c>
      <c r="M901" s="39">
        <v>0</v>
      </c>
      <c r="N901">
        <v>0</v>
      </c>
      <c r="O901" t="s">
        <v>384</v>
      </c>
      <c r="P901">
        <v>9</v>
      </c>
      <c r="Q901" t="s">
        <v>385</v>
      </c>
      <c r="R901">
        <v>0</v>
      </c>
      <c r="S901">
        <v>9</v>
      </c>
      <c r="T901" t="s">
        <v>1604</v>
      </c>
      <c r="U901" t="s">
        <v>366</v>
      </c>
      <c r="V901" s="101">
        <v>46204</v>
      </c>
      <c r="W901">
        <v>0</v>
      </c>
      <c r="X901">
        <v>0</v>
      </c>
      <c r="Y901">
        <v>0</v>
      </c>
      <c r="Z901">
        <v>0</v>
      </c>
      <c r="AA901">
        <v>0</v>
      </c>
    </row>
    <row r="902" spans="1:27" x14ac:dyDescent="0.3">
      <c r="A902">
        <v>5090</v>
      </c>
      <c r="B902">
        <v>4</v>
      </c>
      <c r="C902">
        <v>23</v>
      </c>
      <c r="D902">
        <v>0</v>
      </c>
      <c r="E902">
        <v>0</v>
      </c>
      <c r="F902" t="s">
        <v>1603</v>
      </c>
      <c r="G902" s="101">
        <v>46205</v>
      </c>
      <c r="H902" t="s">
        <v>307</v>
      </c>
      <c r="I902" t="s">
        <v>441</v>
      </c>
      <c r="J902" t="s">
        <v>459</v>
      </c>
      <c r="K902" t="s">
        <v>383</v>
      </c>
      <c r="L902" s="39">
        <v>0</v>
      </c>
      <c r="M902" s="39">
        <v>0</v>
      </c>
      <c r="N902">
        <v>0</v>
      </c>
      <c r="O902" t="s">
        <v>384</v>
      </c>
      <c r="P902">
        <v>9</v>
      </c>
      <c r="Q902" t="s">
        <v>385</v>
      </c>
      <c r="R902">
        <v>0</v>
      </c>
      <c r="S902">
        <v>9</v>
      </c>
      <c r="T902" t="s">
        <v>1604</v>
      </c>
      <c r="U902" t="s">
        <v>366</v>
      </c>
      <c r="V902" s="101">
        <v>46205</v>
      </c>
      <c r="W902">
        <v>0</v>
      </c>
      <c r="X902">
        <v>0</v>
      </c>
      <c r="Y902">
        <v>0</v>
      </c>
      <c r="Z902">
        <v>0</v>
      </c>
      <c r="AA902">
        <v>0</v>
      </c>
    </row>
    <row r="903" spans="1:27" x14ac:dyDescent="0.3">
      <c r="A903">
        <v>5090</v>
      </c>
      <c r="B903">
        <v>4</v>
      </c>
      <c r="C903">
        <v>23</v>
      </c>
      <c r="D903">
        <v>0</v>
      </c>
      <c r="E903">
        <v>0</v>
      </c>
      <c r="F903" t="s">
        <v>1603</v>
      </c>
      <c r="G903" s="101">
        <v>46206</v>
      </c>
      <c r="H903" t="s">
        <v>307</v>
      </c>
      <c r="I903" t="s">
        <v>441</v>
      </c>
      <c r="J903" t="s">
        <v>459</v>
      </c>
      <c r="K903" t="s">
        <v>383</v>
      </c>
      <c r="L903" s="39">
        <v>0</v>
      </c>
      <c r="M903" s="39">
        <v>0</v>
      </c>
      <c r="N903">
        <v>0</v>
      </c>
      <c r="O903" t="s">
        <v>384</v>
      </c>
      <c r="P903">
        <v>9</v>
      </c>
      <c r="Q903" t="s">
        <v>385</v>
      </c>
      <c r="R903">
        <v>0</v>
      </c>
      <c r="S903">
        <v>9</v>
      </c>
      <c r="T903" t="s">
        <v>1604</v>
      </c>
      <c r="U903" t="s">
        <v>366</v>
      </c>
      <c r="V903" s="101">
        <v>46206</v>
      </c>
      <c r="W903">
        <v>0</v>
      </c>
      <c r="X903">
        <v>0</v>
      </c>
      <c r="Y903">
        <v>0</v>
      </c>
      <c r="Z903">
        <v>0</v>
      </c>
      <c r="AA903">
        <v>0</v>
      </c>
    </row>
    <row r="904" spans="1:27" x14ac:dyDescent="0.3">
      <c r="A904">
        <v>5090</v>
      </c>
      <c r="B904">
        <v>4</v>
      </c>
      <c r="C904">
        <v>23</v>
      </c>
      <c r="D904">
        <v>0</v>
      </c>
      <c r="E904">
        <v>0</v>
      </c>
      <c r="F904" t="s">
        <v>1603</v>
      </c>
      <c r="G904" s="101">
        <v>46207</v>
      </c>
      <c r="H904" t="s">
        <v>307</v>
      </c>
      <c r="I904" t="s">
        <v>441</v>
      </c>
      <c r="J904" t="s">
        <v>459</v>
      </c>
      <c r="K904" t="s">
        <v>383</v>
      </c>
      <c r="L904" s="39">
        <v>0</v>
      </c>
      <c r="M904" s="39">
        <v>0</v>
      </c>
      <c r="N904">
        <v>0</v>
      </c>
      <c r="O904" t="s">
        <v>384</v>
      </c>
      <c r="P904">
        <v>9</v>
      </c>
      <c r="Q904" t="s">
        <v>385</v>
      </c>
      <c r="R904">
        <v>0</v>
      </c>
      <c r="S904">
        <v>9</v>
      </c>
      <c r="T904" t="s">
        <v>1604</v>
      </c>
      <c r="U904" t="s">
        <v>366</v>
      </c>
      <c r="V904" s="101">
        <v>46207</v>
      </c>
      <c r="W904">
        <v>0</v>
      </c>
      <c r="X904">
        <v>0</v>
      </c>
      <c r="Y904">
        <v>0</v>
      </c>
      <c r="Z904">
        <v>0</v>
      </c>
      <c r="AA904">
        <v>0</v>
      </c>
    </row>
    <row r="905" spans="1:27" x14ac:dyDescent="0.3">
      <c r="A905">
        <v>5090</v>
      </c>
      <c r="B905">
        <v>4</v>
      </c>
      <c r="C905">
        <v>23</v>
      </c>
      <c r="D905">
        <v>0</v>
      </c>
      <c r="E905">
        <v>0</v>
      </c>
      <c r="F905" t="s">
        <v>1603</v>
      </c>
      <c r="G905" s="101">
        <v>46208</v>
      </c>
      <c r="H905" t="s">
        <v>307</v>
      </c>
      <c r="I905" t="s">
        <v>441</v>
      </c>
      <c r="J905" t="s">
        <v>459</v>
      </c>
      <c r="K905" t="s">
        <v>383</v>
      </c>
      <c r="L905" s="39">
        <v>0</v>
      </c>
      <c r="M905" s="39">
        <v>0</v>
      </c>
      <c r="N905">
        <v>0</v>
      </c>
      <c r="O905" t="s">
        <v>384</v>
      </c>
      <c r="P905">
        <v>9</v>
      </c>
      <c r="Q905" t="s">
        <v>385</v>
      </c>
      <c r="R905">
        <v>0</v>
      </c>
      <c r="S905">
        <v>9</v>
      </c>
      <c r="T905" t="s">
        <v>1604</v>
      </c>
      <c r="U905" t="s">
        <v>366</v>
      </c>
      <c r="V905" s="101">
        <v>46208</v>
      </c>
      <c r="W905">
        <v>0</v>
      </c>
      <c r="X905">
        <v>0</v>
      </c>
      <c r="Y905">
        <v>0</v>
      </c>
      <c r="Z905">
        <v>0</v>
      </c>
      <c r="AA905">
        <v>0</v>
      </c>
    </row>
    <row r="906" spans="1:27" x14ac:dyDescent="0.3">
      <c r="A906">
        <v>5090</v>
      </c>
      <c r="B906">
        <v>4</v>
      </c>
      <c r="C906">
        <v>23</v>
      </c>
      <c r="D906">
        <v>0</v>
      </c>
      <c r="E906">
        <v>0</v>
      </c>
      <c r="F906" t="s">
        <v>1603</v>
      </c>
      <c r="G906" s="101">
        <v>46209</v>
      </c>
      <c r="H906" t="s">
        <v>307</v>
      </c>
      <c r="I906" t="s">
        <v>441</v>
      </c>
      <c r="J906" t="s">
        <v>459</v>
      </c>
      <c r="K906" t="s">
        <v>383</v>
      </c>
      <c r="L906" s="39">
        <v>0</v>
      </c>
      <c r="M906" s="39">
        <v>0</v>
      </c>
      <c r="N906">
        <v>0</v>
      </c>
      <c r="O906" t="s">
        <v>384</v>
      </c>
      <c r="P906">
        <v>9</v>
      </c>
      <c r="Q906" t="s">
        <v>385</v>
      </c>
      <c r="R906">
        <v>0</v>
      </c>
      <c r="S906">
        <v>9</v>
      </c>
      <c r="T906" t="s">
        <v>1604</v>
      </c>
      <c r="U906" t="s">
        <v>366</v>
      </c>
      <c r="V906" s="101">
        <v>46209</v>
      </c>
      <c r="W906">
        <v>0</v>
      </c>
      <c r="X906">
        <v>0</v>
      </c>
      <c r="Y906">
        <v>0</v>
      </c>
      <c r="Z906">
        <v>0</v>
      </c>
      <c r="AA906">
        <v>0</v>
      </c>
    </row>
    <row r="907" spans="1:27" x14ac:dyDescent="0.3">
      <c r="A907">
        <v>5090</v>
      </c>
      <c r="B907">
        <v>4</v>
      </c>
      <c r="C907">
        <v>23</v>
      </c>
      <c r="D907">
        <v>0</v>
      </c>
      <c r="E907">
        <v>0</v>
      </c>
      <c r="F907" t="s">
        <v>1603</v>
      </c>
      <c r="G907" s="101">
        <v>46210</v>
      </c>
      <c r="H907" t="s">
        <v>307</v>
      </c>
      <c r="I907" t="s">
        <v>441</v>
      </c>
      <c r="J907" t="s">
        <v>459</v>
      </c>
      <c r="K907" t="s">
        <v>383</v>
      </c>
      <c r="L907" s="39">
        <v>0</v>
      </c>
      <c r="M907" s="39">
        <v>0</v>
      </c>
      <c r="N907">
        <v>0</v>
      </c>
      <c r="O907" t="s">
        <v>384</v>
      </c>
      <c r="P907">
        <v>9</v>
      </c>
      <c r="Q907" t="s">
        <v>385</v>
      </c>
      <c r="R907">
        <v>0</v>
      </c>
      <c r="S907">
        <v>9</v>
      </c>
      <c r="T907" t="s">
        <v>1604</v>
      </c>
      <c r="U907" t="s">
        <v>366</v>
      </c>
      <c r="V907" s="101">
        <v>46210</v>
      </c>
      <c r="W907">
        <v>0</v>
      </c>
      <c r="X907">
        <v>0</v>
      </c>
      <c r="Y907">
        <v>0</v>
      </c>
      <c r="Z907">
        <v>0</v>
      </c>
      <c r="AA907">
        <v>0</v>
      </c>
    </row>
    <row r="908" spans="1:27" x14ac:dyDescent="0.3">
      <c r="A908">
        <v>5090</v>
      </c>
      <c r="B908">
        <v>4</v>
      </c>
      <c r="C908">
        <v>23</v>
      </c>
      <c r="D908">
        <v>0</v>
      </c>
      <c r="E908">
        <v>0</v>
      </c>
      <c r="F908" t="s">
        <v>1603</v>
      </c>
      <c r="G908" s="101">
        <v>46211</v>
      </c>
      <c r="H908" t="s">
        <v>307</v>
      </c>
      <c r="I908" t="s">
        <v>441</v>
      </c>
      <c r="J908" t="s">
        <v>459</v>
      </c>
      <c r="K908" t="s">
        <v>383</v>
      </c>
      <c r="L908" s="39">
        <v>0</v>
      </c>
      <c r="M908" s="39">
        <v>0</v>
      </c>
      <c r="N908">
        <v>0</v>
      </c>
      <c r="O908" t="s">
        <v>384</v>
      </c>
      <c r="P908">
        <v>9</v>
      </c>
      <c r="Q908" t="s">
        <v>385</v>
      </c>
      <c r="R908">
        <v>0</v>
      </c>
      <c r="S908">
        <v>9</v>
      </c>
      <c r="T908" t="s">
        <v>1604</v>
      </c>
      <c r="U908" t="s">
        <v>366</v>
      </c>
      <c r="V908" s="101">
        <v>46211</v>
      </c>
      <c r="W908">
        <v>0</v>
      </c>
      <c r="X908">
        <v>0</v>
      </c>
      <c r="Y908">
        <v>0</v>
      </c>
      <c r="Z908">
        <v>0</v>
      </c>
      <c r="AA908">
        <v>0</v>
      </c>
    </row>
    <row r="909" spans="1:27" x14ac:dyDescent="0.3">
      <c r="A909">
        <v>5090</v>
      </c>
      <c r="B909">
        <v>4</v>
      </c>
      <c r="C909">
        <v>23</v>
      </c>
      <c r="D909">
        <v>0</v>
      </c>
      <c r="E909">
        <v>0</v>
      </c>
      <c r="F909" t="s">
        <v>1603</v>
      </c>
      <c r="G909" s="101">
        <v>46212</v>
      </c>
      <c r="H909" t="s">
        <v>307</v>
      </c>
      <c r="I909" t="s">
        <v>441</v>
      </c>
      <c r="J909" t="s">
        <v>459</v>
      </c>
      <c r="K909" t="s">
        <v>383</v>
      </c>
      <c r="L909" s="39">
        <v>0</v>
      </c>
      <c r="M909" s="39">
        <v>0</v>
      </c>
      <c r="N909">
        <v>0</v>
      </c>
      <c r="O909" t="s">
        <v>384</v>
      </c>
      <c r="P909">
        <v>9</v>
      </c>
      <c r="Q909" t="s">
        <v>385</v>
      </c>
      <c r="R909">
        <v>0</v>
      </c>
      <c r="S909">
        <v>9</v>
      </c>
      <c r="T909" t="s">
        <v>1604</v>
      </c>
      <c r="U909" t="s">
        <v>366</v>
      </c>
      <c r="V909" s="101">
        <v>46212</v>
      </c>
      <c r="W909">
        <v>0</v>
      </c>
      <c r="X909">
        <v>0</v>
      </c>
      <c r="Y909">
        <v>0</v>
      </c>
      <c r="Z909">
        <v>0</v>
      </c>
      <c r="AA909">
        <v>0</v>
      </c>
    </row>
    <row r="910" spans="1:27" x14ac:dyDescent="0.3">
      <c r="A910">
        <v>5090</v>
      </c>
      <c r="B910">
        <v>4</v>
      </c>
      <c r="C910">
        <v>23</v>
      </c>
      <c r="D910">
        <v>0</v>
      </c>
      <c r="E910">
        <v>0</v>
      </c>
      <c r="F910" t="s">
        <v>1603</v>
      </c>
      <c r="G910" s="101">
        <v>46213</v>
      </c>
      <c r="H910" t="s">
        <v>307</v>
      </c>
      <c r="I910" t="s">
        <v>441</v>
      </c>
      <c r="J910" t="s">
        <v>459</v>
      </c>
      <c r="K910" t="s">
        <v>383</v>
      </c>
      <c r="L910" s="39">
        <v>0</v>
      </c>
      <c r="M910" s="39">
        <v>0</v>
      </c>
      <c r="N910">
        <v>0</v>
      </c>
      <c r="O910" t="s">
        <v>384</v>
      </c>
      <c r="P910">
        <v>9</v>
      </c>
      <c r="Q910" t="s">
        <v>385</v>
      </c>
      <c r="R910">
        <v>0</v>
      </c>
      <c r="S910">
        <v>9</v>
      </c>
      <c r="T910" t="s">
        <v>1604</v>
      </c>
      <c r="U910" t="s">
        <v>366</v>
      </c>
      <c r="V910" s="101">
        <v>46213</v>
      </c>
      <c r="W910">
        <v>0</v>
      </c>
      <c r="X910">
        <v>0</v>
      </c>
      <c r="Y910">
        <v>0</v>
      </c>
      <c r="Z910">
        <v>0</v>
      </c>
      <c r="AA910">
        <v>0</v>
      </c>
    </row>
    <row r="911" spans="1:27" x14ac:dyDescent="0.3">
      <c r="A911">
        <v>5090</v>
      </c>
      <c r="B911">
        <v>4</v>
      </c>
      <c r="C911">
        <v>23</v>
      </c>
      <c r="D911">
        <v>0</v>
      </c>
      <c r="E911">
        <v>0</v>
      </c>
      <c r="F911" t="s">
        <v>1603</v>
      </c>
      <c r="G911" s="101">
        <v>46214</v>
      </c>
      <c r="H911" t="s">
        <v>307</v>
      </c>
      <c r="I911" t="s">
        <v>441</v>
      </c>
      <c r="J911" t="s">
        <v>459</v>
      </c>
      <c r="K911" t="s">
        <v>383</v>
      </c>
      <c r="L911" s="39">
        <v>0</v>
      </c>
      <c r="M911" s="39">
        <v>0</v>
      </c>
      <c r="N911">
        <v>0</v>
      </c>
      <c r="O911" t="s">
        <v>384</v>
      </c>
      <c r="P911">
        <v>9</v>
      </c>
      <c r="Q911" t="s">
        <v>385</v>
      </c>
      <c r="R911">
        <v>0</v>
      </c>
      <c r="S911">
        <v>9</v>
      </c>
      <c r="T911" t="s">
        <v>1604</v>
      </c>
      <c r="U911" t="s">
        <v>366</v>
      </c>
      <c r="V911" s="101">
        <v>46214</v>
      </c>
      <c r="W911">
        <v>0</v>
      </c>
      <c r="X911">
        <v>0</v>
      </c>
      <c r="Y911">
        <v>0</v>
      </c>
      <c r="Z911">
        <v>0</v>
      </c>
      <c r="AA911">
        <v>0</v>
      </c>
    </row>
    <row r="912" spans="1:27" x14ac:dyDescent="0.3">
      <c r="A912">
        <v>5090</v>
      </c>
      <c r="B912">
        <v>4</v>
      </c>
      <c r="C912">
        <v>23</v>
      </c>
      <c r="D912">
        <v>0</v>
      </c>
      <c r="E912">
        <v>0</v>
      </c>
      <c r="F912" t="s">
        <v>1603</v>
      </c>
      <c r="G912" s="101">
        <v>46215</v>
      </c>
      <c r="H912" t="s">
        <v>307</v>
      </c>
      <c r="I912" t="s">
        <v>441</v>
      </c>
      <c r="J912" t="s">
        <v>459</v>
      </c>
      <c r="K912" t="s">
        <v>383</v>
      </c>
      <c r="L912" s="39">
        <v>0</v>
      </c>
      <c r="M912" s="39">
        <v>0</v>
      </c>
      <c r="N912">
        <v>0</v>
      </c>
      <c r="O912" t="s">
        <v>384</v>
      </c>
      <c r="P912">
        <v>9</v>
      </c>
      <c r="Q912" t="s">
        <v>385</v>
      </c>
      <c r="R912">
        <v>0</v>
      </c>
      <c r="S912">
        <v>9</v>
      </c>
      <c r="T912" t="s">
        <v>1604</v>
      </c>
      <c r="U912" t="s">
        <v>366</v>
      </c>
      <c r="V912" s="101">
        <v>46215</v>
      </c>
      <c r="W912">
        <v>0</v>
      </c>
      <c r="X912">
        <v>0</v>
      </c>
      <c r="Y912">
        <v>0</v>
      </c>
      <c r="Z912">
        <v>0</v>
      </c>
      <c r="AA912">
        <v>0</v>
      </c>
    </row>
    <row r="913" spans="1:27" x14ac:dyDescent="0.3">
      <c r="A913">
        <v>5090</v>
      </c>
      <c r="B913">
        <v>4</v>
      </c>
      <c r="C913">
        <v>23</v>
      </c>
      <c r="D913">
        <v>0</v>
      </c>
      <c r="E913">
        <v>0</v>
      </c>
      <c r="F913" t="s">
        <v>1603</v>
      </c>
      <c r="G913" s="101">
        <v>46216</v>
      </c>
      <c r="H913" t="s">
        <v>307</v>
      </c>
      <c r="I913" t="s">
        <v>441</v>
      </c>
      <c r="J913" t="s">
        <v>459</v>
      </c>
      <c r="K913" t="s">
        <v>383</v>
      </c>
      <c r="L913" s="39">
        <v>0</v>
      </c>
      <c r="M913" s="39">
        <v>0</v>
      </c>
      <c r="N913">
        <v>0</v>
      </c>
      <c r="O913" t="s">
        <v>384</v>
      </c>
      <c r="P913">
        <v>9</v>
      </c>
      <c r="Q913" t="s">
        <v>385</v>
      </c>
      <c r="R913">
        <v>0</v>
      </c>
      <c r="S913">
        <v>9</v>
      </c>
      <c r="T913" t="s">
        <v>1604</v>
      </c>
      <c r="U913" t="s">
        <v>366</v>
      </c>
      <c r="V913" s="101">
        <v>46216</v>
      </c>
      <c r="W913">
        <v>0</v>
      </c>
      <c r="X913">
        <v>0</v>
      </c>
      <c r="Y913">
        <v>0</v>
      </c>
      <c r="Z913">
        <v>0</v>
      </c>
      <c r="AA913">
        <v>0</v>
      </c>
    </row>
    <row r="914" spans="1:27" x14ac:dyDescent="0.3">
      <c r="A914">
        <v>5090</v>
      </c>
      <c r="B914">
        <v>4</v>
      </c>
      <c r="C914">
        <v>23</v>
      </c>
      <c r="D914">
        <v>0</v>
      </c>
      <c r="E914">
        <v>0</v>
      </c>
      <c r="F914" t="s">
        <v>1603</v>
      </c>
      <c r="G914" s="101">
        <v>46217</v>
      </c>
      <c r="H914" t="s">
        <v>307</v>
      </c>
      <c r="I914" t="s">
        <v>441</v>
      </c>
      <c r="J914" t="s">
        <v>459</v>
      </c>
      <c r="K914" t="s">
        <v>383</v>
      </c>
      <c r="L914" s="39">
        <v>0</v>
      </c>
      <c r="M914" s="39">
        <v>0</v>
      </c>
      <c r="N914">
        <v>0</v>
      </c>
      <c r="O914" t="s">
        <v>384</v>
      </c>
      <c r="P914">
        <v>9</v>
      </c>
      <c r="Q914" t="s">
        <v>385</v>
      </c>
      <c r="R914">
        <v>0</v>
      </c>
      <c r="S914">
        <v>9</v>
      </c>
      <c r="T914" t="s">
        <v>1604</v>
      </c>
      <c r="U914" t="s">
        <v>366</v>
      </c>
      <c r="V914" s="101">
        <v>46217</v>
      </c>
      <c r="W914">
        <v>0</v>
      </c>
      <c r="X914">
        <v>0</v>
      </c>
      <c r="Y914">
        <v>0</v>
      </c>
      <c r="Z914">
        <v>0</v>
      </c>
      <c r="AA914">
        <v>0</v>
      </c>
    </row>
    <row r="915" spans="1:27" x14ac:dyDescent="0.3">
      <c r="A915">
        <v>5090</v>
      </c>
      <c r="B915">
        <v>4</v>
      </c>
      <c r="C915">
        <v>23</v>
      </c>
      <c r="D915">
        <v>0</v>
      </c>
      <c r="E915">
        <v>0</v>
      </c>
      <c r="F915" t="s">
        <v>1603</v>
      </c>
      <c r="G915" s="101">
        <v>46218</v>
      </c>
      <c r="H915" t="s">
        <v>307</v>
      </c>
      <c r="I915" t="s">
        <v>441</v>
      </c>
      <c r="J915" t="s">
        <v>459</v>
      </c>
      <c r="K915" t="s">
        <v>383</v>
      </c>
      <c r="L915" s="39">
        <v>0</v>
      </c>
      <c r="M915" s="39">
        <v>0</v>
      </c>
      <c r="N915">
        <v>0</v>
      </c>
      <c r="O915" t="s">
        <v>384</v>
      </c>
      <c r="P915">
        <v>9</v>
      </c>
      <c r="Q915" t="s">
        <v>385</v>
      </c>
      <c r="R915">
        <v>0</v>
      </c>
      <c r="S915">
        <v>9</v>
      </c>
      <c r="T915" t="s">
        <v>1604</v>
      </c>
      <c r="U915" t="s">
        <v>366</v>
      </c>
      <c r="V915" s="101">
        <v>46218</v>
      </c>
      <c r="W915">
        <v>0</v>
      </c>
      <c r="X915">
        <v>0</v>
      </c>
      <c r="Y915">
        <v>0</v>
      </c>
      <c r="Z915">
        <v>0</v>
      </c>
      <c r="AA915">
        <v>0</v>
      </c>
    </row>
    <row r="916" spans="1:27" x14ac:dyDescent="0.3">
      <c r="A916">
        <v>5090</v>
      </c>
      <c r="B916">
        <v>4</v>
      </c>
      <c r="C916">
        <v>23</v>
      </c>
      <c r="D916">
        <v>0</v>
      </c>
      <c r="E916">
        <v>0</v>
      </c>
      <c r="F916" t="s">
        <v>1603</v>
      </c>
      <c r="G916" s="101">
        <v>46219</v>
      </c>
      <c r="H916" t="s">
        <v>307</v>
      </c>
      <c r="I916" t="s">
        <v>441</v>
      </c>
      <c r="J916" t="s">
        <v>459</v>
      </c>
      <c r="K916" t="s">
        <v>383</v>
      </c>
      <c r="L916" s="39">
        <v>0</v>
      </c>
      <c r="M916" s="39">
        <v>0</v>
      </c>
      <c r="N916">
        <v>0</v>
      </c>
      <c r="O916" t="s">
        <v>384</v>
      </c>
      <c r="P916">
        <v>9</v>
      </c>
      <c r="Q916" t="s">
        <v>385</v>
      </c>
      <c r="R916">
        <v>0</v>
      </c>
      <c r="S916">
        <v>9</v>
      </c>
      <c r="T916" t="s">
        <v>1604</v>
      </c>
      <c r="U916" t="s">
        <v>366</v>
      </c>
      <c r="V916" s="101">
        <v>46219</v>
      </c>
      <c r="W916">
        <v>0</v>
      </c>
      <c r="X916">
        <v>0</v>
      </c>
      <c r="Y916">
        <v>0</v>
      </c>
      <c r="Z916">
        <v>0</v>
      </c>
      <c r="AA916">
        <v>0</v>
      </c>
    </row>
    <row r="917" spans="1:27" x14ac:dyDescent="0.3">
      <c r="A917">
        <v>5090</v>
      </c>
      <c r="B917">
        <v>4</v>
      </c>
      <c r="C917">
        <v>23</v>
      </c>
      <c r="D917">
        <v>0</v>
      </c>
      <c r="E917">
        <v>0</v>
      </c>
      <c r="F917" t="s">
        <v>1603</v>
      </c>
      <c r="G917" s="101">
        <v>46220</v>
      </c>
      <c r="H917" t="s">
        <v>307</v>
      </c>
      <c r="I917" t="s">
        <v>441</v>
      </c>
      <c r="J917" t="s">
        <v>459</v>
      </c>
      <c r="K917" t="s">
        <v>383</v>
      </c>
      <c r="L917" s="39">
        <v>0</v>
      </c>
      <c r="M917" s="39">
        <v>0</v>
      </c>
      <c r="N917">
        <v>0</v>
      </c>
      <c r="O917" t="s">
        <v>384</v>
      </c>
      <c r="P917">
        <v>9</v>
      </c>
      <c r="Q917" t="s">
        <v>385</v>
      </c>
      <c r="R917">
        <v>0</v>
      </c>
      <c r="S917">
        <v>9</v>
      </c>
      <c r="T917" t="s">
        <v>1604</v>
      </c>
      <c r="U917" t="s">
        <v>366</v>
      </c>
      <c r="V917" s="101">
        <v>46220</v>
      </c>
      <c r="W917">
        <v>0</v>
      </c>
      <c r="X917">
        <v>0</v>
      </c>
      <c r="Y917">
        <v>0</v>
      </c>
      <c r="Z917">
        <v>0</v>
      </c>
      <c r="AA917">
        <v>0</v>
      </c>
    </row>
    <row r="918" spans="1:27" x14ac:dyDescent="0.3">
      <c r="A918">
        <v>5090</v>
      </c>
      <c r="B918">
        <v>4</v>
      </c>
      <c r="C918">
        <v>23</v>
      </c>
      <c r="D918">
        <v>0</v>
      </c>
      <c r="E918">
        <v>0</v>
      </c>
      <c r="F918" t="s">
        <v>1603</v>
      </c>
      <c r="G918" s="101">
        <v>46221</v>
      </c>
      <c r="H918" t="s">
        <v>307</v>
      </c>
      <c r="I918" t="s">
        <v>441</v>
      </c>
      <c r="J918" t="s">
        <v>459</v>
      </c>
      <c r="K918" t="s">
        <v>383</v>
      </c>
      <c r="L918" s="39">
        <v>0</v>
      </c>
      <c r="M918" s="39">
        <v>0</v>
      </c>
      <c r="N918">
        <v>0</v>
      </c>
      <c r="O918" t="s">
        <v>384</v>
      </c>
      <c r="P918">
        <v>9</v>
      </c>
      <c r="Q918" t="s">
        <v>385</v>
      </c>
      <c r="R918">
        <v>0</v>
      </c>
      <c r="S918">
        <v>9</v>
      </c>
      <c r="T918" t="s">
        <v>1604</v>
      </c>
      <c r="U918" t="s">
        <v>366</v>
      </c>
      <c r="V918" s="101">
        <v>46221</v>
      </c>
      <c r="W918">
        <v>0</v>
      </c>
      <c r="X918">
        <v>0</v>
      </c>
      <c r="Y918">
        <v>0</v>
      </c>
      <c r="Z918">
        <v>0</v>
      </c>
      <c r="AA918">
        <v>0</v>
      </c>
    </row>
    <row r="919" spans="1:27" x14ac:dyDescent="0.3">
      <c r="A919">
        <v>5090</v>
      </c>
      <c r="B919">
        <v>4</v>
      </c>
      <c r="C919">
        <v>23</v>
      </c>
      <c r="D919">
        <v>0</v>
      </c>
      <c r="E919">
        <v>0</v>
      </c>
      <c r="F919" t="s">
        <v>1603</v>
      </c>
      <c r="G919" s="101">
        <v>46222</v>
      </c>
      <c r="H919" t="s">
        <v>307</v>
      </c>
      <c r="I919" t="s">
        <v>441</v>
      </c>
      <c r="J919" t="s">
        <v>459</v>
      </c>
      <c r="K919" t="s">
        <v>383</v>
      </c>
      <c r="L919" s="39">
        <v>0</v>
      </c>
      <c r="M919" s="39">
        <v>0</v>
      </c>
      <c r="N919">
        <v>0</v>
      </c>
      <c r="O919" t="s">
        <v>384</v>
      </c>
      <c r="P919">
        <v>9</v>
      </c>
      <c r="Q919" t="s">
        <v>385</v>
      </c>
      <c r="R919">
        <v>0</v>
      </c>
      <c r="S919">
        <v>9</v>
      </c>
      <c r="T919" t="s">
        <v>1604</v>
      </c>
      <c r="U919" t="s">
        <v>366</v>
      </c>
      <c r="V919" s="101">
        <v>46222</v>
      </c>
      <c r="W919">
        <v>0</v>
      </c>
      <c r="X919">
        <v>0</v>
      </c>
      <c r="Y919">
        <v>0</v>
      </c>
      <c r="Z919">
        <v>0</v>
      </c>
      <c r="AA919">
        <v>0</v>
      </c>
    </row>
    <row r="920" spans="1:27" x14ac:dyDescent="0.3">
      <c r="A920">
        <v>5090</v>
      </c>
      <c r="B920">
        <v>4</v>
      </c>
      <c r="C920">
        <v>23</v>
      </c>
      <c r="D920">
        <v>0</v>
      </c>
      <c r="E920">
        <v>0</v>
      </c>
      <c r="F920" t="s">
        <v>1603</v>
      </c>
      <c r="G920" s="101">
        <v>46223</v>
      </c>
      <c r="H920" t="s">
        <v>307</v>
      </c>
      <c r="I920" t="s">
        <v>441</v>
      </c>
      <c r="J920" t="s">
        <v>459</v>
      </c>
      <c r="K920" t="s">
        <v>383</v>
      </c>
      <c r="L920" s="39">
        <v>0</v>
      </c>
      <c r="M920" s="39">
        <v>0</v>
      </c>
      <c r="N920">
        <v>0</v>
      </c>
      <c r="O920" t="s">
        <v>384</v>
      </c>
      <c r="P920">
        <v>9</v>
      </c>
      <c r="Q920" t="s">
        <v>385</v>
      </c>
      <c r="R920">
        <v>0</v>
      </c>
      <c r="S920">
        <v>9</v>
      </c>
      <c r="T920" t="s">
        <v>1604</v>
      </c>
      <c r="U920" t="s">
        <v>366</v>
      </c>
      <c r="V920" s="101">
        <v>46223</v>
      </c>
      <c r="W920">
        <v>0</v>
      </c>
      <c r="X920">
        <v>0</v>
      </c>
      <c r="Y920">
        <v>0</v>
      </c>
      <c r="Z920">
        <v>0</v>
      </c>
      <c r="AA920">
        <v>0</v>
      </c>
    </row>
    <row r="921" spans="1:27" x14ac:dyDescent="0.3">
      <c r="A921">
        <v>5090</v>
      </c>
      <c r="B921">
        <v>4</v>
      </c>
      <c r="C921">
        <v>23</v>
      </c>
      <c r="D921">
        <v>0</v>
      </c>
      <c r="E921">
        <v>0</v>
      </c>
      <c r="F921" t="s">
        <v>1603</v>
      </c>
      <c r="G921" s="101">
        <v>46224</v>
      </c>
      <c r="H921" t="s">
        <v>307</v>
      </c>
      <c r="I921" t="s">
        <v>441</v>
      </c>
      <c r="J921" t="s">
        <v>459</v>
      </c>
      <c r="K921" t="s">
        <v>383</v>
      </c>
      <c r="L921" s="39">
        <v>0</v>
      </c>
      <c r="M921" s="39">
        <v>0</v>
      </c>
      <c r="N921">
        <v>0</v>
      </c>
      <c r="O921" t="s">
        <v>384</v>
      </c>
      <c r="P921">
        <v>9</v>
      </c>
      <c r="Q921" t="s">
        <v>385</v>
      </c>
      <c r="R921">
        <v>0</v>
      </c>
      <c r="S921">
        <v>9</v>
      </c>
      <c r="T921" t="s">
        <v>1604</v>
      </c>
      <c r="U921" t="s">
        <v>366</v>
      </c>
      <c r="V921" s="101">
        <v>46224</v>
      </c>
      <c r="W921">
        <v>0</v>
      </c>
      <c r="X921">
        <v>0</v>
      </c>
      <c r="Y921">
        <v>0</v>
      </c>
      <c r="Z921">
        <v>0</v>
      </c>
      <c r="AA921">
        <v>0</v>
      </c>
    </row>
    <row r="922" spans="1:27" x14ac:dyDescent="0.3">
      <c r="A922">
        <v>5090</v>
      </c>
      <c r="B922">
        <v>4</v>
      </c>
      <c r="C922">
        <v>23</v>
      </c>
      <c r="D922">
        <v>0</v>
      </c>
      <c r="E922">
        <v>0</v>
      </c>
      <c r="F922" t="s">
        <v>1603</v>
      </c>
      <c r="G922" s="101">
        <v>46225</v>
      </c>
      <c r="H922" t="s">
        <v>307</v>
      </c>
      <c r="I922" t="s">
        <v>441</v>
      </c>
      <c r="J922" t="s">
        <v>459</v>
      </c>
      <c r="K922" t="s">
        <v>383</v>
      </c>
      <c r="L922" s="39">
        <v>0</v>
      </c>
      <c r="M922" s="39">
        <v>0</v>
      </c>
      <c r="N922">
        <v>0</v>
      </c>
      <c r="O922" t="s">
        <v>384</v>
      </c>
      <c r="P922">
        <v>9</v>
      </c>
      <c r="Q922" t="s">
        <v>385</v>
      </c>
      <c r="R922">
        <v>0</v>
      </c>
      <c r="S922">
        <v>9</v>
      </c>
      <c r="T922" t="s">
        <v>1604</v>
      </c>
      <c r="U922" t="s">
        <v>366</v>
      </c>
      <c r="V922" s="101">
        <v>46225</v>
      </c>
      <c r="W922">
        <v>0</v>
      </c>
      <c r="X922">
        <v>0</v>
      </c>
      <c r="Y922">
        <v>0</v>
      </c>
      <c r="Z922">
        <v>0</v>
      </c>
      <c r="AA922">
        <v>0</v>
      </c>
    </row>
    <row r="923" spans="1:27" x14ac:dyDescent="0.3">
      <c r="A923">
        <v>5090</v>
      </c>
      <c r="B923">
        <v>4</v>
      </c>
      <c r="C923">
        <v>23</v>
      </c>
      <c r="D923">
        <v>0</v>
      </c>
      <c r="E923">
        <v>0</v>
      </c>
      <c r="F923" t="s">
        <v>1603</v>
      </c>
      <c r="G923" s="101">
        <v>46226</v>
      </c>
      <c r="H923" t="s">
        <v>307</v>
      </c>
      <c r="I923" t="s">
        <v>441</v>
      </c>
      <c r="J923" t="s">
        <v>459</v>
      </c>
      <c r="K923" t="s">
        <v>383</v>
      </c>
      <c r="L923" s="39">
        <v>0</v>
      </c>
      <c r="M923" s="39">
        <v>0</v>
      </c>
      <c r="N923">
        <v>0</v>
      </c>
      <c r="O923" t="s">
        <v>384</v>
      </c>
      <c r="P923">
        <v>9</v>
      </c>
      <c r="Q923" t="s">
        <v>385</v>
      </c>
      <c r="R923">
        <v>0</v>
      </c>
      <c r="S923">
        <v>9</v>
      </c>
      <c r="T923" t="s">
        <v>1604</v>
      </c>
      <c r="U923" t="s">
        <v>366</v>
      </c>
      <c r="V923" s="101">
        <v>46226</v>
      </c>
      <c r="W923">
        <v>0</v>
      </c>
      <c r="X923">
        <v>0</v>
      </c>
      <c r="Y923">
        <v>0</v>
      </c>
      <c r="Z923">
        <v>0</v>
      </c>
      <c r="AA923">
        <v>0</v>
      </c>
    </row>
    <row r="924" spans="1:27" x14ac:dyDescent="0.3">
      <c r="A924">
        <v>5090</v>
      </c>
      <c r="B924">
        <v>4</v>
      </c>
      <c r="C924">
        <v>23</v>
      </c>
      <c r="D924">
        <v>0</v>
      </c>
      <c r="E924">
        <v>0</v>
      </c>
      <c r="F924" t="s">
        <v>1603</v>
      </c>
      <c r="G924" s="101">
        <v>46227</v>
      </c>
      <c r="H924" t="s">
        <v>307</v>
      </c>
      <c r="I924" t="s">
        <v>441</v>
      </c>
      <c r="J924" t="s">
        <v>459</v>
      </c>
      <c r="K924" t="s">
        <v>383</v>
      </c>
      <c r="L924" s="39">
        <v>0</v>
      </c>
      <c r="M924" s="39">
        <v>0</v>
      </c>
      <c r="N924">
        <v>0</v>
      </c>
      <c r="O924" t="s">
        <v>384</v>
      </c>
      <c r="P924">
        <v>9</v>
      </c>
      <c r="Q924" t="s">
        <v>385</v>
      </c>
      <c r="R924">
        <v>0</v>
      </c>
      <c r="S924">
        <v>9</v>
      </c>
      <c r="T924" t="s">
        <v>1604</v>
      </c>
      <c r="U924" t="s">
        <v>366</v>
      </c>
      <c r="V924" s="101">
        <v>46227</v>
      </c>
      <c r="W924">
        <v>0</v>
      </c>
      <c r="X924">
        <v>0</v>
      </c>
      <c r="Y924">
        <v>0</v>
      </c>
      <c r="Z924">
        <v>0</v>
      </c>
      <c r="AA924">
        <v>0</v>
      </c>
    </row>
    <row r="925" spans="1:27" x14ac:dyDescent="0.3">
      <c r="A925">
        <v>5090</v>
      </c>
      <c r="B925">
        <v>4</v>
      </c>
      <c r="C925">
        <v>23</v>
      </c>
      <c r="D925">
        <v>0</v>
      </c>
      <c r="E925">
        <v>0</v>
      </c>
      <c r="F925" t="s">
        <v>1603</v>
      </c>
      <c r="G925" s="101">
        <v>46228</v>
      </c>
      <c r="H925" t="s">
        <v>307</v>
      </c>
      <c r="I925" t="s">
        <v>441</v>
      </c>
      <c r="J925" t="s">
        <v>459</v>
      </c>
      <c r="K925" t="s">
        <v>383</v>
      </c>
      <c r="L925" s="39">
        <v>0</v>
      </c>
      <c r="M925" s="39">
        <v>0</v>
      </c>
      <c r="N925">
        <v>0</v>
      </c>
      <c r="O925" t="s">
        <v>384</v>
      </c>
      <c r="P925">
        <v>9</v>
      </c>
      <c r="Q925" t="s">
        <v>385</v>
      </c>
      <c r="R925">
        <v>0</v>
      </c>
      <c r="S925">
        <v>9</v>
      </c>
      <c r="T925" t="s">
        <v>1604</v>
      </c>
      <c r="U925" t="s">
        <v>366</v>
      </c>
      <c r="V925" s="101">
        <v>46228</v>
      </c>
      <c r="W925">
        <v>0</v>
      </c>
      <c r="X925">
        <v>0</v>
      </c>
      <c r="Y925">
        <v>0</v>
      </c>
      <c r="Z925">
        <v>0</v>
      </c>
      <c r="AA925">
        <v>0</v>
      </c>
    </row>
    <row r="926" spans="1:27" x14ac:dyDescent="0.3">
      <c r="A926">
        <v>5090</v>
      </c>
      <c r="B926">
        <v>4</v>
      </c>
      <c r="C926">
        <v>23</v>
      </c>
      <c r="D926">
        <v>0</v>
      </c>
      <c r="E926">
        <v>0</v>
      </c>
      <c r="F926" t="s">
        <v>1603</v>
      </c>
      <c r="G926" s="101">
        <v>46229</v>
      </c>
      <c r="H926" t="s">
        <v>307</v>
      </c>
      <c r="I926" t="s">
        <v>441</v>
      </c>
      <c r="J926" t="s">
        <v>459</v>
      </c>
      <c r="K926" t="s">
        <v>383</v>
      </c>
      <c r="L926" s="39">
        <v>0</v>
      </c>
      <c r="M926" s="39">
        <v>0</v>
      </c>
      <c r="N926">
        <v>0</v>
      </c>
      <c r="O926" t="s">
        <v>384</v>
      </c>
      <c r="P926">
        <v>9</v>
      </c>
      <c r="Q926" t="s">
        <v>385</v>
      </c>
      <c r="R926">
        <v>0</v>
      </c>
      <c r="S926">
        <v>9</v>
      </c>
      <c r="T926" t="s">
        <v>1604</v>
      </c>
      <c r="U926" t="s">
        <v>366</v>
      </c>
      <c r="V926" s="101">
        <v>46229</v>
      </c>
      <c r="W926">
        <v>0</v>
      </c>
      <c r="X926">
        <v>0</v>
      </c>
      <c r="Y926">
        <v>0</v>
      </c>
      <c r="Z926">
        <v>0</v>
      </c>
      <c r="AA926">
        <v>0</v>
      </c>
    </row>
    <row r="927" spans="1:27" x14ac:dyDescent="0.3">
      <c r="A927">
        <v>5090</v>
      </c>
      <c r="B927">
        <v>4</v>
      </c>
      <c r="C927">
        <v>23</v>
      </c>
      <c r="D927">
        <v>0</v>
      </c>
      <c r="E927">
        <v>0</v>
      </c>
      <c r="F927" t="s">
        <v>1603</v>
      </c>
      <c r="G927" s="101">
        <v>46230</v>
      </c>
      <c r="H927" t="s">
        <v>307</v>
      </c>
      <c r="I927" t="s">
        <v>441</v>
      </c>
      <c r="J927" t="s">
        <v>459</v>
      </c>
      <c r="K927" t="s">
        <v>383</v>
      </c>
      <c r="L927" s="39">
        <v>0</v>
      </c>
      <c r="M927" s="39">
        <v>0</v>
      </c>
      <c r="N927">
        <v>0</v>
      </c>
      <c r="O927" t="s">
        <v>384</v>
      </c>
      <c r="P927">
        <v>9</v>
      </c>
      <c r="Q927" t="s">
        <v>385</v>
      </c>
      <c r="R927">
        <v>0</v>
      </c>
      <c r="S927">
        <v>9</v>
      </c>
      <c r="T927" t="s">
        <v>1604</v>
      </c>
      <c r="U927" t="s">
        <v>366</v>
      </c>
      <c r="V927" s="101">
        <v>46230</v>
      </c>
      <c r="W927">
        <v>0</v>
      </c>
      <c r="X927">
        <v>0</v>
      </c>
      <c r="Y927">
        <v>0</v>
      </c>
      <c r="Z927">
        <v>0</v>
      </c>
      <c r="AA927">
        <v>0</v>
      </c>
    </row>
    <row r="928" spans="1:27" x14ac:dyDescent="0.3">
      <c r="A928">
        <v>5090</v>
      </c>
      <c r="B928">
        <v>4</v>
      </c>
      <c r="C928">
        <v>23</v>
      </c>
      <c r="D928">
        <v>0</v>
      </c>
      <c r="E928">
        <v>0</v>
      </c>
      <c r="F928" t="s">
        <v>1603</v>
      </c>
      <c r="G928" s="101">
        <v>46231</v>
      </c>
      <c r="H928" t="s">
        <v>307</v>
      </c>
      <c r="I928" t="s">
        <v>441</v>
      </c>
      <c r="J928" t="s">
        <v>459</v>
      </c>
      <c r="K928" t="s">
        <v>382</v>
      </c>
      <c r="L928" s="39">
        <v>0.375</v>
      </c>
      <c r="M928" s="39">
        <v>0.77083333333333337</v>
      </c>
      <c r="N928">
        <v>9.5</v>
      </c>
      <c r="O928" t="s">
        <v>418</v>
      </c>
      <c r="P928">
        <v>0</v>
      </c>
      <c r="Q928" t="s">
        <v>417</v>
      </c>
      <c r="R928">
        <v>1</v>
      </c>
      <c r="S928">
        <v>1</v>
      </c>
      <c r="T928" t="s">
        <v>1604</v>
      </c>
      <c r="U928" t="s">
        <v>108</v>
      </c>
      <c r="V928" s="101">
        <v>46231</v>
      </c>
      <c r="W928">
        <v>1</v>
      </c>
      <c r="X928">
        <v>1</v>
      </c>
      <c r="Y928">
        <v>0</v>
      </c>
      <c r="Z928">
        <v>0</v>
      </c>
      <c r="AA928">
        <v>0</v>
      </c>
    </row>
    <row r="929" spans="1:27" x14ac:dyDescent="0.3">
      <c r="A929">
        <v>5090</v>
      </c>
      <c r="B929">
        <v>4</v>
      </c>
      <c r="C929">
        <v>23</v>
      </c>
      <c r="D929">
        <v>0</v>
      </c>
      <c r="E929">
        <v>0</v>
      </c>
      <c r="F929" t="s">
        <v>1603</v>
      </c>
      <c r="G929" s="101">
        <v>46232</v>
      </c>
      <c r="H929" t="s">
        <v>307</v>
      </c>
      <c r="I929" t="s">
        <v>441</v>
      </c>
      <c r="J929" t="s">
        <v>459</v>
      </c>
      <c r="K929" t="s">
        <v>382</v>
      </c>
      <c r="L929" s="39">
        <v>0.375</v>
      </c>
      <c r="M929" s="39">
        <v>0.77083333333333337</v>
      </c>
      <c r="N929">
        <v>9.5</v>
      </c>
      <c r="O929" t="s">
        <v>418</v>
      </c>
      <c r="P929">
        <v>0</v>
      </c>
      <c r="Q929" t="s">
        <v>417</v>
      </c>
      <c r="R929">
        <v>1</v>
      </c>
      <c r="S929">
        <v>1</v>
      </c>
      <c r="T929" t="s">
        <v>1604</v>
      </c>
      <c r="U929" t="s">
        <v>108</v>
      </c>
      <c r="V929" s="101">
        <v>46232</v>
      </c>
      <c r="W929">
        <v>1</v>
      </c>
      <c r="X929">
        <v>1</v>
      </c>
      <c r="Y929">
        <v>0</v>
      </c>
      <c r="Z929">
        <v>0</v>
      </c>
      <c r="AA929">
        <v>0</v>
      </c>
    </row>
    <row r="930" spans="1:27" x14ac:dyDescent="0.3">
      <c r="A930">
        <v>5090</v>
      </c>
      <c r="B930">
        <v>4</v>
      </c>
      <c r="C930">
        <v>23</v>
      </c>
      <c r="D930">
        <v>0</v>
      </c>
      <c r="E930">
        <v>0</v>
      </c>
      <c r="F930" t="s">
        <v>1603</v>
      </c>
      <c r="G930" s="101">
        <v>46233</v>
      </c>
      <c r="H930" t="s">
        <v>307</v>
      </c>
      <c r="I930" t="s">
        <v>441</v>
      </c>
      <c r="J930" t="s">
        <v>459</v>
      </c>
      <c r="K930" t="s">
        <v>382</v>
      </c>
      <c r="L930" s="39">
        <v>0.375</v>
      </c>
      <c r="M930" s="39">
        <v>0.77083333333333337</v>
      </c>
      <c r="N930">
        <v>9.5</v>
      </c>
      <c r="O930" t="s">
        <v>418</v>
      </c>
      <c r="P930">
        <v>0</v>
      </c>
      <c r="Q930" t="s">
        <v>417</v>
      </c>
      <c r="R930">
        <v>1</v>
      </c>
      <c r="S930">
        <v>1</v>
      </c>
      <c r="T930" t="s">
        <v>1604</v>
      </c>
      <c r="U930" t="s">
        <v>108</v>
      </c>
      <c r="V930" s="101">
        <v>46233</v>
      </c>
      <c r="W930">
        <v>1</v>
      </c>
      <c r="X930">
        <v>1</v>
      </c>
      <c r="Y930">
        <v>0</v>
      </c>
      <c r="Z930">
        <v>0</v>
      </c>
      <c r="AA930">
        <v>0</v>
      </c>
    </row>
    <row r="931" spans="1:27" x14ac:dyDescent="0.3">
      <c r="A931">
        <v>5090</v>
      </c>
      <c r="B931">
        <v>4</v>
      </c>
      <c r="C931">
        <v>23</v>
      </c>
      <c r="D931">
        <v>0</v>
      </c>
      <c r="E931">
        <v>0</v>
      </c>
      <c r="F931" t="s">
        <v>1603</v>
      </c>
      <c r="G931" s="101">
        <v>46234</v>
      </c>
      <c r="H931" t="s">
        <v>307</v>
      </c>
      <c r="I931" t="s">
        <v>441</v>
      </c>
      <c r="J931" t="s">
        <v>459</v>
      </c>
      <c r="K931" t="s">
        <v>382</v>
      </c>
      <c r="L931" s="39">
        <v>0.375</v>
      </c>
      <c r="M931" s="39">
        <v>0.77083333333333337</v>
      </c>
      <c r="N931">
        <v>9.5</v>
      </c>
      <c r="O931" t="s">
        <v>418</v>
      </c>
      <c r="P931">
        <v>0</v>
      </c>
      <c r="Q931" t="s">
        <v>417</v>
      </c>
      <c r="R931">
        <v>1</v>
      </c>
      <c r="S931">
        <v>1</v>
      </c>
      <c r="T931" t="s">
        <v>1604</v>
      </c>
      <c r="U931" t="s">
        <v>108</v>
      </c>
      <c r="V931" s="101">
        <v>46234</v>
      </c>
      <c r="W931">
        <v>1</v>
      </c>
      <c r="X931">
        <v>1</v>
      </c>
      <c r="Y931">
        <v>0</v>
      </c>
      <c r="Z931">
        <v>0</v>
      </c>
      <c r="AA931">
        <v>0</v>
      </c>
    </row>
    <row r="932" spans="1:27" x14ac:dyDescent="0.3">
      <c r="A932">
        <v>5091</v>
      </c>
      <c r="B932">
        <v>0</v>
      </c>
      <c r="C932">
        <v>27</v>
      </c>
      <c r="D932">
        <v>0</v>
      </c>
      <c r="E932">
        <v>0</v>
      </c>
      <c r="F932" t="s">
        <v>1225</v>
      </c>
      <c r="G932" s="101">
        <v>46204</v>
      </c>
      <c r="H932" t="s">
        <v>146</v>
      </c>
      <c r="I932" t="s">
        <v>441</v>
      </c>
      <c r="J932" t="s">
        <v>442</v>
      </c>
      <c r="K932" t="s">
        <v>383</v>
      </c>
      <c r="L932" s="39">
        <v>0</v>
      </c>
      <c r="M932" s="39">
        <v>0</v>
      </c>
      <c r="N932">
        <v>0</v>
      </c>
      <c r="O932" t="s">
        <v>384</v>
      </c>
      <c r="P932">
        <v>9</v>
      </c>
      <c r="Q932" t="s">
        <v>385</v>
      </c>
      <c r="R932">
        <v>0</v>
      </c>
      <c r="S932">
        <v>9</v>
      </c>
      <c r="T932" t="s">
        <v>611</v>
      </c>
      <c r="U932" t="s">
        <v>366</v>
      </c>
      <c r="V932" s="101">
        <v>46204</v>
      </c>
      <c r="W932">
        <v>0</v>
      </c>
      <c r="X932">
        <v>0</v>
      </c>
      <c r="Y932">
        <v>0</v>
      </c>
      <c r="Z932">
        <v>0</v>
      </c>
      <c r="AA932">
        <v>0</v>
      </c>
    </row>
    <row r="933" spans="1:27" x14ac:dyDescent="0.3">
      <c r="A933">
        <v>5091</v>
      </c>
      <c r="B933">
        <v>0</v>
      </c>
      <c r="C933">
        <v>27</v>
      </c>
      <c r="D933">
        <v>0</v>
      </c>
      <c r="E933">
        <v>0</v>
      </c>
      <c r="F933" t="s">
        <v>1225</v>
      </c>
      <c r="G933" s="101">
        <v>46205</v>
      </c>
      <c r="H933" t="s">
        <v>146</v>
      </c>
      <c r="I933" t="s">
        <v>441</v>
      </c>
      <c r="J933" t="s">
        <v>442</v>
      </c>
      <c r="K933" t="s">
        <v>383</v>
      </c>
      <c r="L933" s="39">
        <v>0</v>
      </c>
      <c r="M933" s="39">
        <v>0</v>
      </c>
      <c r="N933">
        <v>0</v>
      </c>
      <c r="O933" t="s">
        <v>384</v>
      </c>
      <c r="P933">
        <v>9</v>
      </c>
      <c r="Q933" t="s">
        <v>385</v>
      </c>
      <c r="R933">
        <v>0</v>
      </c>
      <c r="S933">
        <v>9</v>
      </c>
      <c r="T933" t="s">
        <v>611</v>
      </c>
      <c r="U933" t="s">
        <v>366</v>
      </c>
      <c r="V933" s="101">
        <v>46205</v>
      </c>
      <c r="W933">
        <v>0</v>
      </c>
      <c r="X933">
        <v>0</v>
      </c>
      <c r="Y933">
        <v>0</v>
      </c>
      <c r="Z933">
        <v>0</v>
      </c>
      <c r="AA933">
        <v>0</v>
      </c>
    </row>
    <row r="934" spans="1:27" x14ac:dyDescent="0.3">
      <c r="A934">
        <v>5091</v>
      </c>
      <c r="B934">
        <v>0</v>
      </c>
      <c r="C934">
        <v>27</v>
      </c>
      <c r="D934">
        <v>0</v>
      </c>
      <c r="E934">
        <v>0</v>
      </c>
      <c r="F934" t="s">
        <v>1225</v>
      </c>
      <c r="G934" s="101">
        <v>46206</v>
      </c>
      <c r="H934" t="s">
        <v>146</v>
      </c>
      <c r="I934" t="s">
        <v>441</v>
      </c>
      <c r="J934" t="s">
        <v>442</v>
      </c>
      <c r="K934" t="s">
        <v>383</v>
      </c>
      <c r="L934" s="39">
        <v>0</v>
      </c>
      <c r="M934" s="39">
        <v>0</v>
      </c>
      <c r="N934">
        <v>0</v>
      </c>
      <c r="O934" t="s">
        <v>384</v>
      </c>
      <c r="P934">
        <v>9</v>
      </c>
      <c r="Q934" t="s">
        <v>385</v>
      </c>
      <c r="R934">
        <v>0</v>
      </c>
      <c r="S934">
        <v>9</v>
      </c>
      <c r="T934" t="s">
        <v>611</v>
      </c>
      <c r="U934" t="s">
        <v>366</v>
      </c>
      <c r="V934" s="101">
        <v>46206</v>
      </c>
      <c r="W934">
        <v>0</v>
      </c>
      <c r="X934">
        <v>0</v>
      </c>
      <c r="Y934">
        <v>0</v>
      </c>
      <c r="Z934">
        <v>0</v>
      </c>
      <c r="AA934">
        <v>0</v>
      </c>
    </row>
    <row r="935" spans="1:27" x14ac:dyDescent="0.3">
      <c r="A935">
        <v>5091</v>
      </c>
      <c r="B935">
        <v>0</v>
      </c>
      <c r="C935">
        <v>27</v>
      </c>
      <c r="D935">
        <v>0</v>
      </c>
      <c r="E935">
        <v>0</v>
      </c>
      <c r="F935" t="s">
        <v>1225</v>
      </c>
      <c r="G935" s="101">
        <v>46207</v>
      </c>
      <c r="H935" t="s">
        <v>146</v>
      </c>
      <c r="I935" t="s">
        <v>441</v>
      </c>
      <c r="J935" t="s">
        <v>442</v>
      </c>
      <c r="K935" t="s">
        <v>383</v>
      </c>
      <c r="L935" s="39">
        <v>0</v>
      </c>
      <c r="M935" s="39">
        <v>0</v>
      </c>
      <c r="N935">
        <v>0</v>
      </c>
      <c r="O935" t="s">
        <v>384</v>
      </c>
      <c r="P935">
        <v>9</v>
      </c>
      <c r="Q935" t="s">
        <v>385</v>
      </c>
      <c r="R935">
        <v>0</v>
      </c>
      <c r="S935">
        <v>9</v>
      </c>
      <c r="T935" t="s">
        <v>611</v>
      </c>
      <c r="U935" t="s">
        <v>366</v>
      </c>
      <c r="V935" s="101">
        <v>46207</v>
      </c>
      <c r="W935">
        <v>0</v>
      </c>
      <c r="X935">
        <v>0</v>
      </c>
      <c r="Y935">
        <v>0</v>
      </c>
      <c r="Z935">
        <v>0</v>
      </c>
      <c r="AA935">
        <v>0</v>
      </c>
    </row>
    <row r="936" spans="1:27" x14ac:dyDescent="0.3">
      <c r="A936">
        <v>5091</v>
      </c>
      <c r="B936">
        <v>0</v>
      </c>
      <c r="C936">
        <v>27</v>
      </c>
      <c r="D936">
        <v>0</v>
      </c>
      <c r="E936">
        <v>0</v>
      </c>
      <c r="F936" t="s">
        <v>1225</v>
      </c>
      <c r="G936" s="101">
        <v>46208</v>
      </c>
      <c r="H936" t="s">
        <v>146</v>
      </c>
      <c r="I936" t="s">
        <v>441</v>
      </c>
      <c r="J936" t="s">
        <v>442</v>
      </c>
      <c r="K936" t="s">
        <v>383</v>
      </c>
      <c r="L936" s="39">
        <v>0</v>
      </c>
      <c r="M936" s="39">
        <v>0</v>
      </c>
      <c r="N936">
        <v>0</v>
      </c>
      <c r="O936" t="s">
        <v>384</v>
      </c>
      <c r="P936">
        <v>9</v>
      </c>
      <c r="Q936" t="s">
        <v>385</v>
      </c>
      <c r="R936">
        <v>0</v>
      </c>
      <c r="S936">
        <v>9</v>
      </c>
      <c r="T936" t="s">
        <v>611</v>
      </c>
      <c r="U936" t="s">
        <v>366</v>
      </c>
      <c r="V936" s="101">
        <v>46208</v>
      </c>
      <c r="W936">
        <v>0</v>
      </c>
      <c r="X936">
        <v>0</v>
      </c>
      <c r="Y936">
        <v>0</v>
      </c>
      <c r="Z936">
        <v>0</v>
      </c>
      <c r="AA936">
        <v>0</v>
      </c>
    </row>
    <row r="937" spans="1:27" x14ac:dyDescent="0.3">
      <c r="A937">
        <v>5091</v>
      </c>
      <c r="B937">
        <v>0</v>
      </c>
      <c r="C937">
        <v>27</v>
      </c>
      <c r="D937">
        <v>0</v>
      </c>
      <c r="E937">
        <v>0</v>
      </c>
      <c r="F937" t="s">
        <v>1225</v>
      </c>
      <c r="G937" s="101">
        <v>46209</v>
      </c>
      <c r="H937" t="s">
        <v>146</v>
      </c>
      <c r="I937" t="s">
        <v>441</v>
      </c>
      <c r="J937" t="s">
        <v>442</v>
      </c>
      <c r="K937" t="s">
        <v>383</v>
      </c>
      <c r="L937" s="39">
        <v>0</v>
      </c>
      <c r="M937" s="39">
        <v>0</v>
      </c>
      <c r="N937">
        <v>0</v>
      </c>
      <c r="O937" t="s">
        <v>384</v>
      </c>
      <c r="P937">
        <v>9</v>
      </c>
      <c r="Q937" t="s">
        <v>385</v>
      </c>
      <c r="R937">
        <v>0</v>
      </c>
      <c r="S937">
        <v>9</v>
      </c>
      <c r="T937" t="s">
        <v>611</v>
      </c>
      <c r="U937" t="s">
        <v>366</v>
      </c>
      <c r="V937" s="101">
        <v>46209</v>
      </c>
      <c r="W937">
        <v>0</v>
      </c>
      <c r="X937">
        <v>0</v>
      </c>
      <c r="Y937">
        <v>0</v>
      </c>
      <c r="Z937">
        <v>0</v>
      </c>
      <c r="AA937">
        <v>0</v>
      </c>
    </row>
    <row r="938" spans="1:27" x14ac:dyDescent="0.3">
      <c r="A938">
        <v>5091</v>
      </c>
      <c r="B938">
        <v>0</v>
      </c>
      <c r="C938">
        <v>27</v>
      </c>
      <c r="D938">
        <v>0</v>
      </c>
      <c r="E938">
        <v>0</v>
      </c>
      <c r="F938" t="s">
        <v>1225</v>
      </c>
      <c r="G938" s="101">
        <v>46210</v>
      </c>
      <c r="H938" t="s">
        <v>146</v>
      </c>
      <c r="I938" t="s">
        <v>441</v>
      </c>
      <c r="J938" t="s">
        <v>442</v>
      </c>
      <c r="K938" t="s">
        <v>383</v>
      </c>
      <c r="L938" s="39">
        <v>0</v>
      </c>
      <c r="M938" s="39">
        <v>0</v>
      </c>
      <c r="N938">
        <v>0</v>
      </c>
      <c r="O938" t="s">
        <v>384</v>
      </c>
      <c r="P938">
        <v>9</v>
      </c>
      <c r="Q938" t="s">
        <v>385</v>
      </c>
      <c r="R938">
        <v>0</v>
      </c>
      <c r="S938">
        <v>9</v>
      </c>
      <c r="T938" t="s">
        <v>611</v>
      </c>
      <c r="U938" t="s">
        <v>366</v>
      </c>
      <c r="V938" s="101">
        <v>46210</v>
      </c>
      <c r="W938">
        <v>0</v>
      </c>
      <c r="X938">
        <v>0</v>
      </c>
      <c r="Y938">
        <v>0</v>
      </c>
      <c r="Z938">
        <v>0</v>
      </c>
      <c r="AA938">
        <v>0</v>
      </c>
    </row>
    <row r="939" spans="1:27" x14ac:dyDescent="0.3">
      <c r="A939">
        <v>5091</v>
      </c>
      <c r="B939">
        <v>0</v>
      </c>
      <c r="C939">
        <v>27</v>
      </c>
      <c r="D939">
        <v>0</v>
      </c>
      <c r="E939">
        <v>0</v>
      </c>
      <c r="F939" t="s">
        <v>1225</v>
      </c>
      <c r="G939" s="101">
        <v>46211</v>
      </c>
      <c r="H939" t="s">
        <v>146</v>
      </c>
      <c r="I939" t="s">
        <v>441</v>
      </c>
      <c r="J939" t="s">
        <v>442</v>
      </c>
      <c r="K939" t="s">
        <v>383</v>
      </c>
      <c r="L939" s="39">
        <v>0</v>
      </c>
      <c r="M939" s="39">
        <v>0</v>
      </c>
      <c r="N939">
        <v>0</v>
      </c>
      <c r="O939" t="s">
        <v>384</v>
      </c>
      <c r="P939">
        <v>9</v>
      </c>
      <c r="Q939" t="s">
        <v>385</v>
      </c>
      <c r="R939">
        <v>0</v>
      </c>
      <c r="S939">
        <v>9</v>
      </c>
      <c r="T939" t="s">
        <v>611</v>
      </c>
      <c r="U939" t="s">
        <v>366</v>
      </c>
      <c r="V939" s="101">
        <v>46211</v>
      </c>
      <c r="W939">
        <v>0</v>
      </c>
      <c r="X939">
        <v>0</v>
      </c>
      <c r="Y939">
        <v>0</v>
      </c>
      <c r="Z939">
        <v>0</v>
      </c>
      <c r="AA939">
        <v>0</v>
      </c>
    </row>
    <row r="940" spans="1:27" x14ac:dyDescent="0.3">
      <c r="A940">
        <v>5091</v>
      </c>
      <c r="B940">
        <v>0</v>
      </c>
      <c r="C940">
        <v>27</v>
      </c>
      <c r="D940">
        <v>0</v>
      </c>
      <c r="E940">
        <v>0</v>
      </c>
      <c r="F940" t="s">
        <v>1225</v>
      </c>
      <c r="G940" s="101">
        <v>46212</v>
      </c>
      <c r="H940" t="s">
        <v>146</v>
      </c>
      <c r="I940" t="s">
        <v>441</v>
      </c>
      <c r="J940" t="s">
        <v>442</v>
      </c>
      <c r="K940" t="s">
        <v>383</v>
      </c>
      <c r="L940" s="39">
        <v>0</v>
      </c>
      <c r="M940" s="39">
        <v>0</v>
      </c>
      <c r="N940">
        <v>0</v>
      </c>
      <c r="O940" t="s">
        <v>384</v>
      </c>
      <c r="P940">
        <v>9</v>
      </c>
      <c r="Q940" t="s">
        <v>385</v>
      </c>
      <c r="R940">
        <v>0</v>
      </c>
      <c r="S940">
        <v>9</v>
      </c>
      <c r="T940" t="s">
        <v>611</v>
      </c>
      <c r="U940" t="s">
        <v>366</v>
      </c>
      <c r="V940" s="101">
        <v>46212</v>
      </c>
      <c r="W940">
        <v>0</v>
      </c>
      <c r="X940">
        <v>0</v>
      </c>
      <c r="Y940">
        <v>0</v>
      </c>
      <c r="Z940">
        <v>0</v>
      </c>
      <c r="AA940">
        <v>0</v>
      </c>
    </row>
    <row r="941" spans="1:27" x14ac:dyDescent="0.3">
      <c r="A941">
        <v>5091</v>
      </c>
      <c r="B941">
        <v>0</v>
      </c>
      <c r="C941">
        <v>27</v>
      </c>
      <c r="D941">
        <v>0</v>
      </c>
      <c r="E941">
        <v>0</v>
      </c>
      <c r="F941" t="s">
        <v>1225</v>
      </c>
      <c r="G941" s="101">
        <v>46213</v>
      </c>
      <c r="H941" t="s">
        <v>146</v>
      </c>
      <c r="I941" t="s">
        <v>441</v>
      </c>
      <c r="J941" t="s">
        <v>442</v>
      </c>
      <c r="K941" t="s">
        <v>383</v>
      </c>
      <c r="L941" s="39">
        <v>0</v>
      </c>
      <c r="M941" s="39">
        <v>0</v>
      </c>
      <c r="N941">
        <v>0</v>
      </c>
      <c r="O941" t="s">
        <v>384</v>
      </c>
      <c r="P941">
        <v>9</v>
      </c>
      <c r="Q941" t="s">
        <v>385</v>
      </c>
      <c r="R941">
        <v>0</v>
      </c>
      <c r="S941">
        <v>9</v>
      </c>
      <c r="T941" t="s">
        <v>611</v>
      </c>
      <c r="U941" t="s">
        <v>366</v>
      </c>
      <c r="V941" s="101">
        <v>46213</v>
      </c>
      <c r="W941">
        <v>0</v>
      </c>
      <c r="X941">
        <v>0</v>
      </c>
      <c r="Y941">
        <v>0</v>
      </c>
      <c r="Z941">
        <v>0</v>
      </c>
      <c r="AA941">
        <v>0</v>
      </c>
    </row>
    <row r="942" spans="1:27" x14ac:dyDescent="0.3">
      <c r="A942">
        <v>5091</v>
      </c>
      <c r="B942">
        <v>0</v>
      </c>
      <c r="C942">
        <v>27</v>
      </c>
      <c r="D942">
        <v>0</v>
      </c>
      <c r="E942">
        <v>0</v>
      </c>
      <c r="F942" t="s">
        <v>1225</v>
      </c>
      <c r="G942" s="101">
        <v>46214</v>
      </c>
      <c r="H942" t="s">
        <v>146</v>
      </c>
      <c r="I942" t="s">
        <v>441</v>
      </c>
      <c r="J942" t="s">
        <v>442</v>
      </c>
      <c r="K942" t="s">
        <v>383</v>
      </c>
      <c r="L942" s="39">
        <v>0</v>
      </c>
      <c r="M942" s="39">
        <v>0</v>
      </c>
      <c r="N942">
        <v>0</v>
      </c>
      <c r="O942" t="s">
        <v>384</v>
      </c>
      <c r="P942">
        <v>9</v>
      </c>
      <c r="Q942" t="s">
        <v>385</v>
      </c>
      <c r="R942">
        <v>0</v>
      </c>
      <c r="S942">
        <v>9</v>
      </c>
      <c r="T942" t="s">
        <v>611</v>
      </c>
      <c r="U942" t="s">
        <v>366</v>
      </c>
      <c r="V942" s="101">
        <v>46214</v>
      </c>
      <c r="W942">
        <v>0</v>
      </c>
      <c r="X942">
        <v>0</v>
      </c>
      <c r="Y942">
        <v>0</v>
      </c>
      <c r="Z942">
        <v>0</v>
      </c>
      <c r="AA942">
        <v>0</v>
      </c>
    </row>
    <row r="943" spans="1:27" x14ac:dyDescent="0.3">
      <c r="A943">
        <v>5091</v>
      </c>
      <c r="B943">
        <v>0</v>
      </c>
      <c r="C943">
        <v>27</v>
      </c>
      <c r="D943">
        <v>0</v>
      </c>
      <c r="E943">
        <v>0</v>
      </c>
      <c r="F943" t="s">
        <v>1225</v>
      </c>
      <c r="G943" s="101">
        <v>46215</v>
      </c>
      <c r="H943" t="s">
        <v>146</v>
      </c>
      <c r="I943" t="s">
        <v>441</v>
      </c>
      <c r="J943" t="s">
        <v>442</v>
      </c>
      <c r="K943" t="s">
        <v>383</v>
      </c>
      <c r="L943" s="39">
        <v>0</v>
      </c>
      <c r="M943" s="39">
        <v>0</v>
      </c>
      <c r="N943">
        <v>0</v>
      </c>
      <c r="O943" t="s">
        <v>384</v>
      </c>
      <c r="P943">
        <v>9</v>
      </c>
      <c r="Q943" t="s">
        <v>385</v>
      </c>
      <c r="R943">
        <v>0</v>
      </c>
      <c r="S943">
        <v>9</v>
      </c>
      <c r="T943" t="s">
        <v>611</v>
      </c>
      <c r="U943" t="s">
        <v>366</v>
      </c>
      <c r="V943" s="101">
        <v>46215</v>
      </c>
      <c r="W943">
        <v>0</v>
      </c>
      <c r="X943">
        <v>0</v>
      </c>
      <c r="Y943">
        <v>0</v>
      </c>
      <c r="Z943">
        <v>0</v>
      </c>
      <c r="AA943">
        <v>0</v>
      </c>
    </row>
    <row r="944" spans="1:27" x14ac:dyDescent="0.3">
      <c r="A944">
        <v>5091</v>
      </c>
      <c r="B944">
        <v>0</v>
      </c>
      <c r="C944">
        <v>27</v>
      </c>
      <c r="D944">
        <v>0</v>
      </c>
      <c r="E944">
        <v>0</v>
      </c>
      <c r="F944" t="s">
        <v>1225</v>
      </c>
      <c r="G944" s="101">
        <v>46216</v>
      </c>
      <c r="H944" t="s">
        <v>146</v>
      </c>
      <c r="I944" t="s">
        <v>441</v>
      </c>
      <c r="J944" t="s">
        <v>442</v>
      </c>
      <c r="K944" t="s">
        <v>383</v>
      </c>
      <c r="L944" s="39">
        <v>0</v>
      </c>
      <c r="M944" s="39">
        <v>0</v>
      </c>
      <c r="N944">
        <v>0</v>
      </c>
      <c r="O944" t="s">
        <v>384</v>
      </c>
      <c r="P944">
        <v>9</v>
      </c>
      <c r="Q944" t="s">
        <v>385</v>
      </c>
      <c r="R944">
        <v>0</v>
      </c>
      <c r="S944">
        <v>9</v>
      </c>
      <c r="T944" t="s">
        <v>611</v>
      </c>
      <c r="U944" t="s">
        <v>366</v>
      </c>
      <c r="V944" s="101">
        <v>46216</v>
      </c>
      <c r="W944">
        <v>0</v>
      </c>
      <c r="X944">
        <v>0</v>
      </c>
      <c r="Y944">
        <v>0</v>
      </c>
      <c r="Z944">
        <v>0</v>
      </c>
      <c r="AA944">
        <v>0</v>
      </c>
    </row>
    <row r="945" spans="1:27" x14ac:dyDescent="0.3">
      <c r="A945">
        <v>5091</v>
      </c>
      <c r="B945">
        <v>0</v>
      </c>
      <c r="C945">
        <v>27</v>
      </c>
      <c r="D945">
        <v>0</v>
      </c>
      <c r="E945">
        <v>0</v>
      </c>
      <c r="F945" t="s">
        <v>1225</v>
      </c>
      <c r="G945" s="101">
        <v>46217</v>
      </c>
      <c r="H945" t="s">
        <v>146</v>
      </c>
      <c r="I945" t="s">
        <v>441</v>
      </c>
      <c r="J945" t="s">
        <v>442</v>
      </c>
      <c r="K945" t="s">
        <v>383</v>
      </c>
      <c r="L945" s="39">
        <v>0</v>
      </c>
      <c r="M945" s="39">
        <v>0</v>
      </c>
      <c r="N945">
        <v>0</v>
      </c>
      <c r="O945" t="s">
        <v>384</v>
      </c>
      <c r="P945">
        <v>9</v>
      </c>
      <c r="Q945" t="s">
        <v>385</v>
      </c>
      <c r="R945">
        <v>0</v>
      </c>
      <c r="S945">
        <v>9</v>
      </c>
      <c r="T945" t="s">
        <v>611</v>
      </c>
      <c r="U945" t="s">
        <v>366</v>
      </c>
      <c r="V945" s="101">
        <v>46217</v>
      </c>
      <c r="W945">
        <v>0</v>
      </c>
      <c r="X945">
        <v>0</v>
      </c>
      <c r="Y945">
        <v>0</v>
      </c>
      <c r="Z945">
        <v>0</v>
      </c>
      <c r="AA945">
        <v>0</v>
      </c>
    </row>
    <row r="946" spans="1:27" x14ac:dyDescent="0.3">
      <c r="A946">
        <v>5091</v>
      </c>
      <c r="B946">
        <v>0</v>
      </c>
      <c r="C946">
        <v>27</v>
      </c>
      <c r="D946">
        <v>0</v>
      </c>
      <c r="E946">
        <v>0</v>
      </c>
      <c r="F946" t="s">
        <v>1225</v>
      </c>
      <c r="G946" s="101">
        <v>46218</v>
      </c>
      <c r="H946" t="s">
        <v>146</v>
      </c>
      <c r="I946" t="s">
        <v>441</v>
      </c>
      <c r="J946" t="s">
        <v>442</v>
      </c>
      <c r="K946" t="s">
        <v>383</v>
      </c>
      <c r="L946" s="39">
        <v>0</v>
      </c>
      <c r="M946" s="39">
        <v>0</v>
      </c>
      <c r="N946">
        <v>0</v>
      </c>
      <c r="O946" t="s">
        <v>384</v>
      </c>
      <c r="P946">
        <v>9</v>
      </c>
      <c r="Q946" t="s">
        <v>385</v>
      </c>
      <c r="R946">
        <v>0</v>
      </c>
      <c r="S946">
        <v>9</v>
      </c>
      <c r="T946" t="s">
        <v>611</v>
      </c>
      <c r="U946" t="s">
        <v>366</v>
      </c>
      <c r="V946" s="101">
        <v>46218</v>
      </c>
      <c r="W946">
        <v>0</v>
      </c>
      <c r="X946">
        <v>0</v>
      </c>
      <c r="Y946">
        <v>0</v>
      </c>
      <c r="Z946">
        <v>0</v>
      </c>
      <c r="AA946">
        <v>0</v>
      </c>
    </row>
    <row r="947" spans="1:27" x14ac:dyDescent="0.3">
      <c r="A947">
        <v>5091</v>
      </c>
      <c r="B947">
        <v>0</v>
      </c>
      <c r="C947">
        <v>27</v>
      </c>
      <c r="D947">
        <v>0</v>
      </c>
      <c r="E947">
        <v>0</v>
      </c>
      <c r="F947" t="s">
        <v>1225</v>
      </c>
      <c r="G947" s="101">
        <v>46219</v>
      </c>
      <c r="H947" t="s">
        <v>146</v>
      </c>
      <c r="I947" t="s">
        <v>441</v>
      </c>
      <c r="J947" t="s">
        <v>442</v>
      </c>
      <c r="K947" t="s">
        <v>383</v>
      </c>
      <c r="L947" s="39">
        <v>0</v>
      </c>
      <c r="M947" s="39">
        <v>0</v>
      </c>
      <c r="N947">
        <v>0</v>
      </c>
      <c r="O947" t="s">
        <v>384</v>
      </c>
      <c r="P947">
        <v>9</v>
      </c>
      <c r="Q947" t="s">
        <v>385</v>
      </c>
      <c r="R947">
        <v>0</v>
      </c>
      <c r="S947">
        <v>9</v>
      </c>
      <c r="T947" t="s">
        <v>611</v>
      </c>
      <c r="U947" t="s">
        <v>366</v>
      </c>
      <c r="V947" s="101">
        <v>46219</v>
      </c>
      <c r="W947">
        <v>0</v>
      </c>
      <c r="X947">
        <v>0</v>
      </c>
      <c r="Y947">
        <v>0</v>
      </c>
      <c r="Z947">
        <v>0</v>
      </c>
      <c r="AA947">
        <v>0</v>
      </c>
    </row>
    <row r="948" spans="1:27" x14ac:dyDescent="0.3">
      <c r="A948">
        <v>5091</v>
      </c>
      <c r="B948">
        <v>0</v>
      </c>
      <c r="C948">
        <v>27</v>
      </c>
      <c r="D948">
        <v>0</v>
      </c>
      <c r="E948">
        <v>0</v>
      </c>
      <c r="F948" t="s">
        <v>1225</v>
      </c>
      <c r="G948" s="101">
        <v>46220</v>
      </c>
      <c r="H948" t="s">
        <v>146</v>
      </c>
      <c r="I948" t="s">
        <v>441</v>
      </c>
      <c r="J948" t="s">
        <v>442</v>
      </c>
      <c r="K948" t="s">
        <v>383</v>
      </c>
      <c r="L948" s="39">
        <v>0</v>
      </c>
      <c r="M948" s="39">
        <v>0</v>
      </c>
      <c r="N948">
        <v>0</v>
      </c>
      <c r="O948" t="s">
        <v>384</v>
      </c>
      <c r="P948">
        <v>9</v>
      </c>
      <c r="Q948" t="s">
        <v>385</v>
      </c>
      <c r="R948">
        <v>0</v>
      </c>
      <c r="S948">
        <v>9</v>
      </c>
      <c r="T948" t="s">
        <v>611</v>
      </c>
      <c r="U948" t="s">
        <v>366</v>
      </c>
      <c r="V948" s="101">
        <v>46220</v>
      </c>
      <c r="W948">
        <v>0</v>
      </c>
      <c r="X948">
        <v>0</v>
      </c>
      <c r="Y948">
        <v>0</v>
      </c>
      <c r="Z948">
        <v>0</v>
      </c>
      <c r="AA948">
        <v>0</v>
      </c>
    </row>
    <row r="949" spans="1:27" x14ac:dyDescent="0.3">
      <c r="A949">
        <v>5091</v>
      </c>
      <c r="B949">
        <v>0</v>
      </c>
      <c r="C949">
        <v>27</v>
      </c>
      <c r="D949">
        <v>0</v>
      </c>
      <c r="E949">
        <v>0</v>
      </c>
      <c r="F949" t="s">
        <v>1225</v>
      </c>
      <c r="G949" s="101">
        <v>46221</v>
      </c>
      <c r="H949" t="s">
        <v>146</v>
      </c>
      <c r="I949" t="s">
        <v>441</v>
      </c>
      <c r="J949" t="s">
        <v>442</v>
      </c>
      <c r="K949" t="s">
        <v>383</v>
      </c>
      <c r="L949" s="39">
        <v>0</v>
      </c>
      <c r="M949" s="39">
        <v>0</v>
      </c>
      <c r="N949">
        <v>0</v>
      </c>
      <c r="O949" t="s">
        <v>384</v>
      </c>
      <c r="P949">
        <v>9</v>
      </c>
      <c r="Q949" t="s">
        <v>385</v>
      </c>
      <c r="R949">
        <v>0</v>
      </c>
      <c r="S949">
        <v>9</v>
      </c>
      <c r="T949" t="s">
        <v>611</v>
      </c>
      <c r="U949" t="s">
        <v>366</v>
      </c>
      <c r="V949" s="101">
        <v>46221</v>
      </c>
      <c r="W949">
        <v>0</v>
      </c>
      <c r="X949">
        <v>0</v>
      </c>
      <c r="Y949">
        <v>0</v>
      </c>
      <c r="Z949">
        <v>0</v>
      </c>
      <c r="AA949">
        <v>0</v>
      </c>
    </row>
    <row r="950" spans="1:27" x14ac:dyDescent="0.3">
      <c r="A950">
        <v>5091</v>
      </c>
      <c r="B950">
        <v>0</v>
      </c>
      <c r="C950">
        <v>27</v>
      </c>
      <c r="D950">
        <v>0</v>
      </c>
      <c r="E950">
        <v>0</v>
      </c>
      <c r="F950" t="s">
        <v>1225</v>
      </c>
      <c r="G950" s="101">
        <v>46222</v>
      </c>
      <c r="H950" t="s">
        <v>146</v>
      </c>
      <c r="I950" t="s">
        <v>441</v>
      </c>
      <c r="J950" t="s">
        <v>442</v>
      </c>
      <c r="K950" t="s">
        <v>383</v>
      </c>
      <c r="L950" s="39">
        <v>0</v>
      </c>
      <c r="M950" s="39">
        <v>0</v>
      </c>
      <c r="N950">
        <v>0</v>
      </c>
      <c r="O950" t="s">
        <v>384</v>
      </c>
      <c r="P950">
        <v>9</v>
      </c>
      <c r="Q950" t="s">
        <v>385</v>
      </c>
      <c r="R950">
        <v>0</v>
      </c>
      <c r="S950">
        <v>9</v>
      </c>
      <c r="T950" t="s">
        <v>611</v>
      </c>
      <c r="U950" t="s">
        <v>366</v>
      </c>
      <c r="V950" s="101">
        <v>46222</v>
      </c>
      <c r="W950">
        <v>0</v>
      </c>
      <c r="X950">
        <v>0</v>
      </c>
      <c r="Y950">
        <v>0</v>
      </c>
      <c r="Z950">
        <v>0</v>
      </c>
      <c r="AA950">
        <v>0</v>
      </c>
    </row>
    <row r="951" spans="1:27" x14ac:dyDescent="0.3">
      <c r="A951">
        <v>5091</v>
      </c>
      <c r="B951">
        <v>0</v>
      </c>
      <c r="C951">
        <v>27</v>
      </c>
      <c r="D951">
        <v>0</v>
      </c>
      <c r="E951">
        <v>0</v>
      </c>
      <c r="F951" t="s">
        <v>1225</v>
      </c>
      <c r="G951" s="101">
        <v>46223</v>
      </c>
      <c r="H951" t="s">
        <v>146</v>
      </c>
      <c r="I951" t="s">
        <v>441</v>
      </c>
      <c r="J951" t="s">
        <v>442</v>
      </c>
      <c r="K951" t="s">
        <v>383</v>
      </c>
      <c r="L951" s="39">
        <v>0</v>
      </c>
      <c r="M951" s="39">
        <v>0</v>
      </c>
      <c r="N951">
        <v>0</v>
      </c>
      <c r="O951" t="s">
        <v>384</v>
      </c>
      <c r="P951">
        <v>9</v>
      </c>
      <c r="Q951" t="s">
        <v>385</v>
      </c>
      <c r="R951">
        <v>0</v>
      </c>
      <c r="S951">
        <v>9</v>
      </c>
      <c r="T951" t="s">
        <v>611</v>
      </c>
      <c r="U951" t="s">
        <v>366</v>
      </c>
      <c r="V951" s="101">
        <v>46223</v>
      </c>
      <c r="W951">
        <v>0</v>
      </c>
      <c r="X951">
        <v>0</v>
      </c>
      <c r="Y951">
        <v>0</v>
      </c>
      <c r="Z951">
        <v>0</v>
      </c>
      <c r="AA951">
        <v>0</v>
      </c>
    </row>
    <row r="952" spans="1:27" x14ac:dyDescent="0.3">
      <c r="A952">
        <v>5091</v>
      </c>
      <c r="B952">
        <v>0</v>
      </c>
      <c r="C952">
        <v>27</v>
      </c>
      <c r="D952">
        <v>0</v>
      </c>
      <c r="E952">
        <v>0</v>
      </c>
      <c r="F952" t="s">
        <v>1225</v>
      </c>
      <c r="G952" s="101">
        <v>46224</v>
      </c>
      <c r="H952" t="s">
        <v>146</v>
      </c>
      <c r="I952" t="s">
        <v>441</v>
      </c>
      <c r="J952" t="s">
        <v>442</v>
      </c>
      <c r="K952" t="s">
        <v>383</v>
      </c>
      <c r="L952" s="39">
        <v>0</v>
      </c>
      <c r="M952" s="39">
        <v>0</v>
      </c>
      <c r="N952">
        <v>0</v>
      </c>
      <c r="O952" t="s">
        <v>384</v>
      </c>
      <c r="P952">
        <v>9</v>
      </c>
      <c r="Q952" t="s">
        <v>385</v>
      </c>
      <c r="R952">
        <v>0</v>
      </c>
      <c r="S952">
        <v>9</v>
      </c>
      <c r="T952" t="s">
        <v>611</v>
      </c>
      <c r="U952" t="s">
        <v>366</v>
      </c>
      <c r="V952" s="101">
        <v>46224</v>
      </c>
      <c r="W952">
        <v>0</v>
      </c>
      <c r="X952">
        <v>0</v>
      </c>
      <c r="Y952">
        <v>0</v>
      </c>
      <c r="Z952">
        <v>0</v>
      </c>
      <c r="AA952">
        <v>0</v>
      </c>
    </row>
    <row r="953" spans="1:27" x14ac:dyDescent="0.3">
      <c r="A953">
        <v>5091</v>
      </c>
      <c r="B953">
        <v>0</v>
      </c>
      <c r="C953">
        <v>27</v>
      </c>
      <c r="D953">
        <v>0</v>
      </c>
      <c r="E953">
        <v>0</v>
      </c>
      <c r="F953" t="s">
        <v>1225</v>
      </c>
      <c r="G953" s="101">
        <v>46225</v>
      </c>
      <c r="H953" t="s">
        <v>146</v>
      </c>
      <c r="I953" t="s">
        <v>441</v>
      </c>
      <c r="J953" t="s">
        <v>442</v>
      </c>
      <c r="K953" t="s">
        <v>383</v>
      </c>
      <c r="L953" s="39">
        <v>0</v>
      </c>
      <c r="M953" s="39">
        <v>0</v>
      </c>
      <c r="N953">
        <v>0</v>
      </c>
      <c r="O953" t="s">
        <v>384</v>
      </c>
      <c r="P953">
        <v>9</v>
      </c>
      <c r="Q953" t="s">
        <v>385</v>
      </c>
      <c r="R953">
        <v>0</v>
      </c>
      <c r="S953">
        <v>9</v>
      </c>
      <c r="T953" t="s">
        <v>611</v>
      </c>
      <c r="U953" t="s">
        <v>366</v>
      </c>
      <c r="V953" s="101">
        <v>46225</v>
      </c>
      <c r="W953">
        <v>0</v>
      </c>
      <c r="X953">
        <v>0</v>
      </c>
      <c r="Y953">
        <v>0</v>
      </c>
      <c r="Z953">
        <v>0</v>
      </c>
      <c r="AA953">
        <v>0</v>
      </c>
    </row>
    <row r="954" spans="1:27" x14ac:dyDescent="0.3">
      <c r="A954">
        <v>5091</v>
      </c>
      <c r="B954">
        <v>0</v>
      </c>
      <c r="C954">
        <v>27</v>
      </c>
      <c r="D954">
        <v>0</v>
      </c>
      <c r="E954">
        <v>0</v>
      </c>
      <c r="F954" t="s">
        <v>1225</v>
      </c>
      <c r="G954" s="101">
        <v>46226</v>
      </c>
      <c r="H954" t="s">
        <v>146</v>
      </c>
      <c r="I954" t="s">
        <v>441</v>
      </c>
      <c r="J954" t="s">
        <v>442</v>
      </c>
      <c r="K954" t="s">
        <v>383</v>
      </c>
      <c r="L954" s="39">
        <v>0</v>
      </c>
      <c r="M954" s="39">
        <v>0</v>
      </c>
      <c r="N954">
        <v>0</v>
      </c>
      <c r="O954" t="s">
        <v>384</v>
      </c>
      <c r="P954">
        <v>9</v>
      </c>
      <c r="Q954" t="s">
        <v>385</v>
      </c>
      <c r="R954">
        <v>0</v>
      </c>
      <c r="S954">
        <v>9</v>
      </c>
      <c r="T954" t="s">
        <v>611</v>
      </c>
      <c r="U954" t="s">
        <v>366</v>
      </c>
      <c r="V954" s="101">
        <v>46226</v>
      </c>
      <c r="W954">
        <v>0</v>
      </c>
      <c r="X954">
        <v>0</v>
      </c>
      <c r="Y954">
        <v>0</v>
      </c>
      <c r="Z954">
        <v>0</v>
      </c>
      <c r="AA954">
        <v>0</v>
      </c>
    </row>
    <row r="955" spans="1:27" x14ac:dyDescent="0.3">
      <c r="A955">
        <v>5091</v>
      </c>
      <c r="B955">
        <v>0</v>
      </c>
      <c r="C955">
        <v>27</v>
      </c>
      <c r="D955">
        <v>0</v>
      </c>
      <c r="E955">
        <v>0</v>
      </c>
      <c r="F955" t="s">
        <v>1225</v>
      </c>
      <c r="G955" s="101">
        <v>46227</v>
      </c>
      <c r="H955" t="s">
        <v>146</v>
      </c>
      <c r="I955" t="s">
        <v>441</v>
      </c>
      <c r="J955" t="s">
        <v>442</v>
      </c>
      <c r="K955" t="s">
        <v>383</v>
      </c>
      <c r="L955" s="39">
        <v>0</v>
      </c>
      <c r="M955" s="39">
        <v>0</v>
      </c>
      <c r="N955">
        <v>0</v>
      </c>
      <c r="O955" t="s">
        <v>384</v>
      </c>
      <c r="P955">
        <v>9</v>
      </c>
      <c r="Q955" t="s">
        <v>385</v>
      </c>
      <c r="R955">
        <v>0</v>
      </c>
      <c r="S955">
        <v>9</v>
      </c>
      <c r="T955" t="s">
        <v>611</v>
      </c>
      <c r="U955" t="s">
        <v>366</v>
      </c>
      <c r="V955" s="101">
        <v>46227</v>
      </c>
      <c r="W955">
        <v>0</v>
      </c>
      <c r="X955">
        <v>0</v>
      </c>
      <c r="Y955">
        <v>0</v>
      </c>
      <c r="Z955">
        <v>0</v>
      </c>
      <c r="AA955">
        <v>0</v>
      </c>
    </row>
    <row r="956" spans="1:27" x14ac:dyDescent="0.3">
      <c r="A956">
        <v>5091</v>
      </c>
      <c r="B956">
        <v>0</v>
      </c>
      <c r="C956">
        <v>27</v>
      </c>
      <c r="D956">
        <v>0</v>
      </c>
      <c r="E956">
        <v>0</v>
      </c>
      <c r="F956" t="s">
        <v>1225</v>
      </c>
      <c r="G956" s="101">
        <v>46228</v>
      </c>
      <c r="H956" t="s">
        <v>146</v>
      </c>
      <c r="I956" t="s">
        <v>441</v>
      </c>
      <c r="J956" t="s">
        <v>442</v>
      </c>
      <c r="K956" t="s">
        <v>383</v>
      </c>
      <c r="L956" s="39">
        <v>0</v>
      </c>
      <c r="M956" s="39">
        <v>0</v>
      </c>
      <c r="N956">
        <v>0</v>
      </c>
      <c r="O956" t="s">
        <v>384</v>
      </c>
      <c r="P956">
        <v>9</v>
      </c>
      <c r="Q956" t="s">
        <v>385</v>
      </c>
      <c r="R956">
        <v>0</v>
      </c>
      <c r="S956">
        <v>9</v>
      </c>
      <c r="T956" t="s">
        <v>611</v>
      </c>
      <c r="U956" t="s">
        <v>366</v>
      </c>
      <c r="V956" s="101">
        <v>46228</v>
      </c>
      <c r="W956">
        <v>0</v>
      </c>
      <c r="X956">
        <v>0</v>
      </c>
      <c r="Y956">
        <v>0</v>
      </c>
      <c r="Z956">
        <v>0</v>
      </c>
      <c r="AA956">
        <v>0</v>
      </c>
    </row>
    <row r="957" spans="1:27" x14ac:dyDescent="0.3">
      <c r="A957">
        <v>5091</v>
      </c>
      <c r="B957">
        <v>0</v>
      </c>
      <c r="C957">
        <v>27</v>
      </c>
      <c r="D957">
        <v>0</v>
      </c>
      <c r="E957">
        <v>0</v>
      </c>
      <c r="F957" t="s">
        <v>1225</v>
      </c>
      <c r="G957" s="101">
        <v>46229</v>
      </c>
      <c r="H957" t="s">
        <v>146</v>
      </c>
      <c r="I957" t="s">
        <v>441</v>
      </c>
      <c r="J957" t="s">
        <v>442</v>
      </c>
      <c r="K957" t="s">
        <v>383</v>
      </c>
      <c r="L957" s="39">
        <v>0</v>
      </c>
      <c r="M957" s="39">
        <v>0</v>
      </c>
      <c r="N957">
        <v>0</v>
      </c>
      <c r="O957" t="s">
        <v>384</v>
      </c>
      <c r="P957">
        <v>9</v>
      </c>
      <c r="Q957" t="s">
        <v>385</v>
      </c>
      <c r="R957">
        <v>0</v>
      </c>
      <c r="S957">
        <v>9</v>
      </c>
      <c r="T957" t="s">
        <v>611</v>
      </c>
      <c r="U957" t="s">
        <v>366</v>
      </c>
      <c r="V957" s="101">
        <v>46229</v>
      </c>
      <c r="W957">
        <v>0</v>
      </c>
      <c r="X957">
        <v>0</v>
      </c>
      <c r="Y957">
        <v>0</v>
      </c>
      <c r="Z957">
        <v>0</v>
      </c>
      <c r="AA957">
        <v>0</v>
      </c>
    </row>
    <row r="958" spans="1:27" x14ac:dyDescent="0.3">
      <c r="A958">
        <v>5091</v>
      </c>
      <c r="B958">
        <v>0</v>
      </c>
      <c r="C958">
        <v>27</v>
      </c>
      <c r="D958">
        <v>0</v>
      </c>
      <c r="E958">
        <v>0</v>
      </c>
      <c r="F958" t="s">
        <v>1225</v>
      </c>
      <c r="G958" s="101">
        <v>46230</v>
      </c>
      <c r="H958" t="s">
        <v>146</v>
      </c>
      <c r="I958" t="s">
        <v>441</v>
      </c>
      <c r="J958" t="s">
        <v>442</v>
      </c>
      <c r="K958" t="s">
        <v>383</v>
      </c>
      <c r="L958" s="39">
        <v>0</v>
      </c>
      <c r="M958" s="39">
        <v>0</v>
      </c>
      <c r="N958">
        <v>0</v>
      </c>
      <c r="O958" t="s">
        <v>384</v>
      </c>
      <c r="P958">
        <v>9</v>
      </c>
      <c r="Q958" t="s">
        <v>385</v>
      </c>
      <c r="R958">
        <v>0</v>
      </c>
      <c r="S958">
        <v>9</v>
      </c>
      <c r="T958" t="s">
        <v>611</v>
      </c>
      <c r="U958" t="s">
        <v>366</v>
      </c>
      <c r="V958" s="101">
        <v>46230</v>
      </c>
      <c r="W958">
        <v>0</v>
      </c>
      <c r="X958">
        <v>0</v>
      </c>
      <c r="Y958">
        <v>0</v>
      </c>
      <c r="Z958">
        <v>0</v>
      </c>
      <c r="AA958">
        <v>0</v>
      </c>
    </row>
    <row r="959" spans="1:27" x14ac:dyDescent="0.3">
      <c r="A959">
        <v>5091</v>
      </c>
      <c r="B959">
        <v>0</v>
      </c>
      <c r="C959">
        <v>27</v>
      </c>
      <c r="D959">
        <v>0</v>
      </c>
      <c r="E959">
        <v>0</v>
      </c>
      <c r="F959" t="s">
        <v>1225</v>
      </c>
      <c r="G959" s="101">
        <v>46231</v>
      </c>
      <c r="H959" t="s">
        <v>146</v>
      </c>
      <c r="I959" t="s">
        <v>441</v>
      </c>
      <c r="J959" t="s">
        <v>442</v>
      </c>
      <c r="K959" t="s">
        <v>383</v>
      </c>
      <c r="L959" s="39">
        <v>0</v>
      </c>
      <c r="M959" s="39">
        <v>0</v>
      </c>
      <c r="N959">
        <v>0</v>
      </c>
      <c r="O959" t="s">
        <v>384</v>
      </c>
      <c r="P959">
        <v>9</v>
      </c>
      <c r="Q959" t="s">
        <v>385</v>
      </c>
      <c r="R959">
        <v>0</v>
      </c>
      <c r="S959">
        <v>9</v>
      </c>
      <c r="T959" t="s">
        <v>611</v>
      </c>
      <c r="U959" t="s">
        <v>366</v>
      </c>
      <c r="V959" s="101">
        <v>46231</v>
      </c>
      <c r="W959">
        <v>0</v>
      </c>
      <c r="X959">
        <v>0</v>
      </c>
      <c r="Y959">
        <v>0</v>
      </c>
      <c r="Z959">
        <v>0</v>
      </c>
      <c r="AA959">
        <v>0</v>
      </c>
    </row>
    <row r="960" spans="1:27" x14ac:dyDescent="0.3">
      <c r="A960">
        <v>5091</v>
      </c>
      <c r="B960">
        <v>0</v>
      </c>
      <c r="C960">
        <v>27</v>
      </c>
      <c r="D960">
        <v>0</v>
      </c>
      <c r="E960">
        <v>0</v>
      </c>
      <c r="F960" t="s">
        <v>1225</v>
      </c>
      <c r="G960" s="101">
        <v>46232</v>
      </c>
      <c r="H960" t="s">
        <v>146</v>
      </c>
      <c r="I960" t="s">
        <v>441</v>
      </c>
      <c r="J960" t="s">
        <v>442</v>
      </c>
      <c r="K960" t="s">
        <v>383</v>
      </c>
      <c r="L960" s="39">
        <v>0</v>
      </c>
      <c r="M960" s="39">
        <v>0</v>
      </c>
      <c r="N960">
        <v>0</v>
      </c>
      <c r="O960" t="s">
        <v>384</v>
      </c>
      <c r="P960">
        <v>9</v>
      </c>
      <c r="Q960" t="s">
        <v>385</v>
      </c>
      <c r="R960">
        <v>0</v>
      </c>
      <c r="S960">
        <v>9</v>
      </c>
      <c r="T960" t="s">
        <v>611</v>
      </c>
      <c r="U960" t="s">
        <v>366</v>
      </c>
      <c r="V960" s="101">
        <v>46232</v>
      </c>
      <c r="W960">
        <v>0</v>
      </c>
      <c r="X960">
        <v>0</v>
      </c>
      <c r="Y960">
        <v>0</v>
      </c>
      <c r="Z960">
        <v>0</v>
      </c>
      <c r="AA960">
        <v>0</v>
      </c>
    </row>
    <row r="961" spans="1:27" x14ac:dyDescent="0.3">
      <c r="A961">
        <v>5091</v>
      </c>
      <c r="B961">
        <v>0</v>
      </c>
      <c r="C961">
        <v>27</v>
      </c>
      <c r="D961">
        <v>0</v>
      </c>
      <c r="E961">
        <v>0</v>
      </c>
      <c r="F961" t="s">
        <v>1225</v>
      </c>
      <c r="G961" s="101">
        <v>46233</v>
      </c>
      <c r="H961" t="s">
        <v>146</v>
      </c>
      <c r="I961" t="s">
        <v>441</v>
      </c>
      <c r="J961" t="s">
        <v>442</v>
      </c>
      <c r="K961" t="s">
        <v>383</v>
      </c>
      <c r="L961" s="39">
        <v>0</v>
      </c>
      <c r="M961" s="39">
        <v>0</v>
      </c>
      <c r="N961">
        <v>0</v>
      </c>
      <c r="O961" t="s">
        <v>384</v>
      </c>
      <c r="P961">
        <v>9</v>
      </c>
      <c r="Q961" t="s">
        <v>385</v>
      </c>
      <c r="R961">
        <v>0</v>
      </c>
      <c r="S961">
        <v>9</v>
      </c>
      <c r="T961" t="s">
        <v>611</v>
      </c>
      <c r="U961" t="s">
        <v>366</v>
      </c>
      <c r="V961" s="101">
        <v>46233</v>
      </c>
      <c r="W961">
        <v>0</v>
      </c>
      <c r="X961">
        <v>0</v>
      </c>
      <c r="Y961">
        <v>0</v>
      </c>
      <c r="Z961">
        <v>0</v>
      </c>
      <c r="AA961">
        <v>0</v>
      </c>
    </row>
    <row r="962" spans="1:27" x14ac:dyDescent="0.3">
      <c r="A962">
        <v>5091</v>
      </c>
      <c r="B962">
        <v>0</v>
      </c>
      <c r="C962">
        <v>27</v>
      </c>
      <c r="D962">
        <v>0</v>
      </c>
      <c r="E962">
        <v>0</v>
      </c>
      <c r="F962" t="s">
        <v>1225</v>
      </c>
      <c r="G962" s="101">
        <v>46234</v>
      </c>
      <c r="H962" t="s">
        <v>146</v>
      </c>
      <c r="I962" t="s">
        <v>441</v>
      </c>
      <c r="J962" t="s">
        <v>442</v>
      </c>
      <c r="K962" t="s">
        <v>383</v>
      </c>
      <c r="L962" s="39">
        <v>0</v>
      </c>
      <c r="M962" s="39">
        <v>0</v>
      </c>
      <c r="N962">
        <v>0</v>
      </c>
      <c r="O962" t="s">
        <v>384</v>
      </c>
      <c r="P962">
        <v>9</v>
      </c>
      <c r="Q962" t="s">
        <v>385</v>
      </c>
      <c r="R962">
        <v>0</v>
      </c>
      <c r="S962">
        <v>9</v>
      </c>
      <c r="T962" t="s">
        <v>611</v>
      </c>
      <c r="U962" t="s">
        <v>366</v>
      </c>
      <c r="V962" s="101">
        <v>46234</v>
      </c>
      <c r="W962">
        <v>0</v>
      </c>
      <c r="X962">
        <v>0</v>
      </c>
      <c r="Y962">
        <v>0</v>
      </c>
      <c r="Z962">
        <v>0</v>
      </c>
      <c r="AA962">
        <v>0</v>
      </c>
    </row>
    <row r="963" spans="1:27" x14ac:dyDescent="0.3">
      <c r="A963">
        <v>5092</v>
      </c>
      <c r="B963">
        <v>5</v>
      </c>
      <c r="C963">
        <v>22</v>
      </c>
      <c r="D963">
        <v>0</v>
      </c>
      <c r="E963">
        <v>0</v>
      </c>
      <c r="F963" t="s">
        <v>1608</v>
      </c>
      <c r="G963" s="101">
        <v>46204</v>
      </c>
      <c r="H963" t="s">
        <v>819</v>
      </c>
      <c r="I963" t="s">
        <v>441</v>
      </c>
      <c r="J963" t="s">
        <v>387</v>
      </c>
      <c r="K963" t="s">
        <v>382</v>
      </c>
      <c r="L963" s="39">
        <v>0.35023148148148148</v>
      </c>
      <c r="M963" s="39">
        <v>0</v>
      </c>
      <c r="N963">
        <v>15.59</v>
      </c>
      <c r="O963" t="s">
        <v>1605</v>
      </c>
      <c r="P963">
        <v>0.5</v>
      </c>
      <c r="Q963" t="s">
        <v>385</v>
      </c>
      <c r="R963">
        <v>0</v>
      </c>
      <c r="S963">
        <v>0.5</v>
      </c>
      <c r="T963" t="s">
        <v>1606</v>
      </c>
      <c r="U963" t="s">
        <v>108</v>
      </c>
      <c r="V963" s="101">
        <v>46204</v>
      </c>
      <c r="W963">
        <v>1</v>
      </c>
      <c r="X963">
        <v>1</v>
      </c>
      <c r="Y963">
        <v>0</v>
      </c>
      <c r="Z963">
        <v>0</v>
      </c>
      <c r="AA963">
        <v>0</v>
      </c>
    </row>
    <row r="964" spans="1:27" x14ac:dyDescent="0.3">
      <c r="A964">
        <v>5092</v>
      </c>
      <c r="B964">
        <v>5</v>
      </c>
      <c r="C964">
        <v>22</v>
      </c>
      <c r="D964">
        <v>0</v>
      </c>
      <c r="E964">
        <v>0</v>
      </c>
      <c r="F964" t="s">
        <v>1608</v>
      </c>
      <c r="G964" s="101">
        <v>46205</v>
      </c>
      <c r="H964" t="s">
        <v>819</v>
      </c>
      <c r="I964" t="s">
        <v>441</v>
      </c>
      <c r="J964" t="s">
        <v>387</v>
      </c>
      <c r="K964" t="s">
        <v>383</v>
      </c>
      <c r="L964" s="39">
        <v>0</v>
      </c>
      <c r="M964" s="39">
        <v>0</v>
      </c>
      <c r="N964">
        <v>0</v>
      </c>
      <c r="O964" t="s">
        <v>384</v>
      </c>
      <c r="P964">
        <v>9</v>
      </c>
      <c r="Q964" t="s">
        <v>385</v>
      </c>
      <c r="R964">
        <v>0</v>
      </c>
      <c r="S964">
        <v>9</v>
      </c>
      <c r="T964" t="s">
        <v>1606</v>
      </c>
      <c r="U964" t="s">
        <v>366</v>
      </c>
      <c r="V964" s="101">
        <v>46205</v>
      </c>
      <c r="W964">
        <v>0</v>
      </c>
      <c r="X964">
        <v>0</v>
      </c>
      <c r="Y964">
        <v>0</v>
      </c>
      <c r="Z964">
        <v>0</v>
      </c>
      <c r="AA964">
        <v>0</v>
      </c>
    </row>
    <row r="965" spans="1:27" x14ac:dyDescent="0.3">
      <c r="A965">
        <v>5092</v>
      </c>
      <c r="B965">
        <v>5</v>
      </c>
      <c r="C965">
        <v>22</v>
      </c>
      <c r="D965">
        <v>0</v>
      </c>
      <c r="E965">
        <v>0</v>
      </c>
      <c r="F965" t="s">
        <v>1608</v>
      </c>
      <c r="G965" s="101">
        <v>46206</v>
      </c>
      <c r="H965" t="s">
        <v>819</v>
      </c>
      <c r="I965" t="s">
        <v>441</v>
      </c>
      <c r="J965" t="s">
        <v>387</v>
      </c>
      <c r="K965" t="s">
        <v>383</v>
      </c>
      <c r="L965" s="39">
        <v>0</v>
      </c>
      <c r="M965" s="39">
        <v>0</v>
      </c>
      <c r="N965">
        <v>0</v>
      </c>
      <c r="O965" t="s">
        <v>384</v>
      </c>
      <c r="P965">
        <v>9</v>
      </c>
      <c r="Q965" t="s">
        <v>385</v>
      </c>
      <c r="R965">
        <v>0</v>
      </c>
      <c r="S965">
        <v>9</v>
      </c>
      <c r="T965" t="s">
        <v>1606</v>
      </c>
      <c r="U965" t="s">
        <v>366</v>
      </c>
      <c r="V965" s="101">
        <v>46206</v>
      </c>
      <c r="W965">
        <v>0</v>
      </c>
      <c r="X965">
        <v>0</v>
      </c>
      <c r="Y965">
        <v>0</v>
      </c>
      <c r="Z965">
        <v>0</v>
      </c>
      <c r="AA965">
        <v>0</v>
      </c>
    </row>
    <row r="966" spans="1:27" x14ac:dyDescent="0.3">
      <c r="A966">
        <v>5092</v>
      </c>
      <c r="B966">
        <v>5</v>
      </c>
      <c r="C966">
        <v>22</v>
      </c>
      <c r="D966">
        <v>0</v>
      </c>
      <c r="E966">
        <v>0</v>
      </c>
      <c r="F966" t="s">
        <v>1608</v>
      </c>
      <c r="G966" s="101">
        <v>46207</v>
      </c>
      <c r="H966" t="s">
        <v>819</v>
      </c>
      <c r="I966" t="s">
        <v>441</v>
      </c>
      <c r="J966" t="s">
        <v>387</v>
      </c>
      <c r="K966" t="s">
        <v>383</v>
      </c>
      <c r="L966" s="39">
        <v>0</v>
      </c>
      <c r="M966" s="39">
        <v>0</v>
      </c>
      <c r="N966">
        <v>0</v>
      </c>
      <c r="O966" t="s">
        <v>384</v>
      </c>
      <c r="P966">
        <v>9</v>
      </c>
      <c r="Q966" t="s">
        <v>385</v>
      </c>
      <c r="R966">
        <v>0</v>
      </c>
      <c r="S966">
        <v>9</v>
      </c>
      <c r="T966" t="s">
        <v>1606</v>
      </c>
      <c r="U966" t="s">
        <v>366</v>
      </c>
      <c r="V966" s="101">
        <v>46207</v>
      </c>
      <c r="W966">
        <v>0</v>
      </c>
      <c r="X966">
        <v>0</v>
      </c>
      <c r="Y966">
        <v>0</v>
      </c>
      <c r="Z966">
        <v>0</v>
      </c>
      <c r="AA966">
        <v>0</v>
      </c>
    </row>
    <row r="967" spans="1:27" x14ac:dyDescent="0.3">
      <c r="A967">
        <v>5092</v>
      </c>
      <c r="B967">
        <v>5</v>
      </c>
      <c r="C967">
        <v>22</v>
      </c>
      <c r="D967">
        <v>0</v>
      </c>
      <c r="E967">
        <v>0</v>
      </c>
      <c r="F967" t="s">
        <v>1608</v>
      </c>
      <c r="G967" s="101">
        <v>46208</v>
      </c>
      <c r="H967" t="s">
        <v>819</v>
      </c>
      <c r="I967" t="s">
        <v>441</v>
      </c>
      <c r="J967" t="s">
        <v>387</v>
      </c>
      <c r="K967" t="s">
        <v>383</v>
      </c>
      <c r="L967" s="39">
        <v>0</v>
      </c>
      <c r="M967" s="39">
        <v>0</v>
      </c>
      <c r="N967">
        <v>0</v>
      </c>
      <c r="O967" t="s">
        <v>384</v>
      </c>
      <c r="P967">
        <v>9</v>
      </c>
      <c r="Q967" t="s">
        <v>385</v>
      </c>
      <c r="R967">
        <v>0</v>
      </c>
      <c r="S967">
        <v>9</v>
      </c>
      <c r="T967" t="s">
        <v>1606</v>
      </c>
      <c r="U967" t="s">
        <v>366</v>
      </c>
      <c r="V967" s="101">
        <v>46208</v>
      </c>
      <c r="W967">
        <v>0</v>
      </c>
      <c r="X967">
        <v>0</v>
      </c>
      <c r="Y967">
        <v>0</v>
      </c>
      <c r="Z967">
        <v>0</v>
      </c>
      <c r="AA967">
        <v>0</v>
      </c>
    </row>
    <row r="968" spans="1:27" x14ac:dyDescent="0.3">
      <c r="A968">
        <v>5092</v>
      </c>
      <c r="B968">
        <v>5</v>
      </c>
      <c r="C968">
        <v>22</v>
      </c>
      <c r="D968">
        <v>0</v>
      </c>
      <c r="E968">
        <v>0</v>
      </c>
      <c r="F968" t="s">
        <v>1608</v>
      </c>
      <c r="G968" s="101">
        <v>46209</v>
      </c>
      <c r="H968" t="s">
        <v>819</v>
      </c>
      <c r="I968" t="s">
        <v>441</v>
      </c>
      <c r="J968" t="s">
        <v>387</v>
      </c>
      <c r="K968" t="s">
        <v>383</v>
      </c>
      <c r="L968" s="39">
        <v>0</v>
      </c>
      <c r="M968" s="39">
        <v>0</v>
      </c>
      <c r="N968">
        <v>0</v>
      </c>
      <c r="O968" t="s">
        <v>384</v>
      </c>
      <c r="P968">
        <v>9</v>
      </c>
      <c r="Q968" t="s">
        <v>385</v>
      </c>
      <c r="R968">
        <v>0</v>
      </c>
      <c r="S968">
        <v>9</v>
      </c>
      <c r="T968" t="s">
        <v>1606</v>
      </c>
      <c r="U968" t="s">
        <v>366</v>
      </c>
      <c r="V968" s="101">
        <v>46209</v>
      </c>
      <c r="W968">
        <v>0</v>
      </c>
      <c r="X968">
        <v>0</v>
      </c>
      <c r="Y968">
        <v>0</v>
      </c>
      <c r="Z968">
        <v>0</v>
      </c>
      <c r="AA968">
        <v>0</v>
      </c>
    </row>
    <row r="969" spans="1:27" x14ac:dyDescent="0.3">
      <c r="A969">
        <v>5092</v>
      </c>
      <c r="B969">
        <v>5</v>
      </c>
      <c r="C969">
        <v>22</v>
      </c>
      <c r="D969">
        <v>0</v>
      </c>
      <c r="E969">
        <v>0</v>
      </c>
      <c r="F969" t="s">
        <v>1608</v>
      </c>
      <c r="G969" s="101">
        <v>46210</v>
      </c>
      <c r="H969" t="s">
        <v>819</v>
      </c>
      <c r="I969" t="s">
        <v>441</v>
      </c>
      <c r="J969" t="s">
        <v>387</v>
      </c>
      <c r="K969" t="s">
        <v>383</v>
      </c>
      <c r="L969" s="39">
        <v>0</v>
      </c>
      <c r="M969" s="39">
        <v>0</v>
      </c>
      <c r="N969">
        <v>0</v>
      </c>
      <c r="O969" t="s">
        <v>384</v>
      </c>
      <c r="P969">
        <v>9</v>
      </c>
      <c r="Q969" t="s">
        <v>385</v>
      </c>
      <c r="R969">
        <v>0</v>
      </c>
      <c r="S969">
        <v>9</v>
      </c>
      <c r="T969" t="s">
        <v>1606</v>
      </c>
      <c r="U969" t="s">
        <v>366</v>
      </c>
      <c r="V969" s="101">
        <v>46210</v>
      </c>
      <c r="W969">
        <v>0</v>
      </c>
      <c r="X969">
        <v>0</v>
      </c>
      <c r="Y969">
        <v>0</v>
      </c>
      <c r="Z969">
        <v>0</v>
      </c>
      <c r="AA969">
        <v>0</v>
      </c>
    </row>
    <row r="970" spans="1:27" x14ac:dyDescent="0.3">
      <c r="A970">
        <v>5092</v>
      </c>
      <c r="B970">
        <v>5</v>
      </c>
      <c r="C970">
        <v>22</v>
      </c>
      <c r="D970">
        <v>0</v>
      </c>
      <c r="E970">
        <v>0</v>
      </c>
      <c r="F970" t="s">
        <v>1608</v>
      </c>
      <c r="G970" s="101">
        <v>46211</v>
      </c>
      <c r="H970" t="s">
        <v>819</v>
      </c>
      <c r="I970" t="s">
        <v>441</v>
      </c>
      <c r="J970" t="s">
        <v>387</v>
      </c>
      <c r="K970" t="s">
        <v>383</v>
      </c>
      <c r="L970" s="39">
        <v>0</v>
      </c>
      <c r="M970" s="39">
        <v>0</v>
      </c>
      <c r="N970">
        <v>0</v>
      </c>
      <c r="O970" t="s">
        <v>384</v>
      </c>
      <c r="P970">
        <v>9</v>
      </c>
      <c r="Q970" t="s">
        <v>385</v>
      </c>
      <c r="R970">
        <v>0</v>
      </c>
      <c r="S970">
        <v>9</v>
      </c>
      <c r="T970" t="s">
        <v>1606</v>
      </c>
      <c r="U970" t="s">
        <v>366</v>
      </c>
      <c r="V970" s="101">
        <v>46211</v>
      </c>
      <c r="W970">
        <v>0</v>
      </c>
      <c r="X970">
        <v>0</v>
      </c>
      <c r="Y970">
        <v>0</v>
      </c>
      <c r="Z970">
        <v>0</v>
      </c>
      <c r="AA970">
        <v>0</v>
      </c>
    </row>
    <row r="971" spans="1:27" x14ac:dyDescent="0.3">
      <c r="A971">
        <v>5092</v>
      </c>
      <c r="B971">
        <v>5</v>
      </c>
      <c r="C971">
        <v>22</v>
      </c>
      <c r="D971">
        <v>0</v>
      </c>
      <c r="E971">
        <v>0</v>
      </c>
      <c r="F971" t="s">
        <v>1608</v>
      </c>
      <c r="G971" s="101">
        <v>46212</v>
      </c>
      <c r="H971" t="s">
        <v>819</v>
      </c>
      <c r="I971" t="s">
        <v>441</v>
      </c>
      <c r="J971" t="s">
        <v>387</v>
      </c>
      <c r="K971" t="s">
        <v>383</v>
      </c>
      <c r="L971" s="39">
        <v>0</v>
      </c>
      <c r="M971" s="39">
        <v>0</v>
      </c>
      <c r="N971">
        <v>0</v>
      </c>
      <c r="O971" t="s">
        <v>384</v>
      </c>
      <c r="P971">
        <v>9</v>
      </c>
      <c r="Q971" t="s">
        <v>385</v>
      </c>
      <c r="R971">
        <v>0</v>
      </c>
      <c r="S971">
        <v>9</v>
      </c>
      <c r="T971" t="s">
        <v>1606</v>
      </c>
      <c r="U971" t="s">
        <v>366</v>
      </c>
      <c r="V971" s="101">
        <v>46212</v>
      </c>
      <c r="W971">
        <v>0</v>
      </c>
      <c r="X971">
        <v>0</v>
      </c>
      <c r="Y971">
        <v>0</v>
      </c>
      <c r="Z971">
        <v>0</v>
      </c>
      <c r="AA971">
        <v>0</v>
      </c>
    </row>
    <row r="972" spans="1:27" x14ac:dyDescent="0.3">
      <c r="A972">
        <v>5092</v>
      </c>
      <c r="B972">
        <v>5</v>
      </c>
      <c r="C972">
        <v>22</v>
      </c>
      <c r="D972">
        <v>0</v>
      </c>
      <c r="E972">
        <v>0</v>
      </c>
      <c r="F972" t="s">
        <v>1608</v>
      </c>
      <c r="G972" s="101">
        <v>46213</v>
      </c>
      <c r="H972" t="s">
        <v>819</v>
      </c>
      <c r="I972" t="s">
        <v>441</v>
      </c>
      <c r="J972" t="s">
        <v>387</v>
      </c>
      <c r="K972" t="s">
        <v>383</v>
      </c>
      <c r="L972" s="39">
        <v>0</v>
      </c>
      <c r="M972" s="39">
        <v>0</v>
      </c>
      <c r="N972">
        <v>0</v>
      </c>
      <c r="O972" t="s">
        <v>384</v>
      </c>
      <c r="P972">
        <v>9</v>
      </c>
      <c r="Q972" t="s">
        <v>385</v>
      </c>
      <c r="R972">
        <v>0</v>
      </c>
      <c r="S972">
        <v>9</v>
      </c>
      <c r="T972" t="s">
        <v>1606</v>
      </c>
      <c r="U972" t="s">
        <v>366</v>
      </c>
      <c r="V972" s="101">
        <v>46213</v>
      </c>
      <c r="W972">
        <v>0</v>
      </c>
      <c r="X972">
        <v>0</v>
      </c>
      <c r="Y972">
        <v>0</v>
      </c>
      <c r="Z972">
        <v>0</v>
      </c>
      <c r="AA972">
        <v>0</v>
      </c>
    </row>
    <row r="973" spans="1:27" x14ac:dyDescent="0.3">
      <c r="A973">
        <v>5092</v>
      </c>
      <c r="B973">
        <v>5</v>
      </c>
      <c r="C973">
        <v>22</v>
      </c>
      <c r="D973">
        <v>0</v>
      </c>
      <c r="E973">
        <v>0</v>
      </c>
      <c r="F973" t="s">
        <v>1608</v>
      </c>
      <c r="G973" s="101">
        <v>46214</v>
      </c>
      <c r="H973" t="s">
        <v>819</v>
      </c>
      <c r="I973" t="s">
        <v>441</v>
      </c>
      <c r="J973" t="s">
        <v>387</v>
      </c>
      <c r="K973" t="s">
        <v>383</v>
      </c>
      <c r="L973" s="39">
        <v>0</v>
      </c>
      <c r="M973" s="39">
        <v>0</v>
      </c>
      <c r="N973">
        <v>0</v>
      </c>
      <c r="O973" t="s">
        <v>384</v>
      </c>
      <c r="P973">
        <v>9</v>
      </c>
      <c r="Q973" t="s">
        <v>385</v>
      </c>
      <c r="R973">
        <v>0</v>
      </c>
      <c r="S973">
        <v>9</v>
      </c>
      <c r="T973" t="s">
        <v>1606</v>
      </c>
      <c r="U973" t="s">
        <v>366</v>
      </c>
      <c r="V973" s="101">
        <v>46214</v>
      </c>
      <c r="W973">
        <v>0</v>
      </c>
      <c r="X973">
        <v>0</v>
      </c>
      <c r="Y973">
        <v>0</v>
      </c>
      <c r="Z973">
        <v>0</v>
      </c>
      <c r="AA973">
        <v>0</v>
      </c>
    </row>
    <row r="974" spans="1:27" x14ac:dyDescent="0.3">
      <c r="A974">
        <v>5092</v>
      </c>
      <c r="B974">
        <v>5</v>
      </c>
      <c r="C974">
        <v>22</v>
      </c>
      <c r="D974">
        <v>0</v>
      </c>
      <c r="E974">
        <v>0</v>
      </c>
      <c r="F974" t="s">
        <v>1608</v>
      </c>
      <c r="G974" s="101">
        <v>46215</v>
      </c>
      <c r="H974" t="s">
        <v>819</v>
      </c>
      <c r="I974" t="s">
        <v>441</v>
      </c>
      <c r="J974" t="s">
        <v>387</v>
      </c>
      <c r="K974" t="s">
        <v>383</v>
      </c>
      <c r="L974" s="39">
        <v>0</v>
      </c>
      <c r="M974" s="39">
        <v>0</v>
      </c>
      <c r="N974">
        <v>0</v>
      </c>
      <c r="O974" t="s">
        <v>384</v>
      </c>
      <c r="P974">
        <v>9</v>
      </c>
      <c r="Q974" t="s">
        <v>385</v>
      </c>
      <c r="R974">
        <v>0</v>
      </c>
      <c r="S974">
        <v>9</v>
      </c>
      <c r="T974" t="s">
        <v>1606</v>
      </c>
      <c r="U974" t="s">
        <v>366</v>
      </c>
      <c r="V974" s="101">
        <v>46215</v>
      </c>
      <c r="W974">
        <v>0</v>
      </c>
      <c r="X974">
        <v>0</v>
      </c>
      <c r="Y974">
        <v>0</v>
      </c>
      <c r="Z974">
        <v>0</v>
      </c>
      <c r="AA974">
        <v>0</v>
      </c>
    </row>
    <row r="975" spans="1:27" x14ac:dyDescent="0.3">
      <c r="A975">
        <v>5092</v>
      </c>
      <c r="B975">
        <v>5</v>
      </c>
      <c r="C975">
        <v>22</v>
      </c>
      <c r="D975">
        <v>0</v>
      </c>
      <c r="E975">
        <v>0</v>
      </c>
      <c r="F975" t="s">
        <v>1608</v>
      </c>
      <c r="G975" s="101">
        <v>46216</v>
      </c>
      <c r="H975" t="s">
        <v>819</v>
      </c>
      <c r="I975" t="s">
        <v>441</v>
      </c>
      <c r="J975" t="s">
        <v>387</v>
      </c>
      <c r="K975" t="s">
        <v>383</v>
      </c>
      <c r="L975" s="39">
        <v>0</v>
      </c>
      <c r="M975" s="39">
        <v>0</v>
      </c>
      <c r="N975">
        <v>0</v>
      </c>
      <c r="O975" t="s">
        <v>384</v>
      </c>
      <c r="P975">
        <v>9</v>
      </c>
      <c r="Q975" t="s">
        <v>385</v>
      </c>
      <c r="R975">
        <v>0</v>
      </c>
      <c r="S975">
        <v>9</v>
      </c>
      <c r="T975" t="s">
        <v>1606</v>
      </c>
      <c r="U975" t="s">
        <v>366</v>
      </c>
      <c r="V975" s="101">
        <v>46216</v>
      </c>
      <c r="W975">
        <v>0</v>
      </c>
      <c r="X975">
        <v>0</v>
      </c>
      <c r="Y975">
        <v>0</v>
      </c>
      <c r="Z975">
        <v>0</v>
      </c>
      <c r="AA975">
        <v>0</v>
      </c>
    </row>
    <row r="976" spans="1:27" x14ac:dyDescent="0.3">
      <c r="A976">
        <v>5092</v>
      </c>
      <c r="B976">
        <v>5</v>
      </c>
      <c r="C976">
        <v>22</v>
      </c>
      <c r="D976">
        <v>0</v>
      </c>
      <c r="E976">
        <v>0</v>
      </c>
      <c r="F976" t="s">
        <v>1608</v>
      </c>
      <c r="G976" s="101">
        <v>46217</v>
      </c>
      <c r="H976" t="s">
        <v>819</v>
      </c>
      <c r="I976" t="s">
        <v>441</v>
      </c>
      <c r="J976" t="s">
        <v>387</v>
      </c>
      <c r="K976" t="s">
        <v>383</v>
      </c>
      <c r="L976" s="39">
        <v>0</v>
      </c>
      <c r="M976" s="39">
        <v>0</v>
      </c>
      <c r="N976">
        <v>0</v>
      </c>
      <c r="O976" t="s">
        <v>384</v>
      </c>
      <c r="P976">
        <v>9</v>
      </c>
      <c r="Q976" t="s">
        <v>385</v>
      </c>
      <c r="R976">
        <v>0</v>
      </c>
      <c r="S976">
        <v>9</v>
      </c>
      <c r="T976" t="s">
        <v>1606</v>
      </c>
      <c r="U976" t="s">
        <v>366</v>
      </c>
      <c r="V976" s="101">
        <v>46217</v>
      </c>
      <c r="W976">
        <v>0</v>
      </c>
      <c r="X976">
        <v>0</v>
      </c>
      <c r="Y976">
        <v>0</v>
      </c>
      <c r="Z976">
        <v>0</v>
      </c>
      <c r="AA976">
        <v>0</v>
      </c>
    </row>
    <row r="977" spans="1:27" x14ac:dyDescent="0.3">
      <c r="A977">
        <v>5092</v>
      </c>
      <c r="B977">
        <v>5</v>
      </c>
      <c r="C977">
        <v>22</v>
      </c>
      <c r="D977">
        <v>0</v>
      </c>
      <c r="E977">
        <v>0</v>
      </c>
      <c r="F977" t="s">
        <v>1608</v>
      </c>
      <c r="G977" s="101">
        <v>46218</v>
      </c>
      <c r="H977" t="s">
        <v>819</v>
      </c>
      <c r="I977" t="s">
        <v>441</v>
      </c>
      <c r="J977" t="s">
        <v>387</v>
      </c>
      <c r="K977" t="s">
        <v>383</v>
      </c>
      <c r="L977" s="39">
        <v>0</v>
      </c>
      <c r="M977" s="39">
        <v>0</v>
      </c>
      <c r="N977">
        <v>0</v>
      </c>
      <c r="O977" t="s">
        <v>384</v>
      </c>
      <c r="P977">
        <v>9</v>
      </c>
      <c r="Q977" t="s">
        <v>385</v>
      </c>
      <c r="R977">
        <v>0</v>
      </c>
      <c r="S977">
        <v>9</v>
      </c>
      <c r="T977" t="s">
        <v>1606</v>
      </c>
      <c r="U977" t="s">
        <v>366</v>
      </c>
      <c r="V977" s="101">
        <v>46218</v>
      </c>
      <c r="W977">
        <v>0</v>
      </c>
      <c r="X977">
        <v>0</v>
      </c>
      <c r="Y977">
        <v>0</v>
      </c>
      <c r="Z977">
        <v>0</v>
      </c>
      <c r="AA977">
        <v>0</v>
      </c>
    </row>
    <row r="978" spans="1:27" x14ac:dyDescent="0.3">
      <c r="A978">
        <v>5092</v>
      </c>
      <c r="B978">
        <v>5</v>
      </c>
      <c r="C978">
        <v>22</v>
      </c>
      <c r="D978">
        <v>0</v>
      </c>
      <c r="E978">
        <v>0</v>
      </c>
      <c r="F978" t="s">
        <v>1608</v>
      </c>
      <c r="G978" s="101">
        <v>46219</v>
      </c>
      <c r="H978" t="s">
        <v>819</v>
      </c>
      <c r="I978" t="s">
        <v>441</v>
      </c>
      <c r="J978" t="s">
        <v>387</v>
      </c>
      <c r="K978" t="s">
        <v>383</v>
      </c>
      <c r="L978" s="39">
        <v>0</v>
      </c>
      <c r="M978" s="39">
        <v>0</v>
      </c>
      <c r="N978">
        <v>0</v>
      </c>
      <c r="O978" t="s">
        <v>384</v>
      </c>
      <c r="P978">
        <v>9</v>
      </c>
      <c r="Q978" t="s">
        <v>385</v>
      </c>
      <c r="R978">
        <v>0</v>
      </c>
      <c r="S978">
        <v>9</v>
      </c>
      <c r="T978" t="s">
        <v>1606</v>
      </c>
      <c r="U978" t="s">
        <v>366</v>
      </c>
      <c r="V978" s="101">
        <v>46219</v>
      </c>
      <c r="W978">
        <v>0</v>
      </c>
      <c r="X978">
        <v>0</v>
      </c>
      <c r="Y978">
        <v>0</v>
      </c>
      <c r="Z978">
        <v>0</v>
      </c>
      <c r="AA978">
        <v>0</v>
      </c>
    </row>
    <row r="979" spans="1:27" x14ac:dyDescent="0.3">
      <c r="A979">
        <v>5092</v>
      </c>
      <c r="B979">
        <v>5</v>
      </c>
      <c r="C979">
        <v>22</v>
      </c>
      <c r="D979">
        <v>0</v>
      </c>
      <c r="E979">
        <v>0</v>
      </c>
      <c r="F979" t="s">
        <v>1608</v>
      </c>
      <c r="G979" s="101">
        <v>46220</v>
      </c>
      <c r="H979" t="s">
        <v>819</v>
      </c>
      <c r="I979" t="s">
        <v>441</v>
      </c>
      <c r="J979" t="s">
        <v>387</v>
      </c>
      <c r="K979" t="s">
        <v>383</v>
      </c>
      <c r="L979" s="39">
        <v>0</v>
      </c>
      <c r="M979" s="39">
        <v>0</v>
      </c>
      <c r="N979">
        <v>0</v>
      </c>
      <c r="O979" t="s">
        <v>384</v>
      </c>
      <c r="P979">
        <v>9</v>
      </c>
      <c r="Q979" t="s">
        <v>385</v>
      </c>
      <c r="R979">
        <v>0</v>
      </c>
      <c r="S979">
        <v>9</v>
      </c>
      <c r="T979" t="s">
        <v>1606</v>
      </c>
      <c r="U979" t="s">
        <v>366</v>
      </c>
      <c r="V979" s="101">
        <v>46220</v>
      </c>
      <c r="W979">
        <v>0</v>
      </c>
      <c r="X979">
        <v>0</v>
      </c>
      <c r="Y979">
        <v>0</v>
      </c>
      <c r="Z979">
        <v>0</v>
      </c>
      <c r="AA979">
        <v>0</v>
      </c>
    </row>
    <row r="980" spans="1:27" x14ac:dyDescent="0.3">
      <c r="A980">
        <v>5092</v>
      </c>
      <c r="B980">
        <v>5</v>
      </c>
      <c r="C980">
        <v>22</v>
      </c>
      <c r="D980">
        <v>0</v>
      </c>
      <c r="E980">
        <v>0</v>
      </c>
      <c r="F980" t="s">
        <v>1608</v>
      </c>
      <c r="G980" s="101">
        <v>46221</v>
      </c>
      <c r="H980" t="s">
        <v>819</v>
      </c>
      <c r="I980" t="s">
        <v>441</v>
      </c>
      <c r="J980" t="s">
        <v>387</v>
      </c>
      <c r="K980" t="s">
        <v>383</v>
      </c>
      <c r="L980" s="39">
        <v>0</v>
      </c>
      <c r="M980" s="39">
        <v>0</v>
      </c>
      <c r="N980">
        <v>0</v>
      </c>
      <c r="O980" t="s">
        <v>384</v>
      </c>
      <c r="P980">
        <v>9</v>
      </c>
      <c r="Q980" t="s">
        <v>385</v>
      </c>
      <c r="R980">
        <v>0</v>
      </c>
      <c r="S980">
        <v>9</v>
      </c>
      <c r="T980" t="s">
        <v>1606</v>
      </c>
      <c r="U980" t="s">
        <v>366</v>
      </c>
      <c r="V980" s="101">
        <v>46221</v>
      </c>
      <c r="W980">
        <v>0</v>
      </c>
      <c r="X980">
        <v>0</v>
      </c>
      <c r="Y980">
        <v>0</v>
      </c>
      <c r="Z980">
        <v>0</v>
      </c>
      <c r="AA980">
        <v>0</v>
      </c>
    </row>
    <row r="981" spans="1:27" x14ac:dyDescent="0.3">
      <c r="A981">
        <v>5092</v>
      </c>
      <c r="B981">
        <v>5</v>
      </c>
      <c r="C981">
        <v>22</v>
      </c>
      <c r="D981">
        <v>0</v>
      </c>
      <c r="E981">
        <v>0</v>
      </c>
      <c r="F981" t="s">
        <v>1608</v>
      </c>
      <c r="G981" s="101">
        <v>46222</v>
      </c>
      <c r="H981" t="s">
        <v>819</v>
      </c>
      <c r="I981" t="s">
        <v>441</v>
      </c>
      <c r="J981" t="s">
        <v>387</v>
      </c>
      <c r="K981" t="s">
        <v>383</v>
      </c>
      <c r="L981" s="39">
        <v>0</v>
      </c>
      <c r="M981" s="39">
        <v>0</v>
      </c>
      <c r="N981">
        <v>0</v>
      </c>
      <c r="O981" t="s">
        <v>384</v>
      </c>
      <c r="P981">
        <v>9</v>
      </c>
      <c r="Q981" t="s">
        <v>385</v>
      </c>
      <c r="R981">
        <v>0</v>
      </c>
      <c r="S981">
        <v>9</v>
      </c>
      <c r="T981" t="s">
        <v>1606</v>
      </c>
      <c r="U981" t="s">
        <v>366</v>
      </c>
      <c r="V981" s="101">
        <v>46222</v>
      </c>
      <c r="W981">
        <v>0</v>
      </c>
      <c r="X981">
        <v>0</v>
      </c>
      <c r="Y981">
        <v>0</v>
      </c>
      <c r="Z981">
        <v>0</v>
      </c>
      <c r="AA981">
        <v>0</v>
      </c>
    </row>
    <row r="982" spans="1:27" x14ac:dyDescent="0.3">
      <c r="A982">
        <v>5092</v>
      </c>
      <c r="B982">
        <v>5</v>
      </c>
      <c r="C982">
        <v>22</v>
      </c>
      <c r="D982">
        <v>0</v>
      </c>
      <c r="E982">
        <v>0</v>
      </c>
      <c r="F982" t="s">
        <v>1608</v>
      </c>
      <c r="G982" s="101">
        <v>46223</v>
      </c>
      <c r="H982" t="s">
        <v>819</v>
      </c>
      <c r="I982" t="s">
        <v>441</v>
      </c>
      <c r="J982" t="s">
        <v>387</v>
      </c>
      <c r="K982" t="s">
        <v>383</v>
      </c>
      <c r="L982" s="39">
        <v>0</v>
      </c>
      <c r="M982" s="39">
        <v>0</v>
      </c>
      <c r="N982">
        <v>0</v>
      </c>
      <c r="O982" t="s">
        <v>384</v>
      </c>
      <c r="P982">
        <v>9</v>
      </c>
      <c r="Q982" t="s">
        <v>385</v>
      </c>
      <c r="R982">
        <v>0</v>
      </c>
      <c r="S982">
        <v>9</v>
      </c>
      <c r="T982" t="s">
        <v>1606</v>
      </c>
      <c r="U982" t="s">
        <v>366</v>
      </c>
      <c r="V982" s="101">
        <v>46223</v>
      </c>
      <c r="W982">
        <v>0</v>
      </c>
      <c r="X982">
        <v>0</v>
      </c>
      <c r="Y982">
        <v>0</v>
      </c>
      <c r="Z982">
        <v>0</v>
      </c>
      <c r="AA982">
        <v>0</v>
      </c>
    </row>
    <row r="983" spans="1:27" x14ac:dyDescent="0.3">
      <c r="A983">
        <v>5092</v>
      </c>
      <c r="B983">
        <v>5</v>
      </c>
      <c r="C983">
        <v>22</v>
      </c>
      <c r="D983">
        <v>0</v>
      </c>
      <c r="E983">
        <v>0</v>
      </c>
      <c r="F983" t="s">
        <v>1608</v>
      </c>
      <c r="G983" s="101">
        <v>46224</v>
      </c>
      <c r="H983" t="s">
        <v>819</v>
      </c>
      <c r="I983" t="s">
        <v>441</v>
      </c>
      <c r="J983" t="s">
        <v>387</v>
      </c>
      <c r="K983" t="s">
        <v>383</v>
      </c>
      <c r="L983" s="39">
        <v>0</v>
      </c>
      <c r="M983" s="39">
        <v>0</v>
      </c>
      <c r="N983">
        <v>0</v>
      </c>
      <c r="O983" t="s">
        <v>384</v>
      </c>
      <c r="P983">
        <v>9</v>
      </c>
      <c r="Q983" t="s">
        <v>385</v>
      </c>
      <c r="R983">
        <v>0</v>
      </c>
      <c r="S983">
        <v>9</v>
      </c>
      <c r="T983" t="s">
        <v>1606</v>
      </c>
      <c r="U983" t="s">
        <v>366</v>
      </c>
      <c r="V983" s="101">
        <v>46224</v>
      </c>
      <c r="W983">
        <v>0</v>
      </c>
      <c r="X983">
        <v>0</v>
      </c>
      <c r="Y983">
        <v>0</v>
      </c>
      <c r="Z983">
        <v>0</v>
      </c>
      <c r="AA983">
        <v>0</v>
      </c>
    </row>
    <row r="984" spans="1:27" x14ac:dyDescent="0.3">
      <c r="A984">
        <v>5092</v>
      </c>
      <c r="B984">
        <v>5</v>
      </c>
      <c r="C984">
        <v>22</v>
      </c>
      <c r="D984">
        <v>0</v>
      </c>
      <c r="E984">
        <v>0</v>
      </c>
      <c r="F984" t="s">
        <v>1608</v>
      </c>
      <c r="G984" s="101">
        <v>46225</v>
      </c>
      <c r="H984" t="s">
        <v>819</v>
      </c>
      <c r="I984" t="s">
        <v>441</v>
      </c>
      <c r="J984" t="s">
        <v>387</v>
      </c>
      <c r="K984" t="s">
        <v>383</v>
      </c>
      <c r="L984" s="39">
        <v>0</v>
      </c>
      <c r="M984" s="39">
        <v>0</v>
      </c>
      <c r="N984">
        <v>0</v>
      </c>
      <c r="O984" t="s">
        <v>384</v>
      </c>
      <c r="P984">
        <v>9</v>
      </c>
      <c r="Q984" t="s">
        <v>385</v>
      </c>
      <c r="R984">
        <v>0</v>
      </c>
      <c r="S984">
        <v>9</v>
      </c>
      <c r="T984" t="s">
        <v>1606</v>
      </c>
      <c r="U984" t="s">
        <v>366</v>
      </c>
      <c r="V984" s="101">
        <v>46225</v>
      </c>
      <c r="W984">
        <v>0</v>
      </c>
      <c r="X984">
        <v>0</v>
      </c>
      <c r="Y984">
        <v>0</v>
      </c>
      <c r="Z984">
        <v>0</v>
      </c>
      <c r="AA984">
        <v>0</v>
      </c>
    </row>
    <row r="985" spans="1:27" x14ac:dyDescent="0.3">
      <c r="A985">
        <v>5092</v>
      </c>
      <c r="B985">
        <v>5</v>
      </c>
      <c r="C985">
        <v>22</v>
      </c>
      <c r="D985">
        <v>0</v>
      </c>
      <c r="E985">
        <v>0</v>
      </c>
      <c r="F985" t="s">
        <v>1608</v>
      </c>
      <c r="G985" s="101">
        <v>46226</v>
      </c>
      <c r="H985" t="s">
        <v>819</v>
      </c>
      <c r="I985" t="s">
        <v>441</v>
      </c>
      <c r="J985" t="s">
        <v>387</v>
      </c>
      <c r="K985" t="s">
        <v>383</v>
      </c>
      <c r="L985" s="39">
        <v>0</v>
      </c>
      <c r="M985" s="39">
        <v>0</v>
      </c>
      <c r="N985">
        <v>0</v>
      </c>
      <c r="O985" t="s">
        <v>384</v>
      </c>
      <c r="P985">
        <v>9</v>
      </c>
      <c r="Q985" t="s">
        <v>385</v>
      </c>
      <c r="R985">
        <v>0</v>
      </c>
      <c r="S985">
        <v>9</v>
      </c>
      <c r="T985" t="s">
        <v>1606</v>
      </c>
      <c r="U985" t="s">
        <v>366</v>
      </c>
      <c r="V985" s="101">
        <v>46226</v>
      </c>
      <c r="W985">
        <v>0</v>
      </c>
      <c r="X985">
        <v>0</v>
      </c>
      <c r="Y985">
        <v>0</v>
      </c>
      <c r="Z985">
        <v>0</v>
      </c>
      <c r="AA985">
        <v>0</v>
      </c>
    </row>
    <row r="986" spans="1:27" x14ac:dyDescent="0.3">
      <c r="A986">
        <v>5092</v>
      </c>
      <c r="B986">
        <v>5</v>
      </c>
      <c r="C986">
        <v>22</v>
      </c>
      <c r="D986">
        <v>0</v>
      </c>
      <c r="E986">
        <v>0</v>
      </c>
      <c r="F986" t="s">
        <v>1608</v>
      </c>
      <c r="G986" s="101">
        <v>46227</v>
      </c>
      <c r="H986" t="s">
        <v>819</v>
      </c>
      <c r="I986" t="s">
        <v>441</v>
      </c>
      <c r="J986" t="s">
        <v>387</v>
      </c>
      <c r="K986" t="s">
        <v>383</v>
      </c>
      <c r="L986" s="39">
        <v>0</v>
      </c>
      <c r="M986" s="39">
        <v>0</v>
      </c>
      <c r="N986">
        <v>0</v>
      </c>
      <c r="O986" t="s">
        <v>384</v>
      </c>
      <c r="P986">
        <v>9</v>
      </c>
      <c r="Q986" t="s">
        <v>385</v>
      </c>
      <c r="R986">
        <v>0</v>
      </c>
      <c r="S986">
        <v>9</v>
      </c>
      <c r="T986" t="s">
        <v>1606</v>
      </c>
      <c r="U986" t="s">
        <v>366</v>
      </c>
      <c r="V986" s="101">
        <v>46227</v>
      </c>
      <c r="W986">
        <v>0</v>
      </c>
      <c r="X986">
        <v>0</v>
      </c>
      <c r="Y986">
        <v>0</v>
      </c>
      <c r="Z986">
        <v>0</v>
      </c>
      <c r="AA986">
        <v>0</v>
      </c>
    </row>
    <row r="987" spans="1:27" x14ac:dyDescent="0.3">
      <c r="A987">
        <v>5092</v>
      </c>
      <c r="B987">
        <v>5</v>
      </c>
      <c r="C987">
        <v>22</v>
      </c>
      <c r="D987">
        <v>0</v>
      </c>
      <c r="E987">
        <v>0</v>
      </c>
      <c r="F987" t="s">
        <v>1608</v>
      </c>
      <c r="G987" s="101">
        <v>46228</v>
      </c>
      <c r="H987" t="s">
        <v>819</v>
      </c>
      <c r="I987" t="s">
        <v>441</v>
      </c>
      <c r="J987" t="s">
        <v>387</v>
      </c>
      <c r="K987" t="s">
        <v>383</v>
      </c>
      <c r="L987" s="39">
        <v>0</v>
      </c>
      <c r="M987" s="39">
        <v>0</v>
      </c>
      <c r="N987">
        <v>0</v>
      </c>
      <c r="O987" t="s">
        <v>384</v>
      </c>
      <c r="P987">
        <v>9</v>
      </c>
      <c r="Q987" t="s">
        <v>385</v>
      </c>
      <c r="R987">
        <v>0</v>
      </c>
      <c r="S987">
        <v>9</v>
      </c>
      <c r="T987" t="s">
        <v>1606</v>
      </c>
      <c r="U987" t="s">
        <v>366</v>
      </c>
      <c r="V987" s="101">
        <v>46228</v>
      </c>
      <c r="W987">
        <v>0</v>
      </c>
      <c r="X987">
        <v>0</v>
      </c>
      <c r="Y987">
        <v>0</v>
      </c>
      <c r="Z987">
        <v>0</v>
      </c>
      <c r="AA987">
        <v>0</v>
      </c>
    </row>
    <row r="988" spans="1:27" x14ac:dyDescent="0.3">
      <c r="A988">
        <v>5092</v>
      </c>
      <c r="B988">
        <v>5</v>
      </c>
      <c r="C988">
        <v>22</v>
      </c>
      <c r="D988">
        <v>0</v>
      </c>
      <c r="E988">
        <v>0</v>
      </c>
      <c r="F988" t="s">
        <v>1608</v>
      </c>
      <c r="G988" s="101">
        <v>46229</v>
      </c>
      <c r="H988" t="s">
        <v>819</v>
      </c>
      <c r="I988" t="s">
        <v>441</v>
      </c>
      <c r="J988" t="s">
        <v>387</v>
      </c>
      <c r="K988" t="s">
        <v>383</v>
      </c>
      <c r="L988" s="39">
        <v>0</v>
      </c>
      <c r="M988" s="39">
        <v>0</v>
      </c>
      <c r="N988">
        <v>0</v>
      </c>
      <c r="O988" t="s">
        <v>384</v>
      </c>
      <c r="P988">
        <v>9</v>
      </c>
      <c r="Q988" t="s">
        <v>385</v>
      </c>
      <c r="R988">
        <v>0</v>
      </c>
      <c r="S988">
        <v>9</v>
      </c>
      <c r="T988" t="s">
        <v>1606</v>
      </c>
      <c r="U988" t="s">
        <v>366</v>
      </c>
      <c r="V988" s="101">
        <v>46229</v>
      </c>
      <c r="W988">
        <v>0</v>
      </c>
      <c r="X988">
        <v>0</v>
      </c>
      <c r="Y988">
        <v>0</v>
      </c>
      <c r="Z988">
        <v>0</v>
      </c>
      <c r="AA988">
        <v>0</v>
      </c>
    </row>
    <row r="989" spans="1:27" x14ac:dyDescent="0.3">
      <c r="A989">
        <v>5092</v>
      </c>
      <c r="B989">
        <v>5</v>
      </c>
      <c r="C989">
        <v>22</v>
      </c>
      <c r="D989">
        <v>0</v>
      </c>
      <c r="E989">
        <v>0</v>
      </c>
      <c r="F989" t="s">
        <v>1608</v>
      </c>
      <c r="G989" s="101">
        <v>46230</v>
      </c>
      <c r="H989" t="s">
        <v>819</v>
      </c>
      <c r="I989" t="s">
        <v>441</v>
      </c>
      <c r="J989" t="s">
        <v>387</v>
      </c>
      <c r="K989" t="s">
        <v>383</v>
      </c>
      <c r="L989" s="39">
        <v>0</v>
      </c>
      <c r="M989" s="39">
        <v>0</v>
      </c>
      <c r="N989">
        <v>0</v>
      </c>
      <c r="O989" t="s">
        <v>384</v>
      </c>
      <c r="P989">
        <v>9</v>
      </c>
      <c r="Q989" t="s">
        <v>385</v>
      </c>
      <c r="R989">
        <v>0</v>
      </c>
      <c r="S989">
        <v>9</v>
      </c>
      <c r="T989" t="s">
        <v>1606</v>
      </c>
      <c r="U989" t="s">
        <v>366</v>
      </c>
      <c r="V989" s="101">
        <v>46230</v>
      </c>
      <c r="W989">
        <v>0</v>
      </c>
      <c r="X989">
        <v>0</v>
      </c>
      <c r="Y989">
        <v>0</v>
      </c>
      <c r="Z989">
        <v>0</v>
      </c>
      <c r="AA989">
        <v>0</v>
      </c>
    </row>
    <row r="990" spans="1:27" x14ac:dyDescent="0.3">
      <c r="A990">
        <v>5092</v>
      </c>
      <c r="B990">
        <v>5</v>
      </c>
      <c r="C990">
        <v>22</v>
      </c>
      <c r="D990">
        <v>0</v>
      </c>
      <c r="E990">
        <v>0</v>
      </c>
      <c r="F990" t="s">
        <v>1608</v>
      </c>
      <c r="G990" s="101">
        <v>46231</v>
      </c>
      <c r="H990" t="s">
        <v>819</v>
      </c>
      <c r="I990" t="s">
        <v>441</v>
      </c>
      <c r="J990" t="s">
        <v>387</v>
      </c>
      <c r="K990" t="s">
        <v>382</v>
      </c>
      <c r="L990" s="39">
        <v>0.375</v>
      </c>
      <c r="M990" s="39">
        <v>0.77083333333333337</v>
      </c>
      <c r="N990">
        <v>9.5</v>
      </c>
      <c r="O990" t="s">
        <v>418</v>
      </c>
      <c r="P990">
        <v>0</v>
      </c>
      <c r="Q990" t="s">
        <v>417</v>
      </c>
      <c r="R990">
        <v>1</v>
      </c>
      <c r="S990">
        <v>1</v>
      </c>
      <c r="T990" t="s">
        <v>1606</v>
      </c>
      <c r="U990" t="s">
        <v>108</v>
      </c>
      <c r="V990" s="101">
        <v>46231</v>
      </c>
      <c r="W990">
        <v>1</v>
      </c>
      <c r="X990">
        <v>1</v>
      </c>
      <c r="Y990">
        <v>0</v>
      </c>
      <c r="Z990">
        <v>0</v>
      </c>
      <c r="AA990">
        <v>0</v>
      </c>
    </row>
    <row r="991" spans="1:27" x14ac:dyDescent="0.3">
      <c r="A991">
        <v>5092</v>
      </c>
      <c r="B991">
        <v>5</v>
      </c>
      <c r="C991">
        <v>22</v>
      </c>
      <c r="D991">
        <v>0</v>
      </c>
      <c r="E991">
        <v>0</v>
      </c>
      <c r="F991" t="s">
        <v>1608</v>
      </c>
      <c r="G991" s="101">
        <v>46232</v>
      </c>
      <c r="H991" t="s">
        <v>819</v>
      </c>
      <c r="I991" t="s">
        <v>441</v>
      </c>
      <c r="J991" t="s">
        <v>387</v>
      </c>
      <c r="K991" t="s">
        <v>382</v>
      </c>
      <c r="L991" s="39">
        <v>0.375</v>
      </c>
      <c r="M991" s="39">
        <v>0.77083333333333337</v>
      </c>
      <c r="N991">
        <v>9.5</v>
      </c>
      <c r="O991" t="s">
        <v>418</v>
      </c>
      <c r="P991">
        <v>0</v>
      </c>
      <c r="Q991" t="s">
        <v>417</v>
      </c>
      <c r="R991">
        <v>1</v>
      </c>
      <c r="S991">
        <v>1</v>
      </c>
      <c r="T991" t="s">
        <v>1606</v>
      </c>
      <c r="U991" t="s">
        <v>108</v>
      </c>
      <c r="V991" s="101">
        <v>46232</v>
      </c>
      <c r="W991">
        <v>1</v>
      </c>
      <c r="X991">
        <v>1</v>
      </c>
      <c r="Y991">
        <v>0</v>
      </c>
      <c r="Z991">
        <v>0</v>
      </c>
      <c r="AA991">
        <v>0</v>
      </c>
    </row>
    <row r="992" spans="1:27" x14ac:dyDescent="0.3">
      <c r="A992">
        <v>5092</v>
      </c>
      <c r="B992">
        <v>5</v>
      </c>
      <c r="C992">
        <v>22</v>
      </c>
      <c r="D992">
        <v>0</v>
      </c>
      <c r="E992">
        <v>0</v>
      </c>
      <c r="F992" t="s">
        <v>1608</v>
      </c>
      <c r="G992" s="101">
        <v>46233</v>
      </c>
      <c r="H992" t="s">
        <v>819</v>
      </c>
      <c r="I992" t="s">
        <v>441</v>
      </c>
      <c r="J992" t="s">
        <v>387</v>
      </c>
      <c r="K992" t="s">
        <v>382</v>
      </c>
      <c r="L992" s="39">
        <v>0.375</v>
      </c>
      <c r="M992" s="39">
        <v>0.77083333333333337</v>
      </c>
      <c r="N992">
        <v>9.5</v>
      </c>
      <c r="O992" t="s">
        <v>418</v>
      </c>
      <c r="P992">
        <v>0</v>
      </c>
      <c r="Q992" t="s">
        <v>417</v>
      </c>
      <c r="R992">
        <v>1</v>
      </c>
      <c r="S992">
        <v>1</v>
      </c>
      <c r="T992" t="s">
        <v>1606</v>
      </c>
      <c r="U992" t="s">
        <v>108</v>
      </c>
      <c r="V992" s="101">
        <v>46233</v>
      </c>
      <c r="W992">
        <v>1</v>
      </c>
      <c r="X992">
        <v>1</v>
      </c>
      <c r="Y992">
        <v>0</v>
      </c>
      <c r="Z992">
        <v>0</v>
      </c>
      <c r="AA992">
        <v>0</v>
      </c>
    </row>
    <row r="993" spans="1:27" x14ac:dyDescent="0.3">
      <c r="A993">
        <v>5092</v>
      </c>
      <c r="B993">
        <v>5</v>
      </c>
      <c r="C993">
        <v>22</v>
      </c>
      <c r="D993">
        <v>0</v>
      </c>
      <c r="E993">
        <v>0</v>
      </c>
      <c r="F993" t="s">
        <v>1608</v>
      </c>
      <c r="G993" s="101">
        <v>46234</v>
      </c>
      <c r="H993" t="s">
        <v>819</v>
      </c>
      <c r="I993" t="s">
        <v>441</v>
      </c>
      <c r="J993" t="s">
        <v>387</v>
      </c>
      <c r="K993" t="s">
        <v>382</v>
      </c>
      <c r="L993" s="39">
        <v>0.375</v>
      </c>
      <c r="M993" s="39">
        <v>0.77083333333333337</v>
      </c>
      <c r="N993">
        <v>9.5</v>
      </c>
      <c r="O993" t="s">
        <v>418</v>
      </c>
      <c r="P993">
        <v>0</v>
      </c>
      <c r="Q993" t="s">
        <v>417</v>
      </c>
      <c r="R993">
        <v>1</v>
      </c>
      <c r="S993">
        <v>1</v>
      </c>
      <c r="T993" t="s">
        <v>1606</v>
      </c>
      <c r="U993" t="s">
        <v>108</v>
      </c>
      <c r="V993" s="101">
        <v>46234</v>
      </c>
      <c r="W993">
        <v>1</v>
      </c>
      <c r="X993">
        <v>1</v>
      </c>
      <c r="Y993">
        <v>0</v>
      </c>
      <c r="Z993">
        <v>0</v>
      </c>
      <c r="AA993">
        <v>0</v>
      </c>
    </row>
    <row r="994" spans="1:27" x14ac:dyDescent="0.3">
      <c r="A994">
        <v>5093</v>
      </c>
      <c r="B994">
        <v>7</v>
      </c>
      <c r="C994">
        <v>20</v>
      </c>
      <c r="D994">
        <v>0</v>
      </c>
      <c r="E994">
        <v>0</v>
      </c>
      <c r="F994" t="s">
        <v>1614</v>
      </c>
      <c r="G994" s="101">
        <v>46204</v>
      </c>
      <c r="H994" t="s">
        <v>813</v>
      </c>
      <c r="I994" t="s">
        <v>441</v>
      </c>
      <c r="J994" t="s">
        <v>442</v>
      </c>
      <c r="K994" t="s">
        <v>383</v>
      </c>
      <c r="L994" s="39">
        <v>0</v>
      </c>
      <c r="M994" s="39">
        <v>0</v>
      </c>
      <c r="N994">
        <v>0</v>
      </c>
      <c r="O994" t="s">
        <v>384</v>
      </c>
      <c r="P994">
        <v>9</v>
      </c>
      <c r="Q994" t="s">
        <v>385</v>
      </c>
      <c r="R994">
        <v>0</v>
      </c>
      <c r="S994">
        <v>9</v>
      </c>
      <c r="T994" t="s">
        <v>1607</v>
      </c>
      <c r="U994" t="s">
        <v>366</v>
      </c>
      <c r="V994" s="101">
        <v>46204</v>
      </c>
      <c r="W994">
        <v>0</v>
      </c>
      <c r="X994">
        <v>0</v>
      </c>
      <c r="Y994">
        <v>0</v>
      </c>
      <c r="Z994">
        <v>0</v>
      </c>
      <c r="AA994">
        <v>0</v>
      </c>
    </row>
    <row r="995" spans="1:27" x14ac:dyDescent="0.3">
      <c r="A995">
        <v>5093</v>
      </c>
      <c r="B995">
        <v>7</v>
      </c>
      <c r="C995">
        <v>20</v>
      </c>
      <c r="D995">
        <v>0</v>
      </c>
      <c r="E995">
        <v>0</v>
      </c>
      <c r="F995" t="s">
        <v>1614</v>
      </c>
      <c r="G995" s="101">
        <v>46205</v>
      </c>
      <c r="H995" t="s">
        <v>813</v>
      </c>
      <c r="I995" t="s">
        <v>441</v>
      </c>
      <c r="J995" t="s">
        <v>442</v>
      </c>
      <c r="K995" t="s">
        <v>383</v>
      </c>
      <c r="L995" s="39">
        <v>0</v>
      </c>
      <c r="M995" s="39">
        <v>0</v>
      </c>
      <c r="N995">
        <v>0</v>
      </c>
      <c r="O995" t="s">
        <v>384</v>
      </c>
      <c r="P995">
        <v>9</v>
      </c>
      <c r="Q995" t="s">
        <v>385</v>
      </c>
      <c r="R995">
        <v>0</v>
      </c>
      <c r="S995">
        <v>9</v>
      </c>
      <c r="T995" t="s">
        <v>1607</v>
      </c>
      <c r="U995" t="s">
        <v>366</v>
      </c>
      <c r="V995" s="101">
        <v>46205</v>
      </c>
      <c r="W995">
        <v>0</v>
      </c>
      <c r="X995">
        <v>0</v>
      </c>
      <c r="Y995">
        <v>0</v>
      </c>
      <c r="Z995">
        <v>0</v>
      </c>
      <c r="AA995">
        <v>0</v>
      </c>
    </row>
    <row r="996" spans="1:27" x14ac:dyDescent="0.3">
      <c r="A996">
        <v>5093</v>
      </c>
      <c r="B996">
        <v>7</v>
      </c>
      <c r="C996">
        <v>20</v>
      </c>
      <c r="D996">
        <v>0</v>
      </c>
      <c r="E996">
        <v>0</v>
      </c>
      <c r="F996" t="s">
        <v>1614</v>
      </c>
      <c r="G996" s="101">
        <v>46206</v>
      </c>
      <c r="H996" t="s">
        <v>813</v>
      </c>
      <c r="I996" t="s">
        <v>441</v>
      </c>
      <c r="J996" t="s">
        <v>442</v>
      </c>
      <c r="K996" t="s">
        <v>383</v>
      </c>
      <c r="L996" s="39">
        <v>0</v>
      </c>
      <c r="M996" s="39">
        <v>0</v>
      </c>
      <c r="N996">
        <v>0</v>
      </c>
      <c r="O996" t="s">
        <v>384</v>
      </c>
      <c r="P996">
        <v>9</v>
      </c>
      <c r="Q996" t="s">
        <v>385</v>
      </c>
      <c r="R996">
        <v>0</v>
      </c>
      <c r="S996">
        <v>9</v>
      </c>
      <c r="T996" t="s">
        <v>1607</v>
      </c>
      <c r="U996" t="s">
        <v>366</v>
      </c>
      <c r="V996" s="101">
        <v>46206</v>
      </c>
      <c r="W996">
        <v>0</v>
      </c>
      <c r="X996">
        <v>0</v>
      </c>
      <c r="Y996">
        <v>0</v>
      </c>
      <c r="Z996">
        <v>0</v>
      </c>
      <c r="AA996">
        <v>0</v>
      </c>
    </row>
    <row r="997" spans="1:27" x14ac:dyDescent="0.3">
      <c r="A997">
        <v>5093</v>
      </c>
      <c r="B997">
        <v>7</v>
      </c>
      <c r="C997">
        <v>20</v>
      </c>
      <c r="D997">
        <v>0</v>
      </c>
      <c r="E997">
        <v>0</v>
      </c>
      <c r="F997" t="s">
        <v>1614</v>
      </c>
      <c r="G997" s="101">
        <v>46207</v>
      </c>
      <c r="H997" t="s">
        <v>813</v>
      </c>
      <c r="I997" t="s">
        <v>441</v>
      </c>
      <c r="J997" t="s">
        <v>442</v>
      </c>
      <c r="K997" t="s">
        <v>383</v>
      </c>
      <c r="L997" s="39">
        <v>0</v>
      </c>
      <c r="M997" s="39">
        <v>0</v>
      </c>
      <c r="N997">
        <v>0</v>
      </c>
      <c r="O997" t="s">
        <v>384</v>
      </c>
      <c r="P997">
        <v>9</v>
      </c>
      <c r="Q997" t="s">
        <v>385</v>
      </c>
      <c r="R997">
        <v>0</v>
      </c>
      <c r="S997">
        <v>9</v>
      </c>
      <c r="T997" t="s">
        <v>1607</v>
      </c>
      <c r="U997" t="s">
        <v>366</v>
      </c>
      <c r="V997" s="101">
        <v>46207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7" x14ac:dyDescent="0.3">
      <c r="A998">
        <v>5093</v>
      </c>
      <c r="B998">
        <v>7</v>
      </c>
      <c r="C998">
        <v>20</v>
      </c>
      <c r="D998">
        <v>0</v>
      </c>
      <c r="E998">
        <v>0</v>
      </c>
      <c r="F998" t="s">
        <v>1614</v>
      </c>
      <c r="G998" s="101">
        <v>46208</v>
      </c>
      <c r="H998" t="s">
        <v>813</v>
      </c>
      <c r="I998" t="s">
        <v>441</v>
      </c>
      <c r="J998" t="s">
        <v>442</v>
      </c>
      <c r="K998" t="s">
        <v>383</v>
      </c>
      <c r="L998" s="39">
        <v>0</v>
      </c>
      <c r="M998" s="39">
        <v>0</v>
      </c>
      <c r="N998">
        <v>0</v>
      </c>
      <c r="O998" t="s">
        <v>384</v>
      </c>
      <c r="P998">
        <v>9</v>
      </c>
      <c r="Q998" t="s">
        <v>385</v>
      </c>
      <c r="R998">
        <v>0</v>
      </c>
      <c r="S998">
        <v>9</v>
      </c>
      <c r="T998" t="s">
        <v>1607</v>
      </c>
      <c r="U998" t="s">
        <v>366</v>
      </c>
      <c r="V998" s="101">
        <v>46208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7" x14ac:dyDescent="0.3">
      <c r="A999">
        <v>5093</v>
      </c>
      <c r="B999">
        <v>7</v>
      </c>
      <c r="C999">
        <v>20</v>
      </c>
      <c r="D999">
        <v>0</v>
      </c>
      <c r="E999">
        <v>0</v>
      </c>
      <c r="F999" t="s">
        <v>1614</v>
      </c>
      <c r="G999" s="101">
        <v>46209</v>
      </c>
      <c r="H999" t="s">
        <v>813</v>
      </c>
      <c r="I999" t="s">
        <v>441</v>
      </c>
      <c r="J999" t="s">
        <v>442</v>
      </c>
      <c r="K999" t="s">
        <v>383</v>
      </c>
      <c r="L999" s="39">
        <v>0</v>
      </c>
      <c r="M999" s="39">
        <v>0</v>
      </c>
      <c r="N999">
        <v>0</v>
      </c>
      <c r="O999" t="s">
        <v>384</v>
      </c>
      <c r="P999">
        <v>9</v>
      </c>
      <c r="Q999" t="s">
        <v>385</v>
      </c>
      <c r="R999">
        <v>0</v>
      </c>
      <c r="S999">
        <v>9</v>
      </c>
      <c r="T999" t="s">
        <v>1607</v>
      </c>
      <c r="U999" t="s">
        <v>366</v>
      </c>
      <c r="V999" s="101">
        <v>46209</v>
      </c>
      <c r="W999">
        <v>0</v>
      </c>
      <c r="X999">
        <v>0</v>
      </c>
      <c r="Y999">
        <v>0</v>
      </c>
      <c r="Z999">
        <v>0</v>
      </c>
      <c r="AA999">
        <v>0</v>
      </c>
    </row>
    <row r="1000" spans="1:27" x14ac:dyDescent="0.3">
      <c r="A1000">
        <v>5093</v>
      </c>
      <c r="B1000">
        <v>7</v>
      </c>
      <c r="C1000">
        <v>20</v>
      </c>
      <c r="D1000">
        <v>0</v>
      </c>
      <c r="E1000">
        <v>0</v>
      </c>
      <c r="F1000" t="s">
        <v>1614</v>
      </c>
      <c r="G1000" s="101">
        <v>46210</v>
      </c>
      <c r="H1000" t="s">
        <v>813</v>
      </c>
      <c r="I1000" t="s">
        <v>441</v>
      </c>
      <c r="J1000" t="s">
        <v>442</v>
      </c>
      <c r="K1000" t="s">
        <v>383</v>
      </c>
      <c r="L1000" s="39">
        <v>0</v>
      </c>
      <c r="M1000" s="39">
        <v>0</v>
      </c>
      <c r="N1000">
        <v>0</v>
      </c>
      <c r="O1000" t="s">
        <v>384</v>
      </c>
      <c r="P1000">
        <v>9</v>
      </c>
      <c r="Q1000" t="s">
        <v>385</v>
      </c>
      <c r="R1000">
        <v>0</v>
      </c>
      <c r="S1000">
        <v>9</v>
      </c>
      <c r="T1000" t="s">
        <v>1607</v>
      </c>
      <c r="U1000" t="s">
        <v>366</v>
      </c>
      <c r="V1000" s="101">
        <v>46210</v>
      </c>
      <c r="W1000">
        <v>0</v>
      </c>
      <c r="X1000">
        <v>0</v>
      </c>
      <c r="Y1000">
        <v>0</v>
      </c>
      <c r="Z1000">
        <v>0</v>
      </c>
      <c r="AA1000">
        <v>0</v>
      </c>
    </row>
    <row r="1001" spans="1:27" x14ac:dyDescent="0.3">
      <c r="A1001">
        <v>5093</v>
      </c>
      <c r="B1001">
        <v>7</v>
      </c>
      <c r="C1001">
        <v>20</v>
      </c>
      <c r="D1001">
        <v>0</v>
      </c>
      <c r="E1001">
        <v>0</v>
      </c>
      <c r="F1001" t="s">
        <v>1614</v>
      </c>
      <c r="G1001" s="101">
        <v>46211</v>
      </c>
      <c r="H1001" t="s">
        <v>813</v>
      </c>
      <c r="I1001" t="s">
        <v>441</v>
      </c>
      <c r="J1001" t="s">
        <v>442</v>
      </c>
      <c r="K1001" t="s">
        <v>383</v>
      </c>
      <c r="L1001" s="39">
        <v>0</v>
      </c>
      <c r="M1001" s="39">
        <v>0</v>
      </c>
      <c r="N1001">
        <v>0</v>
      </c>
      <c r="O1001" t="s">
        <v>384</v>
      </c>
      <c r="P1001">
        <v>9</v>
      </c>
      <c r="Q1001" t="s">
        <v>385</v>
      </c>
      <c r="R1001">
        <v>0</v>
      </c>
      <c r="S1001">
        <v>9</v>
      </c>
      <c r="T1001" t="s">
        <v>1607</v>
      </c>
      <c r="U1001" t="s">
        <v>366</v>
      </c>
      <c r="V1001" s="101">
        <v>46211</v>
      </c>
      <c r="W1001">
        <v>0</v>
      </c>
      <c r="X1001">
        <v>0</v>
      </c>
      <c r="Y1001">
        <v>0</v>
      </c>
      <c r="Z1001">
        <v>0</v>
      </c>
      <c r="AA1001">
        <v>0</v>
      </c>
    </row>
    <row r="1002" spans="1:27" x14ac:dyDescent="0.3">
      <c r="A1002">
        <v>5093</v>
      </c>
      <c r="B1002">
        <v>7</v>
      </c>
      <c r="C1002">
        <v>20</v>
      </c>
      <c r="D1002">
        <v>0</v>
      </c>
      <c r="E1002">
        <v>0</v>
      </c>
      <c r="F1002" t="s">
        <v>1614</v>
      </c>
      <c r="G1002" s="101">
        <v>46212</v>
      </c>
      <c r="H1002" t="s">
        <v>813</v>
      </c>
      <c r="I1002" t="s">
        <v>441</v>
      </c>
      <c r="J1002" t="s">
        <v>442</v>
      </c>
      <c r="K1002" t="s">
        <v>383</v>
      </c>
      <c r="L1002" s="39">
        <v>0</v>
      </c>
      <c r="M1002" s="39">
        <v>0</v>
      </c>
      <c r="N1002">
        <v>0</v>
      </c>
      <c r="O1002" t="s">
        <v>384</v>
      </c>
      <c r="P1002">
        <v>9</v>
      </c>
      <c r="Q1002" t="s">
        <v>385</v>
      </c>
      <c r="R1002">
        <v>0</v>
      </c>
      <c r="S1002">
        <v>9</v>
      </c>
      <c r="T1002" t="s">
        <v>1607</v>
      </c>
      <c r="U1002" t="s">
        <v>366</v>
      </c>
      <c r="V1002" s="101">
        <v>46212</v>
      </c>
      <c r="W1002">
        <v>0</v>
      </c>
      <c r="X1002">
        <v>0</v>
      </c>
      <c r="Y1002">
        <v>0</v>
      </c>
      <c r="Z1002">
        <v>0</v>
      </c>
      <c r="AA1002">
        <v>0</v>
      </c>
    </row>
    <row r="1003" spans="1:27" x14ac:dyDescent="0.3">
      <c r="A1003">
        <v>5093</v>
      </c>
      <c r="B1003">
        <v>7</v>
      </c>
      <c r="C1003">
        <v>20</v>
      </c>
      <c r="D1003">
        <v>0</v>
      </c>
      <c r="E1003">
        <v>0</v>
      </c>
      <c r="F1003" t="s">
        <v>1614</v>
      </c>
      <c r="G1003" s="101">
        <v>46213</v>
      </c>
      <c r="H1003" t="s">
        <v>813</v>
      </c>
      <c r="I1003" t="s">
        <v>441</v>
      </c>
      <c r="J1003" t="s">
        <v>442</v>
      </c>
      <c r="K1003" t="s">
        <v>383</v>
      </c>
      <c r="L1003" s="39">
        <v>0</v>
      </c>
      <c r="M1003" s="39">
        <v>0</v>
      </c>
      <c r="N1003">
        <v>0</v>
      </c>
      <c r="O1003" t="s">
        <v>384</v>
      </c>
      <c r="P1003">
        <v>9</v>
      </c>
      <c r="Q1003" t="s">
        <v>385</v>
      </c>
      <c r="R1003">
        <v>0</v>
      </c>
      <c r="S1003">
        <v>9</v>
      </c>
      <c r="T1003" t="s">
        <v>1607</v>
      </c>
      <c r="U1003" t="s">
        <v>366</v>
      </c>
      <c r="V1003" s="101">
        <v>46213</v>
      </c>
      <c r="W1003">
        <v>0</v>
      </c>
      <c r="X1003">
        <v>0</v>
      </c>
      <c r="Y1003">
        <v>0</v>
      </c>
      <c r="Z1003">
        <v>0</v>
      </c>
      <c r="AA1003">
        <v>0</v>
      </c>
    </row>
    <row r="1004" spans="1:27" x14ac:dyDescent="0.3">
      <c r="A1004">
        <v>5093</v>
      </c>
      <c r="B1004">
        <v>7</v>
      </c>
      <c r="C1004">
        <v>20</v>
      </c>
      <c r="D1004">
        <v>0</v>
      </c>
      <c r="E1004">
        <v>0</v>
      </c>
      <c r="F1004" t="s">
        <v>1614</v>
      </c>
      <c r="G1004" s="101">
        <v>46214</v>
      </c>
      <c r="H1004" t="s">
        <v>813</v>
      </c>
      <c r="I1004" t="s">
        <v>441</v>
      </c>
      <c r="J1004" t="s">
        <v>442</v>
      </c>
      <c r="K1004" t="s">
        <v>383</v>
      </c>
      <c r="L1004" s="39">
        <v>0</v>
      </c>
      <c r="M1004" s="39">
        <v>0</v>
      </c>
      <c r="N1004">
        <v>0</v>
      </c>
      <c r="O1004" t="s">
        <v>384</v>
      </c>
      <c r="P1004">
        <v>9</v>
      </c>
      <c r="Q1004" t="s">
        <v>385</v>
      </c>
      <c r="R1004">
        <v>0</v>
      </c>
      <c r="S1004">
        <v>9</v>
      </c>
      <c r="T1004" t="s">
        <v>1607</v>
      </c>
      <c r="U1004" t="s">
        <v>366</v>
      </c>
      <c r="V1004" s="101">
        <v>46214</v>
      </c>
      <c r="W1004">
        <v>0</v>
      </c>
      <c r="X1004">
        <v>0</v>
      </c>
      <c r="Y1004">
        <v>0</v>
      </c>
      <c r="Z1004">
        <v>0</v>
      </c>
      <c r="AA1004">
        <v>0</v>
      </c>
    </row>
    <row r="1005" spans="1:27" x14ac:dyDescent="0.3">
      <c r="A1005">
        <v>5093</v>
      </c>
      <c r="B1005">
        <v>7</v>
      </c>
      <c r="C1005">
        <v>20</v>
      </c>
      <c r="D1005">
        <v>0</v>
      </c>
      <c r="E1005">
        <v>0</v>
      </c>
      <c r="F1005" t="s">
        <v>1614</v>
      </c>
      <c r="G1005" s="101">
        <v>46215</v>
      </c>
      <c r="H1005" t="s">
        <v>813</v>
      </c>
      <c r="I1005" t="s">
        <v>441</v>
      </c>
      <c r="J1005" t="s">
        <v>442</v>
      </c>
      <c r="K1005" t="s">
        <v>383</v>
      </c>
      <c r="L1005" s="39">
        <v>0</v>
      </c>
      <c r="M1005" s="39">
        <v>0</v>
      </c>
      <c r="N1005">
        <v>0</v>
      </c>
      <c r="O1005" t="s">
        <v>384</v>
      </c>
      <c r="P1005">
        <v>9</v>
      </c>
      <c r="Q1005" t="s">
        <v>385</v>
      </c>
      <c r="R1005">
        <v>0</v>
      </c>
      <c r="S1005">
        <v>9</v>
      </c>
      <c r="T1005" t="s">
        <v>1607</v>
      </c>
      <c r="U1005" t="s">
        <v>366</v>
      </c>
      <c r="V1005" s="101">
        <v>46215</v>
      </c>
      <c r="W1005">
        <v>0</v>
      </c>
      <c r="X1005">
        <v>0</v>
      </c>
      <c r="Y1005">
        <v>0</v>
      </c>
      <c r="Z1005">
        <v>0</v>
      </c>
      <c r="AA1005">
        <v>0</v>
      </c>
    </row>
    <row r="1006" spans="1:27" x14ac:dyDescent="0.3">
      <c r="A1006">
        <v>5093</v>
      </c>
      <c r="B1006">
        <v>7</v>
      </c>
      <c r="C1006">
        <v>20</v>
      </c>
      <c r="D1006">
        <v>0</v>
      </c>
      <c r="E1006">
        <v>0</v>
      </c>
      <c r="F1006" t="s">
        <v>1614</v>
      </c>
      <c r="G1006" s="101">
        <v>46216</v>
      </c>
      <c r="H1006" t="s">
        <v>813</v>
      </c>
      <c r="I1006" t="s">
        <v>441</v>
      </c>
      <c r="J1006" t="s">
        <v>442</v>
      </c>
      <c r="K1006" t="s">
        <v>383</v>
      </c>
      <c r="L1006" s="39">
        <v>0</v>
      </c>
      <c r="M1006" s="39">
        <v>0</v>
      </c>
      <c r="N1006">
        <v>0</v>
      </c>
      <c r="O1006" t="s">
        <v>384</v>
      </c>
      <c r="P1006">
        <v>9</v>
      </c>
      <c r="Q1006" t="s">
        <v>385</v>
      </c>
      <c r="R1006">
        <v>0</v>
      </c>
      <c r="S1006">
        <v>9</v>
      </c>
      <c r="T1006" t="s">
        <v>1607</v>
      </c>
      <c r="U1006" t="s">
        <v>366</v>
      </c>
      <c r="V1006" s="101">
        <v>46216</v>
      </c>
      <c r="W1006">
        <v>0</v>
      </c>
      <c r="X1006">
        <v>0</v>
      </c>
      <c r="Y1006">
        <v>0</v>
      </c>
      <c r="Z1006">
        <v>0</v>
      </c>
      <c r="AA1006">
        <v>0</v>
      </c>
    </row>
    <row r="1007" spans="1:27" x14ac:dyDescent="0.3">
      <c r="A1007">
        <v>5093</v>
      </c>
      <c r="B1007">
        <v>7</v>
      </c>
      <c r="C1007">
        <v>20</v>
      </c>
      <c r="D1007">
        <v>0</v>
      </c>
      <c r="E1007">
        <v>0</v>
      </c>
      <c r="F1007" t="s">
        <v>1614</v>
      </c>
      <c r="G1007" s="101">
        <v>46217</v>
      </c>
      <c r="H1007" t="s">
        <v>813</v>
      </c>
      <c r="I1007" t="s">
        <v>441</v>
      </c>
      <c r="J1007" t="s">
        <v>442</v>
      </c>
      <c r="K1007" t="s">
        <v>383</v>
      </c>
      <c r="L1007" s="39">
        <v>0</v>
      </c>
      <c r="M1007" s="39">
        <v>0</v>
      </c>
      <c r="N1007">
        <v>0</v>
      </c>
      <c r="O1007" t="s">
        <v>384</v>
      </c>
      <c r="P1007">
        <v>9</v>
      </c>
      <c r="Q1007" t="s">
        <v>385</v>
      </c>
      <c r="R1007">
        <v>0</v>
      </c>
      <c r="S1007">
        <v>9</v>
      </c>
      <c r="T1007" t="s">
        <v>1607</v>
      </c>
      <c r="U1007" t="s">
        <v>366</v>
      </c>
      <c r="V1007" s="101">
        <v>46217</v>
      </c>
      <c r="W1007">
        <v>0</v>
      </c>
      <c r="X1007">
        <v>0</v>
      </c>
      <c r="Y1007">
        <v>0</v>
      </c>
      <c r="Z1007">
        <v>0</v>
      </c>
      <c r="AA1007">
        <v>0</v>
      </c>
    </row>
    <row r="1008" spans="1:27" x14ac:dyDescent="0.3">
      <c r="A1008">
        <v>5093</v>
      </c>
      <c r="B1008">
        <v>7</v>
      </c>
      <c r="C1008">
        <v>20</v>
      </c>
      <c r="D1008">
        <v>0</v>
      </c>
      <c r="E1008">
        <v>0</v>
      </c>
      <c r="F1008" t="s">
        <v>1614</v>
      </c>
      <c r="G1008" s="101">
        <v>46218</v>
      </c>
      <c r="H1008" t="s">
        <v>813</v>
      </c>
      <c r="I1008" t="s">
        <v>441</v>
      </c>
      <c r="J1008" t="s">
        <v>442</v>
      </c>
      <c r="K1008" t="s">
        <v>383</v>
      </c>
      <c r="L1008" s="39">
        <v>0</v>
      </c>
      <c r="M1008" s="39">
        <v>0</v>
      </c>
      <c r="N1008">
        <v>0</v>
      </c>
      <c r="O1008" t="s">
        <v>384</v>
      </c>
      <c r="P1008">
        <v>9</v>
      </c>
      <c r="Q1008" t="s">
        <v>385</v>
      </c>
      <c r="R1008">
        <v>0</v>
      </c>
      <c r="S1008">
        <v>9</v>
      </c>
      <c r="T1008" t="s">
        <v>1607</v>
      </c>
      <c r="U1008" t="s">
        <v>366</v>
      </c>
      <c r="V1008" s="101">
        <v>46218</v>
      </c>
      <c r="W1008">
        <v>0</v>
      </c>
      <c r="X1008">
        <v>0</v>
      </c>
      <c r="Y1008">
        <v>0</v>
      </c>
      <c r="Z1008">
        <v>0</v>
      </c>
      <c r="AA1008">
        <v>0</v>
      </c>
    </row>
    <row r="1009" spans="1:27" x14ac:dyDescent="0.3">
      <c r="A1009">
        <v>5093</v>
      </c>
      <c r="B1009">
        <v>7</v>
      </c>
      <c r="C1009">
        <v>20</v>
      </c>
      <c r="D1009">
        <v>0</v>
      </c>
      <c r="E1009">
        <v>0</v>
      </c>
      <c r="F1009" t="s">
        <v>1614</v>
      </c>
      <c r="G1009" s="101">
        <v>46219</v>
      </c>
      <c r="H1009" t="s">
        <v>813</v>
      </c>
      <c r="I1009" t="s">
        <v>441</v>
      </c>
      <c r="J1009" t="s">
        <v>442</v>
      </c>
      <c r="K1009" t="s">
        <v>383</v>
      </c>
      <c r="L1009" s="39">
        <v>0</v>
      </c>
      <c r="M1009" s="39">
        <v>0</v>
      </c>
      <c r="N1009">
        <v>0</v>
      </c>
      <c r="O1009" t="s">
        <v>384</v>
      </c>
      <c r="P1009">
        <v>9</v>
      </c>
      <c r="Q1009" t="s">
        <v>385</v>
      </c>
      <c r="R1009">
        <v>0</v>
      </c>
      <c r="S1009">
        <v>9</v>
      </c>
      <c r="T1009" t="s">
        <v>1607</v>
      </c>
      <c r="U1009" t="s">
        <v>366</v>
      </c>
      <c r="V1009" s="101">
        <v>46219</v>
      </c>
      <c r="W1009">
        <v>0</v>
      </c>
      <c r="X1009">
        <v>0</v>
      </c>
      <c r="Y1009">
        <v>0</v>
      </c>
      <c r="Z1009">
        <v>0</v>
      </c>
      <c r="AA1009">
        <v>0</v>
      </c>
    </row>
    <row r="1010" spans="1:27" x14ac:dyDescent="0.3">
      <c r="A1010">
        <v>5093</v>
      </c>
      <c r="B1010">
        <v>7</v>
      </c>
      <c r="C1010">
        <v>20</v>
      </c>
      <c r="D1010">
        <v>0</v>
      </c>
      <c r="E1010">
        <v>0</v>
      </c>
      <c r="F1010" t="s">
        <v>1614</v>
      </c>
      <c r="G1010" s="101">
        <v>46220</v>
      </c>
      <c r="H1010" t="s">
        <v>813</v>
      </c>
      <c r="I1010" t="s">
        <v>441</v>
      </c>
      <c r="J1010" t="s">
        <v>442</v>
      </c>
      <c r="K1010" t="s">
        <v>383</v>
      </c>
      <c r="L1010" s="39">
        <v>0</v>
      </c>
      <c r="M1010" s="39">
        <v>0</v>
      </c>
      <c r="N1010">
        <v>0</v>
      </c>
      <c r="O1010" t="s">
        <v>384</v>
      </c>
      <c r="P1010">
        <v>9</v>
      </c>
      <c r="Q1010" t="s">
        <v>385</v>
      </c>
      <c r="R1010">
        <v>0</v>
      </c>
      <c r="S1010">
        <v>9</v>
      </c>
      <c r="T1010" t="s">
        <v>1607</v>
      </c>
      <c r="U1010" t="s">
        <v>366</v>
      </c>
      <c r="V1010" s="101">
        <v>46220</v>
      </c>
      <c r="W1010">
        <v>0</v>
      </c>
      <c r="X1010">
        <v>0</v>
      </c>
      <c r="Y1010">
        <v>0</v>
      </c>
      <c r="Z1010">
        <v>0</v>
      </c>
      <c r="AA1010">
        <v>0</v>
      </c>
    </row>
    <row r="1011" spans="1:27" x14ac:dyDescent="0.3">
      <c r="A1011">
        <v>5093</v>
      </c>
      <c r="B1011">
        <v>7</v>
      </c>
      <c r="C1011">
        <v>20</v>
      </c>
      <c r="D1011">
        <v>0</v>
      </c>
      <c r="E1011">
        <v>0</v>
      </c>
      <c r="F1011" t="s">
        <v>1614</v>
      </c>
      <c r="G1011" s="101">
        <v>46221</v>
      </c>
      <c r="H1011" t="s">
        <v>813</v>
      </c>
      <c r="I1011" t="s">
        <v>441</v>
      </c>
      <c r="J1011" t="s">
        <v>442</v>
      </c>
      <c r="K1011" t="s">
        <v>383</v>
      </c>
      <c r="L1011" s="39">
        <v>0</v>
      </c>
      <c r="M1011" s="39">
        <v>0</v>
      </c>
      <c r="N1011">
        <v>0</v>
      </c>
      <c r="O1011" t="s">
        <v>384</v>
      </c>
      <c r="P1011">
        <v>9</v>
      </c>
      <c r="Q1011" t="s">
        <v>385</v>
      </c>
      <c r="R1011">
        <v>0</v>
      </c>
      <c r="S1011">
        <v>9</v>
      </c>
      <c r="T1011" t="s">
        <v>1607</v>
      </c>
      <c r="U1011" t="s">
        <v>366</v>
      </c>
      <c r="V1011" s="101">
        <v>46221</v>
      </c>
      <c r="W1011">
        <v>0</v>
      </c>
      <c r="X1011">
        <v>0</v>
      </c>
      <c r="Y1011">
        <v>0</v>
      </c>
      <c r="Z1011">
        <v>0</v>
      </c>
      <c r="AA1011">
        <v>0</v>
      </c>
    </row>
    <row r="1012" spans="1:27" x14ac:dyDescent="0.3">
      <c r="A1012">
        <v>5093</v>
      </c>
      <c r="B1012">
        <v>7</v>
      </c>
      <c r="C1012">
        <v>20</v>
      </c>
      <c r="D1012">
        <v>0</v>
      </c>
      <c r="E1012">
        <v>0</v>
      </c>
      <c r="F1012" t="s">
        <v>1614</v>
      </c>
      <c r="G1012" s="101">
        <v>46222</v>
      </c>
      <c r="H1012" t="s">
        <v>813</v>
      </c>
      <c r="I1012" t="s">
        <v>441</v>
      </c>
      <c r="J1012" t="s">
        <v>442</v>
      </c>
      <c r="K1012" t="s">
        <v>383</v>
      </c>
      <c r="L1012" s="39">
        <v>0</v>
      </c>
      <c r="M1012" s="39">
        <v>0</v>
      </c>
      <c r="N1012">
        <v>0</v>
      </c>
      <c r="O1012" t="s">
        <v>384</v>
      </c>
      <c r="P1012">
        <v>9</v>
      </c>
      <c r="Q1012" t="s">
        <v>385</v>
      </c>
      <c r="R1012">
        <v>0</v>
      </c>
      <c r="S1012">
        <v>9</v>
      </c>
      <c r="T1012" t="s">
        <v>1607</v>
      </c>
      <c r="U1012" t="s">
        <v>366</v>
      </c>
      <c r="V1012" s="101">
        <v>46222</v>
      </c>
      <c r="W1012">
        <v>0</v>
      </c>
      <c r="X1012">
        <v>0</v>
      </c>
      <c r="Y1012">
        <v>0</v>
      </c>
      <c r="Z1012">
        <v>0</v>
      </c>
      <c r="AA1012">
        <v>0</v>
      </c>
    </row>
    <row r="1013" spans="1:27" x14ac:dyDescent="0.3">
      <c r="A1013">
        <v>5093</v>
      </c>
      <c r="B1013">
        <v>7</v>
      </c>
      <c r="C1013">
        <v>20</v>
      </c>
      <c r="D1013">
        <v>0</v>
      </c>
      <c r="E1013">
        <v>0</v>
      </c>
      <c r="F1013" t="s">
        <v>1614</v>
      </c>
      <c r="G1013" s="101">
        <v>46223</v>
      </c>
      <c r="H1013" t="s">
        <v>813</v>
      </c>
      <c r="I1013" t="s">
        <v>441</v>
      </c>
      <c r="J1013" t="s">
        <v>442</v>
      </c>
      <c r="K1013" t="s">
        <v>383</v>
      </c>
      <c r="L1013" s="39">
        <v>0</v>
      </c>
      <c r="M1013" s="39">
        <v>0</v>
      </c>
      <c r="N1013">
        <v>0</v>
      </c>
      <c r="O1013" t="s">
        <v>384</v>
      </c>
      <c r="P1013">
        <v>9</v>
      </c>
      <c r="Q1013" t="s">
        <v>385</v>
      </c>
      <c r="R1013">
        <v>0</v>
      </c>
      <c r="S1013">
        <v>9</v>
      </c>
      <c r="T1013" t="s">
        <v>1607</v>
      </c>
      <c r="U1013" t="s">
        <v>366</v>
      </c>
      <c r="V1013" s="101">
        <v>46223</v>
      </c>
      <c r="W1013">
        <v>0</v>
      </c>
      <c r="X1013">
        <v>0</v>
      </c>
      <c r="Y1013">
        <v>0</v>
      </c>
      <c r="Z1013">
        <v>0</v>
      </c>
      <c r="AA1013">
        <v>0</v>
      </c>
    </row>
    <row r="1014" spans="1:27" x14ac:dyDescent="0.3">
      <c r="A1014">
        <v>5093</v>
      </c>
      <c r="B1014">
        <v>7</v>
      </c>
      <c r="C1014">
        <v>20</v>
      </c>
      <c r="D1014">
        <v>0</v>
      </c>
      <c r="E1014">
        <v>0</v>
      </c>
      <c r="F1014" t="s">
        <v>1614</v>
      </c>
      <c r="G1014" s="101">
        <v>46224</v>
      </c>
      <c r="H1014" t="s">
        <v>813</v>
      </c>
      <c r="I1014" t="s">
        <v>441</v>
      </c>
      <c r="J1014" t="s">
        <v>442</v>
      </c>
      <c r="K1014" t="s">
        <v>383</v>
      </c>
      <c r="L1014" s="39">
        <v>0</v>
      </c>
      <c r="M1014" s="39">
        <v>0</v>
      </c>
      <c r="N1014">
        <v>0</v>
      </c>
      <c r="O1014" t="s">
        <v>384</v>
      </c>
      <c r="P1014">
        <v>9</v>
      </c>
      <c r="Q1014" t="s">
        <v>385</v>
      </c>
      <c r="R1014">
        <v>0</v>
      </c>
      <c r="S1014">
        <v>9</v>
      </c>
      <c r="T1014" t="s">
        <v>1607</v>
      </c>
      <c r="U1014" t="s">
        <v>366</v>
      </c>
      <c r="V1014" s="101">
        <v>46224</v>
      </c>
      <c r="W1014">
        <v>0</v>
      </c>
      <c r="X1014">
        <v>0</v>
      </c>
      <c r="Y1014">
        <v>0</v>
      </c>
      <c r="Z1014">
        <v>0</v>
      </c>
      <c r="AA1014">
        <v>0</v>
      </c>
    </row>
    <row r="1015" spans="1:27" x14ac:dyDescent="0.3">
      <c r="A1015">
        <v>5093</v>
      </c>
      <c r="B1015">
        <v>7</v>
      </c>
      <c r="C1015">
        <v>20</v>
      </c>
      <c r="D1015">
        <v>0</v>
      </c>
      <c r="E1015">
        <v>0</v>
      </c>
      <c r="F1015" t="s">
        <v>1614</v>
      </c>
      <c r="G1015" s="101">
        <v>46225</v>
      </c>
      <c r="H1015" t="s">
        <v>813</v>
      </c>
      <c r="I1015" t="s">
        <v>441</v>
      </c>
      <c r="J1015" t="s">
        <v>442</v>
      </c>
      <c r="K1015" t="s">
        <v>383</v>
      </c>
      <c r="L1015" s="39">
        <v>0</v>
      </c>
      <c r="M1015" s="39">
        <v>0</v>
      </c>
      <c r="N1015">
        <v>0</v>
      </c>
      <c r="O1015" t="s">
        <v>384</v>
      </c>
      <c r="P1015">
        <v>9</v>
      </c>
      <c r="Q1015" t="s">
        <v>385</v>
      </c>
      <c r="R1015">
        <v>0</v>
      </c>
      <c r="S1015">
        <v>9</v>
      </c>
      <c r="T1015" t="s">
        <v>1607</v>
      </c>
      <c r="U1015" t="s">
        <v>366</v>
      </c>
      <c r="V1015" s="101">
        <v>46225</v>
      </c>
      <c r="W1015">
        <v>0</v>
      </c>
      <c r="X1015">
        <v>0</v>
      </c>
      <c r="Y1015">
        <v>0</v>
      </c>
      <c r="Z1015">
        <v>0</v>
      </c>
      <c r="AA1015">
        <v>0</v>
      </c>
    </row>
    <row r="1016" spans="1:27" x14ac:dyDescent="0.3">
      <c r="A1016">
        <v>5093</v>
      </c>
      <c r="B1016">
        <v>7</v>
      </c>
      <c r="C1016">
        <v>20</v>
      </c>
      <c r="D1016">
        <v>0</v>
      </c>
      <c r="E1016">
        <v>0</v>
      </c>
      <c r="F1016" t="s">
        <v>1614</v>
      </c>
      <c r="G1016" s="101">
        <v>46226</v>
      </c>
      <c r="H1016" t="s">
        <v>813</v>
      </c>
      <c r="I1016" t="s">
        <v>441</v>
      </c>
      <c r="J1016" t="s">
        <v>442</v>
      </c>
      <c r="K1016" t="s">
        <v>383</v>
      </c>
      <c r="L1016" s="39">
        <v>0</v>
      </c>
      <c r="M1016" s="39">
        <v>0</v>
      </c>
      <c r="N1016">
        <v>0</v>
      </c>
      <c r="O1016" t="s">
        <v>384</v>
      </c>
      <c r="P1016">
        <v>9</v>
      </c>
      <c r="Q1016" t="s">
        <v>385</v>
      </c>
      <c r="R1016">
        <v>0</v>
      </c>
      <c r="S1016">
        <v>9</v>
      </c>
      <c r="T1016" t="s">
        <v>1607</v>
      </c>
      <c r="U1016" t="s">
        <v>366</v>
      </c>
      <c r="V1016" s="101">
        <v>46226</v>
      </c>
      <c r="W1016">
        <v>0</v>
      </c>
      <c r="X1016">
        <v>0</v>
      </c>
      <c r="Y1016">
        <v>0</v>
      </c>
      <c r="Z1016">
        <v>0</v>
      </c>
      <c r="AA1016">
        <v>0</v>
      </c>
    </row>
    <row r="1017" spans="1:27" x14ac:dyDescent="0.3">
      <c r="A1017">
        <v>5093</v>
      </c>
      <c r="B1017">
        <v>7</v>
      </c>
      <c r="C1017">
        <v>20</v>
      </c>
      <c r="D1017">
        <v>0</v>
      </c>
      <c r="E1017">
        <v>0</v>
      </c>
      <c r="F1017" t="s">
        <v>1614</v>
      </c>
      <c r="G1017" s="101">
        <v>46227</v>
      </c>
      <c r="H1017" t="s">
        <v>813</v>
      </c>
      <c r="I1017" t="s">
        <v>441</v>
      </c>
      <c r="J1017" t="s">
        <v>442</v>
      </c>
      <c r="K1017" t="s">
        <v>382</v>
      </c>
      <c r="L1017" s="39">
        <v>0.38194444444444442</v>
      </c>
      <c r="M1017" s="39">
        <v>0.76388888888888884</v>
      </c>
      <c r="N1017">
        <v>9.17</v>
      </c>
      <c r="O1017" t="s">
        <v>1615</v>
      </c>
      <c r="P1017">
        <v>0</v>
      </c>
      <c r="Q1017" t="s">
        <v>1616</v>
      </c>
      <c r="R1017">
        <v>0.83</v>
      </c>
      <c r="S1017">
        <v>0.83</v>
      </c>
      <c r="T1017" t="s">
        <v>1607</v>
      </c>
      <c r="U1017" t="s">
        <v>108</v>
      </c>
      <c r="V1017" s="101">
        <v>46227</v>
      </c>
      <c r="W1017">
        <v>1</v>
      </c>
      <c r="X1017">
        <v>1</v>
      </c>
      <c r="Y1017">
        <v>0</v>
      </c>
      <c r="Z1017">
        <v>0</v>
      </c>
      <c r="AA1017">
        <v>0</v>
      </c>
    </row>
    <row r="1018" spans="1:27" x14ac:dyDescent="0.3">
      <c r="A1018">
        <v>5093</v>
      </c>
      <c r="B1018">
        <v>7</v>
      </c>
      <c r="C1018">
        <v>20</v>
      </c>
      <c r="D1018">
        <v>0</v>
      </c>
      <c r="E1018">
        <v>0</v>
      </c>
      <c r="F1018" t="s">
        <v>1614</v>
      </c>
      <c r="G1018" s="101">
        <v>46228</v>
      </c>
      <c r="H1018" t="s">
        <v>813</v>
      </c>
      <c r="I1018" t="s">
        <v>441</v>
      </c>
      <c r="J1018" t="s">
        <v>442</v>
      </c>
      <c r="K1018" t="s">
        <v>382</v>
      </c>
      <c r="L1018" s="39">
        <v>0.38194444444444442</v>
      </c>
      <c r="M1018" s="39">
        <v>0.76388888888888884</v>
      </c>
      <c r="N1018">
        <v>9.17</v>
      </c>
      <c r="O1018" t="s">
        <v>1615</v>
      </c>
      <c r="P1018">
        <v>0</v>
      </c>
      <c r="Q1018" t="s">
        <v>1616</v>
      </c>
      <c r="R1018">
        <v>0.83</v>
      </c>
      <c r="S1018">
        <v>0.83</v>
      </c>
      <c r="T1018" t="s">
        <v>1607</v>
      </c>
      <c r="U1018" t="s">
        <v>108</v>
      </c>
      <c r="V1018" s="101">
        <v>46228</v>
      </c>
      <c r="W1018">
        <v>1</v>
      </c>
      <c r="X1018">
        <v>1</v>
      </c>
      <c r="Y1018">
        <v>0</v>
      </c>
      <c r="Z1018">
        <v>0</v>
      </c>
      <c r="AA1018">
        <v>0</v>
      </c>
    </row>
    <row r="1019" spans="1:27" x14ac:dyDescent="0.3">
      <c r="A1019">
        <v>5093</v>
      </c>
      <c r="B1019">
        <v>7</v>
      </c>
      <c r="C1019">
        <v>20</v>
      </c>
      <c r="D1019">
        <v>0</v>
      </c>
      <c r="E1019">
        <v>0</v>
      </c>
      <c r="F1019" t="s">
        <v>1614</v>
      </c>
      <c r="G1019" s="101">
        <v>46229</v>
      </c>
      <c r="H1019" t="s">
        <v>813</v>
      </c>
      <c r="I1019" t="s">
        <v>441</v>
      </c>
      <c r="J1019" t="s">
        <v>442</v>
      </c>
      <c r="K1019" t="s">
        <v>383</v>
      </c>
      <c r="L1019" s="39">
        <v>0</v>
      </c>
      <c r="M1019" s="39">
        <v>0</v>
      </c>
      <c r="N1019">
        <v>0</v>
      </c>
      <c r="O1019" t="s">
        <v>384</v>
      </c>
      <c r="P1019">
        <v>9</v>
      </c>
      <c r="Q1019" t="s">
        <v>385</v>
      </c>
      <c r="R1019">
        <v>0</v>
      </c>
      <c r="S1019">
        <v>9</v>
      </c>
      <c r="T1019" t="s">
        <v>1607</v>
      </c>
      <c r="U1019" t="s">
        <v>366</v>
      </c>
      <c r="V1019" s="101">
        <v>46229</v>
      </c>
      <c r="W1019">
        <v>0</v>
      </c>
      <c r="X1019">
        <v>0</v>
      </c>
      <c r="Y1019">
        <v>0</v>
      </c>
      <c r="Z1019">
        <v>0</v>
      </c>
      <c r="AA1019">
        <v>0</v>
      </c>
    </row>
    <row r="1020" spans="1:27" x14ac:dyDescent="0.3">
      <c r="A1020">
        <v>5093</v>
      </c>
      <c r="B1020">
        <v>7</v>
      </c>
      <c r="C1020">
        <v>20</v>
      </c>
      <c r="D1020">
        <v>0</v>
      </c>
      <c r="E1020">
        <v>0</v>
      </c>
      <c r="F1020" t="s">
        <v>1614</v>
      </c>
      <c r="G1020" s="101">
        <v>46230</v>
      </c>
      <c r="H1020" t="s">
        <v>813</v>
      </c>
      <c r="I1020" t="s">
        <v>441</v>
      </c>
      <c r="J1020" t="s">
        <v>442</v>
      </c>
      <c r="K1020" t="s">
        <v>382</v>
      </c>
      <c r="L1020" s="39">
        <v>0.37152777777777779</v>
      </c>
      <c r="M1020" s="39">
        <v>0.77083333333333337</v>
      </c>
      <c r="N1020">
        <v>9.58</v>
      </c>
      <c r="O1020" t="s">
        <v>946</v>
      </c>
      <c r="P1020">
        <v>0</v>
      </c>
      <c r="Q1020" t="s">
        <v>417</v>
      </c>
      <c r="R1020">
        <v>1</v>
      </c>
      <c r="S1020">
        <v>1</v>
      </c>
      <c r="T1020" t="s">
        <v>1607</v>
      </c>
      <c r="U1020" t="s">
        <v>108</v>
      </c>
      <c r="V1020" s="101">
        <v>46230</v>
      </c>
      <c r="W1020">
        <v>1</v>
      </c>
      <c r="X1020">
        <v>1</v>
      </c>
      <c r="Y1020">
        <v>0</v>
      </c>
      <c r="Z1020">
        <v>0</v>
      </c>
      <c r="AA1020">
        <v>0</v>
      </c>
    </row>
    <row r="1021" spans="1:27" x14ac:dyDescent="0.3">
      <c r="A1021">
        <v>5093</v>
      </c>
      <c r="B1021">
        <v>7</v>
      </c>
      <c r="C1021">
        <v>20</v>
      </c>
      <c r="D1021">
        <v>0</v>
      </c>
      <c r="E1021">
        <v>0</v>
      </c>
      <c r="F1021" t="s">
        <v>1614</v>
      </c>
      <c r="G1021" s="101">
        <v>46231</v>
      </c>
      <c r="H1021" t="s">
        <v>813</v>
      </c>
      <c r="I1021" t="s">
        <v>441</v>
      </c>
      <c r="J1021" t="s">
        <v>442</v>
      </c>
      <c r="K1021" t="s">
        <v>382</v>
      </c>
      <c r="L1021" s="39">
        <v>0.375</v>
      </c>
      <c r="M1021" s="39">
        <v>0.77083333333333337</v>
      </c>
      <c r="N1021">
        <v>9.5</v>
      </c>
      <c r="O1021" t="s">
        <v>418</v>
      </c>
      <c r="P1021">
        <v>0</v>
      </c>
      <c r="Q1021" t="s">
        <v>417</v>
      </c>
      <c r="R1021">
        <v>1</v>
      </c>
      <c r="S1021">
        <v>1</v>
      </c>
      <c r="T1021" t="s">
        <v>1607</v>
      </c>
      <c r="U1021" t="s">
        <v>108</v>
      </c>
      <c r="V1021" s="101">
        <v>46231</v>
      </c>
      <c r="W1021">
        <v>1</v>
      </c>
      <c r="X1021">
        <v>1</v>
      </c>
      <c r="Y1021">
        <v>0</v>
      </c>
      <c r="Z1021">
        <v>0</v>
      </c>
      <c r="AA1021">
        <v>0</v>
      </c>
    </row>
    <row r="1022" spans="1:27" x14ac:dyDescent="0.3">
      <c r="A1022">
        <v>5093</v>
      </c>
      <c r="B1022">
        <v>7</v>
      </c>
      <c r="C1022">
        <v>20</v>
      </c>
      <c r="D1022">
        <v>0</v>
      </c>
      <c r="E1022">
        <v>0</v>
      </c>
      <c r="F1022" t="s">
        <v>1614</v>
      </c>
      <c r="G1022" s="101">
        <v>46232</v>
      </c>
      <c r="H1022" t="s">
        <v>813</v>
      </c>
      <c r="I1022" t="s">
        <v>441</v>
      </c>
      <c r="J1022" t="s">
        <v>442</v>
      </c>
      <c r="K1022" t="s">
        <v>382</v>
      </c>
      <c r="L1022" s="39">
        <v>0.375</v>
      </c>
      <c r="M1022" s="39">
        <v>0.77083333333333337</v>
      </c>
      <c r="N1022">
        <v>9.5</v>
      </c>
      <c r="O1022" t="s">
        <v>418</v>
      </c>
      <c r="P1022">
        <v>0</v>
      </c>
      <c r="Q1022" t="s">
        <v>417</v>
      </c>
      <c r="R1022">
        <v>1</v>
      </c>
      <c r="S1022">
        <v>1</v>
      </c>
      <c r="T1022" t="s">
        <v>1607</v>
      </c>
      <c r="U1022" t="s">
        <v>108</v>
      </c>
      <c r="V1022" s="101">
        <v>46232</v>
      </c>
      <c r="W1022">
        <v>1</v>
      </c>
      <c r="X1022">
        <v>1</v>
      </c>
      <c r="Y1022">
        <v>0</v>
      </c>
      <c r="Z1022">
        <v>0</v>
      </c>
      <c r="AA1022">
        <v>0</v>
      </c>
    </row>
    <row r="1023" spans="1:27" x14ac:dyDescent="0.3">
      <c r="A1023">
        <v>5093</v>
      </c>
      <c r="B1023">
        <v>7</v>
      </c>
      <c r="C1023">
        <v>20</v>
      </c>
      <c r="D1023">
        <v>0</v>
      </c>
      <c r="E1023">
        <v>0</v>
      </c>
      <c r="F1023" t="s">
        <v>1614</v>
      </c>
      <c r="G1023" s="101">
        <v>46233</v>
      </c>
      <c r="H1023" t="s">
        <v>813</v>
      </c>
      <c r="I1023" t="s">
        <v>441</v>
      </c>
      <c r="J1023" t="s">
        <v>442</v>
      </c>
      <c r="K1023" t="s">
        <v>382</v>
      </c>
      <c r="L1023" s="39">
        <v>0.375</v>
      </c>
      <c r="M1023" s="39">
        <v>0.77083333333333337</v>
      </c>
      <c r="N1023">
        <v>9.5</v>
      </c>
      <c r="O1023" t="s">
        <v>418</v>
      </c>
      <c r="P1023">
        <v>0</v>
      </c>
      <c r="Q1023" t="s">
        <v>417</v>
      </c>
      <c r="R1023">
        <v>1</v>
      </c>
      <c r="S1023">
        <v>1</v>
      </c>
      <c r="T1023" t="s">
        <v>1607</v>
      </c>
      <c r="U1023" t="s">
        <v>108</v>
      </c>
      <c r="V1023" s="101">
        <v>46233</v>
      </c>
      <c r="W1023">
        <v>1</v>
      </c>
      <c r="X1023">
        <v>1</v>
      </c>
      <c r="Y1023">
        <v>0</v>
      </c>
      <c r="Z1023">
        <v>0</v>
      </c>
      <c r="AA1023">
        <v>0</v>
      </c>
    </row>
    <row r="1024" spans="1:27" x14ac:dyDescent="0.3">
      <c r="A1024">
        <v>5093</v>
      </c>
      <c r="B1024">
        <v>7</v>
      </c>
      <c r="C1024">
        <v>20</v>
      </c>
      <c r="D1024">
        <v>0</v>
      </c>
      <c r="E1024">
        <v>0</v>
      </c>
      <c r="F1024" t="s">
        <v>1614</v>
      </c>
      <c r="G1024" s="101">
        <v>46234</v>
      </c>
      <c r="H1024" t="s">
        <v>813</v>
      </c>
      <c r="I1024" t="s">
        <v>441</v>
      </c>
      <c r="J1024" t="s">
        <v>442</v>
      </c>
      <c r="K1024" t="s">
        <v>382</v>
      </c>
      <c r="L1024" s="39">
        <v>0.375</v>
      </c>
      <c r="M1024" s="39">
        <v>0.77083333333333337</v>
      </c>
      <c r="N1024">
        <v>9.5</v>
      </c>
      <c r="O1024" t="s">
        <v>418</v>
      </c>
      <c r="P1024">
        <v>0</v>
      </c>
      <c r="Q1024" t="s">
        <v>417</v>
      </c>
      <c r="R1024">
        <v>1</v>
      </c>
      <c r="S1024">
        <v>1</v>
      </c>
      <c r="T1024" t="s">
        <v>1607</v>
      </c>
      <c r="U1024" t="s">
        <v>108</v>
      </c>
      <c r="V1024" s="101">
        <v>46234</v>
      </c>
      <c r="W1024">
        <v>1</v>
      </c>
      <c r="X1024">
        <v>1</v>
      </c>
      <c r="Y1024">
        <v>0</v>
      </c>
      <c r="Z1024">
        <v>0</v>
      </c>
      <c r="AA1024">
        <v>0</v>
      </c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52E8-16EA-40E7-A7C9-5EA07ACD4E52}">
  <dimension ref="A1:AA34"/>
  <sheetViews>
    <sheetView workbookViewId="0">
      <selection activeCell="H19" sqref="H19"/>
    </sheetView>
  </sheetViews>
  <sheetFormatPr defaultColWidth="8.77734375" defaultRowHeight="14.4" x14ac:dyDescent="0.3"/>
  <cols>
    <col min="1" max="1" width="16.44140625" bestFit="1" customWidth="1"/>
    <col min="2" max="2" width="15.44140625" bestFit="1" customWidth="1"/>
    <col min="3" max="3" width="15.77734375" bestFit="1" customWidth="1"/>
    <col min="4" max="4" width="15" bestFit="1" customWidth="1"/>
    <col min="5" max="5" width="11.77734375" bestFit="1" customWidth="1"/>
    <col min="6" max="6" width="16.44140625" bestFit="1" customWidth="1"/>
    <col min="7" max="7" width="9.44140625" bestFit="1" customWidth="1"/>
    <col min="8" max="8" width="17.109375" bestFit="1" customWidth="1"/>
    <col min="9" max="9" width="20.6640625" bestFit="1" customWidth="1"/>
    <col min="10" max="10" width="13.109375" bestFit="1" customWidth="1"/>
    <col min="11" max="11" width="9" bestFit="1" customWidth="1"/>
    <col min="12" max="13" width="11.33203125" bestFit="1" customWidth="1"/>
    <col min="14" max="14" width="13.6640625" bestFit="1" customWidth="1"/>
    <col min="15" max="15" width="9" bestFit="1" customWidth="1"/>
    <col min="16" max="16" width="13.44140625" bestFit="1" customWidth="1"/>
    <col min="17" max="17" width="9.33203125" bestFit="1" customWidth="1"/>
    <col min="18" max="18" width="14.77734375" bestFit="1" customWidth="1"/>
    <col min="19" max="19" width="16.109375" bestFit="1" customWidth="1"/>
    <col min="20" max="20" width="11.44140625" bestFit="1" customWidth="1"/>
    <col min="21" max="21" width="13" bestFit="1" customWidth="1"/>
    <col min="22" max="22" width="17.44140625" bestFit="1" customWidth="1"/>
    <col min="23" max="23" width="9.44140625" bestFit="1" customWidth="1"/>
    <col min="24" max="24" width="10.33203125" bestFit="1" customWidth="1"/>
    <col min="25" max="25" width="9.44140625" bestFit="1" customWidth="1"/>
    <col min="26" max="26" width="13.6640625" bestFit="1" customWidth="1"/>
    <col min="27" max="27" width="10.77734375" bestFit="1" customWidth="1"/>
  </cols>
  <sheetData>
    <row r="1" spans="1:27" x14ac:dyDescent="0.3">
      <c r="A1" s="99" t="s">
        <v>1626</v>
      </c>
    </row>
    <row r="3" spans="1:27" x14ac:dyDescent="0.3">
      <c r="A3" t="s">
        <v>209</v>
      </c>
      <c r="B3" t="s">
        <v>368</v>
      </c>
      <c r="C3" t="s">
        <v>395</v>
      </c>
      <c r="D3" t="s">
        <v>393</v>
      </c>
      <c r="E3" t="s">
        <v>396</v>
      </c>
      <c r="F3" t="s">
        <v>486</v>
      </c>
      <c r="G3" t="s">
        <v>214</v>
      </c>
      <c r="H3" t="s">
        <v>369</v>
      </c>
      <c r="I3" t="s">
        <v>370</v>
      </c>
      <c r="J3" t="s">
        <v>89</v>
      </c>
      <c r="K3" t="s">
        <v>371</v>
      </c>
      <c r="L3" t="s">
        <v>372</v>
      </c>
      <c r="M3" t="s">
        <v>373</v>
      </c>
      <c r="N3" t="s">
        <v>222</v>
      </c>
      <c r="O3" t="s">
        <v>374</v>
      </c>
      <c r="P3" t="s">
        <v>375</v>
      </c>
      <c r="Q3" t="s">
        <v>376</v>
      </c>
      <c r="R3" t="s">
        <v>377</v>
      </c>
      <c r="S3" t="s">
        <v>378</v>
      </c>
      <c r="T3" t="s">
        <v>221</v>
      </c>
      <c r="U3" t="s">
        <v>225</v>
      </c>
      <c r="V3" t="s">
        <v>379</v>
      </c>
      <c r="W3" t="s">
        <v>380</v>
      </c>
      <c r="X3" t="s">
        <v>381</v>
      </c>
      <c r="Y3" t="s">
        <v>362</v>
      </c>
      <c r="Z3" t="s">
        <v>388</v>
      </c>
      <c r="AA3" t="s">
        <v>363</v>
      </c>
    </row>
    <row r="4" spans="1:27" x14ac:dyDescent="0.3">
      <c r="A4">
        <v>1002</v>
      </c>
      <c r="B4">
        <v>25</v>
      </c>
      <c r="C4">
        <v>2</v>
      </c>
      <c r="D4">
        <v>0</v>
      </c>
      <c r="E4">
        <v>0</v>
      </c>
      <c r="F4" t="s">
        <v>1043</v>
      </c>
      <c r="G4" s="101">
        <v>46234</v>
      </c>
      <c r="H4" t="s">
        <v>216</v>
      </c>
      <c r="I4" t="s">
        <v>445</v>
      </c>
      <c r="J4" t="s">
        <v>442</v>
      </c>
      <c r="K4" t="s">
        <v>382</v>
      </c>
      <c r="L4" s="391">
        <v>0.37377314814814816</v>
      </c>
      <c r="M4" s="391">
        <v>0.77008101851851851</v>
      </c>
      <c r="N4">
        <v>9.51</v>
      </c>
      <c r="O4" t="s">
        <v>772</v>
      </c>
      <c r="P4">
        <v>0</v>
      </c>
      <c r="Q4" t="s">
        <v>1072</v>
      </c>
      <c r="R4">
        <v>0.98</v>
      </c>
      <c r="S4">
        <v>0.98</v>
      </c>
      <c r="T4" t="s">
        <v>446</v>
      </c>
      <c r="U4" t="s">
        <v>108</v>
      </c>
      <c r="V4" s="101">
        <v>46234</v>
      </c>
      <c r="W4">
        <v>1</v>
      </c>
      <c r="X4">
        <v>1</v>
      </c>
      <c r="Y4">
        <v>0</v>
      </c>
      <c r="Z4">
        <v>0</v>
      </c>
      <c r="AA4">
        <v>0</v>
      </c>
    </row>
    <row r="5" spans="1:27" x14ac:dyDescent="0.3">
      <c r="A5">
        <v>1002</v>
      </c>
      <c r="B5">
        <v>25</v>
      </c>
      <c r="C5">
        <v>2</v>
      </c>
      <c r="D5">
        <v>0</v>
      </c>
      <c r="E5">
        <v>0</v>
      </c>
      <c r="F5" t="s">
        <v>1043</v>
      </c>
      <c r="G5" s="101">
        <v>46233</v>
      </c>
      <c r="H5" t="s">
        <v>216</v>
      </c>
      <c r="I5" t="s">
        <v>445</v>
      </c>
      <c r="J5" t="s">
        <v>442</v>
      </c>
      <c r="K5" t="s">
        <v>382</v>
      </c>
      <c r="L5" s="391">
        <v>0.37362268518518521</v>
      </c>
      <c r="M5" s="391">
        <v>0.77038194444444441</v>
      </c>
      <c r="N5">
        <v>9.52</v>
      </c>
      <c r="O5" t="s">
        <v>1070</v>
      </c>
      <c r="P5">
        <v>0</v>
      </c>
      <c r="Q5" t="s">
        <v>1071</v>
      </c>
      <c r="R5">
        <v>0.99</v>
      </c>
      <c r="S5">
        <v>0.99</v>
      </c>
      <c r="T5" t="s">
        <v>446</v>
      </c>
      <c r="U5" t="s">
        <v>108</v>
      </c>
      <c r="V5" s="101">
        <v>46233</v>
      </c>
      <c r="W5">
        <v>1</v>
      </c>
      <c r="X5">
        <v>1</v>
      </c>
      <c r="Y5">
        <v>0</v>
      </c>
      <c r="Z5">
        <v>0</v>
      </c>
      <c r="AA5">
        <v>0</v>
      </c>
    </row>
    <row r="6" spans="1:27" x14ac:dyDescent="0.3">
      <c r="A6">
        <v>1002</v>
      </c>
      <c r="B6">
        <v>25</v>
      </c>
      <c r="C6">
        <v>2</v>
      </c>
      <c r="D6">
        <v>0</v>
      </c>
      <c r="E6">
        <v>0</v>
      </c>
      <c r="F6" t="s">
        <v>1043</v>
      </c>
      <c r="G6" s="101">
        <v>46232</v>
      </c>
      <c r="H6" t="s">
        <v>216</v>
      </c>
      <c r="I6" t="s">
        <v>445</v>
      </c>
      <c r="J6" t="s">
        <v>442</v>
      </c>
      <c r="K6" t="s">
        <v>382</v>
      </c>
      <c r="L6" s="391">
        <v>0.43840277777777775</v>
      </c>
      <c r="M6" s="391">
        <v>0.77105324074074078</v>
      </c>
      <c r="N6">
        <v>7.98</v>
      </c>
      <c r="O6" t="s">
        <v>1068</v>
      </c>
      <c r="P6">
        <v>0</v>
      </c>
      <c r="Q6" t="s">
        <v>1069</v>
      </c>
      <c r="R6">
        <v>1.01</v>
      </c>
      <c r="S6">
        <v>1.01</v>
      </c>
      <c r="T6" t="s">
        <v>446</v>
      </c>
      <c r="U6" t="s">
        <v>108</v>
      </c>
      <c r="V6" s="101">
        <v>46232</v>
      </c>
      <c r="W6">
        <v>1</v>
      </c>
      <c r="X6">
        <v>1</v>
      </c>
      <c r="Y6">
        <v>0</v>
      </c>
      <c r="Z6">
        <v>0</v>
      </c>
      <c r="AA6">
        <v>0</v>
      </c>
    </row>
    <row r="7" spans="1:27" x14ac:dyDescent="0.3">
      <c r="A7">
        <v>1002</v>
      </c>
      <c r="B7">
        <v>25</v>
      </c>
      <c r="C7">
        <v>2</v>
      </c>
      <c r="D7">
        <v>0</v>
      </c>
      <c r="E7">
        <v>0</v>
      </c>
      <c r="F7" t="s">
        <v>1043</v>
      </c>
      <c r="G7" s="101">
        <v>46231</v>
      </c>
      <c r="H7" t="s">
        <v>216</v>
      </c>
      <c r="I7" t="s">
        <v>445</v>
      </c>
      <c r="J7" t="s">
        <v>442</v>
      </c>
      <c r="K7" t="s">
        <v>382</v>
      </c>
      <c r="L7" s="391">
        <v>0.37129629629629629</v>
      </c>
      <c r="M7" s="391">
        <v>0.68464120370370374</v>
      </c>
      <c r="N7">
        <v>7.52</v>
      </c>
      <c r="O7" t="s">
        <v>972</v>
      </c>
      <c r="P7">
        <v>0</v>
      </c>
      <c r="Q7" t="s">
        <v>1067</v>
      </c>
      <c r="R7">
        <v>0</v>
      </c>
      <c r="S7">
        <v>0</v>
      </c>
      <c r="T7" t="s">
        <v>446</v>
      </c>
      <c r="U7" t="s">
        <v>108</v>
      </c>
      <c r="V7" s="101">
        <v>46231</v>
      </c>
      <c r="W7">
        <v>1</v>
      </c>
      <c r="X7">
        <v>1</v>
      </c>
      <c r="Y7">
        <v>0</v>
      </c>
      <c r="Z7">
        <v>0</v>
      </c>
      <c r="AA7">
        <v>0</v>
      </c>
    </row>
    <row r="8" spans="1:27" x14ac:dyDescent="0.3">
      <c r="A8">
        <v>1002</v>
      </c>
      <c r="B8">
        <v>25</v>
      </c>
      <c r="C8">
        <v>2</v>
      </c>
      <c r="D8">
        <v>0</v>
      </c>
      <c r="E8">
        <v>0</v>
      </c>
      <c r="F8" t="s">
        <v>1043</v>
      </c>
      <c r="G8" s="101">
        <v>46230</v>
      </c>
      <c r="H8" t="s">
        <v>216</v>
      </c>
      <c r="I8" t="s">
        <v>445</v>
      </c>
      <c r="J8" t="s">
        <v>442</v>
      </c>
      <c r="K8" t="s">
        <v>382</v>
      </c>
      <c r="L8" s="391">
        <v>0.37015046296296295</v>
      </c>
      <c r="M8" s="391">
        <v>0.76907407407407402</v>
      </c>
      <c r="N8">
        <v>9.57</v>
      </c>
      <c r="O8" t="s">
        <v>777</v>
      </c>
      <c r="P8">
        <v>0</v>
      </c>
      <c r="Q8" t="s">
        <v>1066</v>
      </c>
      <c r="R8">
        <v>0.96</v>
      </c>
      <c r="S8">
        <v>0.96</v>
      </c>
      <c r="T8" t="s">
        <v>446</v>
      </c>
      <c r="U8" t="s">
        <v>108</v>
      </c>
      <c r="V8" s="101">
        <v>46230</v>
      </c>
      <c r="W8">
        <v>1</v>
      </c>
      <c r="X8">
        <v>1</v>
      </c>
      <c r="Y8">
        <v>0</v>
      </c>
      <c r="Z8">
        <v>0</v>
      </c>
      <c r="AA8">
        <v>0</v>
      </c>
    </row>
    <row r="9" spans="1:27" x14ac:dyDescent="0.3">
      <c r="A9">
        <v>1002</v>
      </c>
      <c r="B9">
        <v>25</v>
      </c>
      <c r="C9">
        <v>2</v>
      </c>
      <c r="D9">
        <v>0</v>
      </c>
      <c r="E9">
        <v>0</v>
      </c>
      <c r="F9" t="s">
        <v>1043</v>
      </c>
      <c r="G9" s="101">
        <v>46229</v>
      </c>
      <c r="H9" t="s">
        <v>216</v>
      </c>
      <c r="I9" t="s">
        <v>445</v>
      </c>
      <c r="J9" t="s">
        <v>442</v>
      </c>
      <c r="K9" t="s">
        <v>383</v>
      </c>
      <c r="L9" s="391">
        <v>0</v>
      </c>
      <c r="M9" s="391">
        <v>0</v>
      </c>
      <c r="N9">
        <v>0</v>
      </c>
      <c r="O9" t="s">
        <v>384</v>
      </c>
      <c r="P9">
        <v>9</v>
      </c>
      <c r="Q9" t="s">
        <v>385</v>
      </c>
      <c r="R9">
        <v>0</v>
      </c>
      <c r="S9">
        <v>9</v>
      </c>
      <c r="T9" t="s">
        <v>446</v>
      </c>
      <c r="U9" t="s">
        <v>366</v>
      </c>
      <c r="V9" s="101">
        <v>46229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3">
      <c r="A10">
        <v>1002</v>
      </c>
      <c r="B10">
        <v>25</v>
      </c>
      <c r="C10">
        <v>2</v>
      </c>
      <c r="D10">
        <v>0</v>
      </c>
      <c r="E10">
        <v>0</v>
      </c>
      <c r="F10" t="s">
        <v>1043</v>
      </c>
      <c r="G10" s="101">
        <v>46228</v>
      </c>
      <c r="H10" t="s">
        <v>216</v>
      </c>
      <c r="I10" t="s">
        <v>445</v>
      </c>
      <c r="J10" t="s">
        <v>442</v>
      </c>
      <c r="K10" t="s">
        <v>382</v>
      </c>
      <c r="L10" s="391">
        <v>0.37300925925925926</v>
      </c>
      <c r="M10" s="391">
        <v>0.76806712962962964</v>
      </c>
      <c r="N10">
        <v>9.48</v>
      </c>
      <c r="O10" t="s">
        <v>716</v>
      </c>
      <c r="P10">
        <v>0</v>
      </c>
      <c r="Q10" t="s">
        <v>1065</v>
      </c>
      <c r="R10">
        <v>0.93</v>
      </c>
      <c r="S10">
        <v>0.93</v>
      </c>
      <c r="T10" t="s">
        <v>446</v>
      </c>
      <c r="U10" t="s">
        <v>108</v>
      </c>
      <c r="V10" s="101">
        <v>46228</v>
      </c>
      <c r="W10">
        <v>1</v>
      </c>
      <c r="X10">
        <v>1</v>
      </c>
      <c r="Y10">
        <v>0</v>
      </c>
      <c r="Z10">
        <v>0</v>
      </c>
      <c r="AA10">
        <v>0</v>
      </c>
    </row>
    <row r="11" spans="1:27" x14ac:dyDescent="0.3">
      <c r="A11">
        <v>1002</v>
      </c>
      <c r="B11">
        <v>25</v>
      </c>
      <c r="C11">
        <v>2</v>
      </c>
      <c r="D11">
        <v>0</v>
      </c>
      <c r="E11">
        <v>0</v>
      </c>
      <c r="F11" t="s">
        <v>1043</v>
      </c>
      <c r="G11" s="101">
        <v>46227</v>
      </c>
      <c r="H11" t="s">
        <v>216</v>
      </c>
      <c r="I11" t="s">
        <v>445</v>
      </c>
      <c r="J11" t="s">
        <v>442</v>
      </c>
      <c r="K11" t="s">
        <v>382</v>
      </c>
      <c r="L11" s="391">
        <v>0.37253472222222223</v>
      </c>
      <c r="M11" s="391">
        <v>0.77216435185185184</v>
      </c>
      <c r="N11">
        <v>9.59</v>
      </c>
      <c r="O11" t="s">
        <v>1063</v>
      </c>
      <c r="P11">
        <v>0</v>
      </c>
      <c r="Q11" t="s">
        <v>1064</v>
      </c>
      <c r="R11">
        <v>1.03</v>
      </c>
      <c r="S11">
        <v>1.03</v>
      </c>
      <c r="T11" t="s">
        <v>446</v>
      </c>
      <c r="U11" t="s">
        <v>108</v>
      </c>
      <c r="V11" s="101">
        <v>46227</v>
      </c>
      <c r="W11">
        <v>1</v>
      </c>
      <c r="X11">
        <v>1</v>
      </c>
      <c r="Y11">
        <v>0</v>
      </c>
      <c r="Z11">
        <v>0</v>
      </c>
      <c r="AA11">
        <v>0</v>
      </c>
    </row>
    <row r="12" spans="1:27" x14ac:dyDescent="0.3">
      <c r="A12">
        <v>1002</v>
      </c>
      <c r="B12">
        <v>25</v>
      </c>
      <c r="C12">
        <v>2</v>
      </c>
      <c r="D12">
        <v>0</v>
      </c>
      <c r="E12">
        <v>0</v>
      </c>
      <c r="F12" t="s">
        <v>1043</v>
      </c>
      <c r="G12" s="101">
        <v>46226</v>
      </c>
      <c r="H12" t="s">
        <v>216</v>
      </c>
      <c r="I12" t="s">
        <v>445</v>
      </c>
      <c r="J12" t="s">
        <v>442</v>
      </c>
      <c r="K12" t="s">
        <v>382</v>
      </c>
      <c r="L12" s="391">
        <v>0.37163194444444442</v>
      </c>
      <c r="M12" s="391">
        <v>0.77120370370370372</v>
      </c>
      <c r="N12">
        <v>9.59</v>
      </c>
      <c r="O12" t="s">
        <v>1061</v>
      </c>
      <c r="P12">
        <v>0</v>
      </c>
      <c r="Q12" t="s">
        <v>1062</v>
      </c>
      <c r="R12">
        <v>1.01</v>
      </c>
      <c r="S12">
        <v>1.01</v>
      </c>
      <c r="T12" t="s">
        <v>446</v>
      </c>
      <c r="U12" t="s">
        <v>108</v>
      </c>
      <c r="V12" s="101">
        <v>46226</v>
      </c>
      <c r="W12">
        <v>1</v>
      </c>
      <c r="X12">
        <v>1</v>
      </c>
      <c r="Y12">
        <v>0</v>
      </c>
      <c r="Z12">
        <v>0</v>
      </c>
      <c r="AA12">
        <v>0</v>
      </c>
    </row>
    <row r="13" spans="1:27" x14ac:dyDescent="0.3">
      <c r="A13">
        <v>1002</v>
      </c>
      <c r="B13">
        <v>25</v>
      </c>
      <c r="C13">
        <v>2</v>
      </c>
      <c r="D13">
        <v>0</v>
      </c>
      <c r="E13">
        <v>0</v>
      </c>
      <c r="F13" t="s">
        <v>1043</v>
      </c>
      <c r="G13" s="101">
        <v>46225</v>
      </c>
      <c r="H13" t="s">
        <v>216</v>
      </c>
      <c r="I13" t="s">
        <v>445</v>
      </c>
      <c r="J13" t="s">
        <v>442</v>
      </c>
      <c r="K13" t="s">
        <v>382</v>
      </c>
      <c r="L13" s="391">
        <v>0.37331018518518516</v>
      </c>
      <c r="M13" s="391">
        <v>0.77155092592592589</v>
      </c>
      <c r="N13">
        <v>9.56</v>
      </c>
      <c r="O13" t="s">
        <v>604</v>
      </c>
      <c r="P13">
        <v>0</v>
      </c>
      <c r="Q13" t="s">
        <v>1060</v>
      </c>
      <c r="R13">
        <v>1.02</v>
      </c>
      <c r="S13">
        <v>1.02</v>
      </c>
      <c r="T13" t="s">
        <v>446</v>
      </c>
      <c r="U13" t="s">
        <v>108</v>
      </c>
      <c r="V13" s="101">
        <v>46225</v>
      </c>
      <c r="W13">
        <v>1</v>
      </c>
      <c r="X13">
        <v>1</v>
      </c>
      <c r="Y13">
        <v>0</v>
      </c>
      <c r="Z13">
        <v>0</v>
      </c>
      <c r="AA13">
        <v>0</v>
      </c>
    </row>
    <row r="14" spans="1:27" x14ac:dyDescent="0.3">
      <c r="A14">
        <v>1002</v>
      </c>
      <c r="B14">
        <v>25</v>
      </c>
      <c r="C14">
        <v>2</v>
      </c>
      <c r="D14">
        <v>0</v>
      </c>
      <c r="E14">
        <v>0</v>
      </c>
      <c r="F14" t="s">
        <v>1043</v>
      </c>
      <c r="G14" s="101">
        <v>46224</v>
      </c>
      <c r="H14" t="s">
        <v>216</v>
      </c>
      <c r="I14" t="s">
        <v>445</v>
      </c>
      <c r="J14" t="s">
        <v>442</v>
      </c>
      <c r="K14" t="s">
        <v>383</v>
      </c>
      <c r="L14" s="391">
        <v>0</v>
      </c>
      <c r="M14" s="391">
        <v>0</v>
      </c>
      <c r="N14">
        <v>0</v>
      </c>
      <c r="O14" t="s">
        <v>384</v>
      </c>
      <c r="P14">
        <v>9</v>
      </c>
      <c r="Q14" t="s">
        <v>385</v>
      </c>
      <c r="R14">
        <v>0</v>
      </c>
      <c r="S14">
        <v>9</v>
      </c>
      <c r="T14" t="s">
        <v>446</v>
      </c>
      <c r="U14" t="s">
        <v>366</v>
      </c>
      <c r="V14" s="101">
        <v>46224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 x14ac:dyDescent="0.3">
      <c r="A15">
        <v>1002</v>
      </c>
      <c r="B15">
        <v>25</v>
      </c>
      <c r="C15">
        <v>2</v>
      </c>
      <c r="D15">
        <v>0</v>
      </c>
      <c r="E15">
        <v>0</v>
      </c>
      <c r="F15" t="s">
        <v>1043</v>
      </c>
      <c r="G15" s="101">
        <v>46223</v>
      </c>
      <c r="H15" t="s">
        <v>216</v>
      </c>
      <c r="I15" t="s">
        <v>445</v>
      </c>
      <c r="J15" t="s">
        <v>442</v>
      </c>
      <c r="K15" t="s">
        <v>382</v>
      </c>
      <c r="L15" s="391">
        <v>0.37357638888888889</v>
      </c>
      <c r="M15" s="391">
        <v>0.77280092592592597</v>
      </c>
      <c r="N15">
        <v>9.58</v>
      </c>
      <c r="O15" t="s">
        <v>1044</v>
      </c>
      <c r="P15">
        <v>0</v>
      </c>
      <c r="Q15" t="s">
        <v>1059</v>
      </c>
      <c r="R15">
        <v>1.05</v>
      </c>
      <c r="S15">
        <v>1.05</v>
      </c>
      <c r="T15" t="s">
        <v>446</v>
      </c>
      <c r="U15" t="s">
        <v>108</v>
      </c>
      <c r="V15" s="101">
        <v>46223</v>
      </c>
      <c r="W15">
        <v>1</v>
      </c>
      <c r="X15">
        <v>1</v>
      </c>
      <c r="Y15">
        <v>0</v>
      </c>
      <c r="Z15">
        <v>0</v>
      </c>
      <c r="AA15">
        <v>0</v>
      </c>
    </row>
    <row r="16" spans="1:27" x14ac:dyDescent="0.3">
      <c r="A16">
        <v>1002</v>
      </c>
      <c r="B16">
        <v>25</v>
      </c>
      <c r="C16">
        <v>2</v>
      </c>
      <c r="D16">
        <v>0</v>
      </c>
      <c r="E16">
        <v>0</v>
      </c>
      <c r="F16" t="s">
        <v>1043</v>
      </c>
      <c r="G16" s="101">
        <v>46222</v>
      </c>
      <c r="H16" t="s">
        <v>216</v>
      </c>
      <c r="I16" t="s">
        <v>445</v>
      </c>
      <c r="J16" t="s">
        <v>442</v>
      </c>
      <c r="K16" t="s">
        <v>383</v>
      </c>
      <c r="L16" s="391">
        <v>0</v>
      </c>
      <c r="M16" s="391">
        <v>0</v>
      </c>
      <c r="N16">
        <v>0</v>
      </c>
      <c r="O16" t="s">
        <v>384</v>
      </c>
      <c r="P16">
        <v>9</v>
      </c>
      <c r="Q16" t="s">
        <v>385</v>
      </c>
      <c r="R16">
        <v>0</v>
      </c>
      <c r="S16">
        <v>9</v>
      </c>
      <c r="T16" t="s">
        <v>446</v>
      </c>
      <c r="U16" t="s">
        <v>366</v>
      </c>
      <c r="V16" s="101">
        <v>46222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 x14ac:dyDescent="0.3">
      <c r="A17">
        <v>1002</v>
      </c>
      <c r="B17">
        <v>25</v>
      </c>
      <c r="C17">
        <v>2</v>
      </c>
      <c r="D17">
        <v>0</v>
      </c>
      <c r="E17">
        <v>0</v>
      </c>
      <c r="F17" t="s">
        <v>1043</v>
      </c>
      <c r="G17" s="101">
        <v>46221</v>
      </c>
      <c r="H17" t="s">
        <v>216</v>
      </c>
      <c r="I17" t="s">
        <v>445</v>
      </c>
      <c r="J17" t="s">
        <v>442</v>
      </c>
      <c r="K17" t="s">
        <v>382</v>
      </c>
      <c r="L17" s="391">
        <v>0.37407407407407406</v>
      </c>
      <c r="M17" s="391">
        <v>0.69179398148148152</v>
      </c>
      <c r="N17">
        <v>7.63</v>
      </c>
      <c r="O17" t="s">
        <v>1018</v>
      </c>
      <c r="P17">
        <v>0</v>
      </c>
      <c r="Q17" t="s">
        <v>1058</v>
      </c>
      <c r="R17">
        <v>0</v>
      </c>
      <c r="S17">
        <v>0</v>
      </c>
      <c r="T17" t="s">
        <v>446</v>
      </c>
      <c r="U17" t="s">
        <v>108</v>
      </c>
      <c r="V17" s="101">
        <v>46221</v>
      </c>
      <c r="W17">
        <v>1</v>
      </c>
      <c r="X17">
        <v>1</v>
      </c>
      <c r="Y17">
        <v>0</v>
      </c>
      <c r="Z17">
        <v>0</v>
      </c>
      <c r="AA17">
        <v>0</v>
      </c>
    </row>
    <row r="18" spans="1:27" x14ac:dyDescent="0.3">
      <c r="A18">
        <v>1002</v>
      </c>
      <c r="B18">
        <v>25</v>
      </c>
      <c r="C18">
        <v>2</v>
      </c>
      <c r="D18">
        <v>0</v>
      </c>
      <c r="E18">
        <v>0</v>
      </c>
      <c r="F18" t="s">
        <v>1043</v>
      </c>
      <c r="G18" s="101">
        <v>46220</v>
      </c>
      <c r="H18" t="s">
        <v>216</v>
      </c>
      <c r="I18" t="s">
        <v>445</v>
      </c>
      <c r="J18" t="s">
        <v>442</v>
      </c>
      <c r="K18" t="s">
        <v>382</v>
      </c>
      <c r="L18" s="391">
        <v>0.37134259259259261</v>
      </c>
      <c r="M18" s="391">
        <v>0.77050925925925928</v>
      </c>
      <c r="N18">
        <v>9.58</v>
      </c>
      <c r="O18" t="s">
        <v>1012</v>
      </c>
      <c r="P18">
        <v>0</v>
      </c>
      <c r="Q18" t="s">
        <v>1057</v>
      </c>
      <c r="R18">
        <v>0.99</v>
      </c>
      <c r="S18">
        <v>0.99</v>
      </c>
      <c r="T18" t="s">
        <v>446</v>
      </c>
      <c r="U18" t="s">
        <v>108</v>
      </c>
      <c r="V18" s="101">
        <v>46220</v>
      </c>
      <c r="W18">
        <v>1</v>
      </c>
      <c r="X18">
        <v>1</v>
      </c>
      <c r="Y18">
        <v>0</v>
      </c>
      <c r="Z18">
        <v>0</v>
      </c>
      <c r="AA18">
        <v>0</v>
      </c>
    </row>
    <row r="19" spans="1:27" x14ac:dyDescent="0.3">
      <c r="A19">
        <v>1002</v>
      </c>
      <c r="B19">
        <v>25</v>
      </c>
      <c r="C19">
        <v>2</v>
      </c>
      <c r="D19">
        <v>0</v>
      </c>
      <c r="E19">
        <v>0</v>
      </c>
      <c r="F19" t="s">
        <v>1043</v>
      </c>
      <c r="G19" s="101">
        <v>46219</v>
      </c>
      <c r="H19" t="s">
        <v>216</v>
      </c>
      <c r="I19" t="s">
        <v>445</v>
      </c>
      <c r="J19" t="s">
        <v>442</v>
      </c>
      <c r="K19" t="s">
        <v>382</v>
      </c>
      <c r="L19" s="391">
        <v>0.37107638888888889</v>
      </c>
      <c r="M19" s="391">
        <v>0.77231481481481479</v>
      </c>
      <c r="N19">
        <v>9.6300000000000008</v>
      </c>
      <c r="O19" t="s">
        <v>714</v>
      </c>
      <c r="P19">
        <v>0</v>
      </c>
      <c r="Q19" t="s">
        <v>1056</v>
      </c>
      <c r="R19">
        <v>1.04</v>
      </c>
      <c r="S19">
        <v>1.04</v>
      </c>
      <c r="T19" t="s">
        <v>446</v>
      </c>
      <c r="U19" t="s">
        <v>108</v>
      </c>
      <c r="V19" s="101">
        <v>46219</v>
      </c>
      <c r="W19">
        <v>1</v>
      </c>
      <c r="X19">
        <v>1</v>
      </c>
      <c r="Y19">
        <v>0</v>
      </c>
      <c r="Z19">
        <v>0</v>
      </c>
      <c r="AA19">
        <v>0</v>
      </c>
    </row>
    <row r="20" spans="1:27" x14ac:dyDescent="0.3">
      <c r="A20">
        <v>1002</v>
      </c>
      <c r="B20">
        <v>25</v>
      </c>
      <c r="C20">
        <v>2</v>
      </c>
      <c r="D20">
        <v>0</v>
      </c>
      <c r="E20">
        <v>0</v>
      </c>
      <c r="F20" t="s">
        <v>1043</v>
      </c>
      <c r="G20" s="101">
        <v>46218</v>
      </c>
      <c r="H20" t="s">
        <v>216</v>
      </c>
      <c r="I20" t="s">
        <v>445</v>
      </c>
      <c r="J20" t="s">
        <v>442</v>
      </c>
      <c r="K20" t="s">
        <v>382</v>
      </c>
      <c r="L20" s="391">
        <v>0.37328703703703703</v>
      </c>
      <c r="M20" s="391">
        <v>0.76854166666666668</v>
      </c>
      <c r="N20">
        <v>9.49</v>
      </c>
      <c r="O20" t="s">
        <v>687</v>
      </c>
      <c r="P20">
        <v>0</v>
      </c>
      <c r="Q20" t="s">
        <v>1055</v>
      </c>
      <c r="R20">
        <v>0.94</v>
      </c>
      <c r="S20">
        <v>0.94</v>
      </c>
      <c r="T20" t="s">
        <v>446</v>
      </c>
      <c r="U20" t="s">
        <v>108</v>
      </c>
      <c r="V20" s="101">
        <v>46218</v>
      </c>
      <c r="W20">
        <v>1</v>
      </c>
      <c r="X20">
        <v>1</v>
      </c>
      <c r="Y20">
        <v>0</v>
      </c>
      <c r="Z20">
        <v>0</v>
      </c>
      <c r="AA20">
        <v>0</v>
      </c>
    </row>
    <row r="21" spans="1:27" x14ac:dyDescent="0.3">
      <c r="A21">
        <v>1002</v>
      </c>
      <c r="B21">
        <v>25</v>
      </c>
      <c r="C21">
        <v>2</v>
      </c>
      <c r="D21">
        <v>0</v>
      </c>
      <c r="E21">
        <v>0</v>
      </c>
      <c r="F21" t="s">
        <v>1043</v>
      </c>
      <c r="G21" s="101">
        <v>46217</v>
      </c>
      <c r="H21" t="s">
        <v>216</v>
      </c>
      <c r="I21" t="s">
        <v>445</v>
      </c>
      <c r="J21" t="s">
        <v>442</v>
      </c>
      <c r="K21" t="s">
        <v>383</v>
      </c>
      <c r="L21" s="391">
        <v>0</v>
      </c>
      <c r="M21" s="391">
        <v>0</v>
      </c>
      <c r="N21">
        <v>0</v>
      </c>
      <c r="O21" t="s">
        <v>384</v>
      </c>
      <c r="P21">
        <v>9</v>
      </c>
      <c r="Q21" t="s">
        <v>385</v>
      </c>
      <c r="R21">
        <v>0</v>
      </c>
      <c r="S21">
        <v>9</v>
      </c>
      <c r="T21" t="s">
        <v>446</v>
      </c>
      <c r="U21" t="s">
        <v>366</v>
      </c>
      <c r="V21" s="101">
        <v>46217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 x14ac:dyDescent="0.3">
      <c r="A22">
        <v>1002</v>
      </c>
      <c r="B22">
        <v>25</v>
      </c>
      <c r="C22">
        <v>2</v>
      </c>
      <c r="D22">
        <v>0</v>
      </c>
      <c r="E22">
        <v>0</v>
      </c>
      <c r="F22" t="s">
        <v>1043</v>
      </c>
      <c r="G22" s="101">
        <v>46216</v>
      </c>
      <c r="H22" t="s">
        <v>216</v>
      </c>
      <c r="I22" t="s">
        <v>445</v>
      </c>
      <c r="J22" t="s">
        <v>442</v>
      </c>
      <c r="K22" t="s">
        <v>382</v>
      </c>
      <c r="L22" s="391">
        <v>0.3692361111111111</v>
      </c>
      <c r="M22" s="391">
        <v>0.77236111111111116</v>
      </c>
      <c r="N22">
        <v>9.68</v>
      </c>
      <c r="O22" t="s">
        <v>577</v>
      </c>
      <c r="P22">
        <v>0</v>
      </c>
      <c r="Q22" t="s">
        <v>1054</v>
      </c>
      <c r="R22">
        <v>1.04</v>
      </c>
      <c r="S22">
        <v>1.04</v>
      </c>
      <c r="T22" t="s">
        <v>446</v>
      </c>
      <c r="U22" t="s">
        <v>108</v>
      </c>
      <c r="V22" s="101">
        <v>46216</v>
      </c>
      <c r="W22">
        <v>1</v>
      </c>
      <c r="X22">
        <v>1</v>
      </c>
      <c r="Y22">
        <v>0</v>
      </c>
      <c r="Z22">
        <v>0</v>
      </c>
      <c r="AA22">
        <v>0</v>
      </c>
    </row>
    <row r="23" spans="1:27" x14ac:dyDescent="0.3">
      <c r="A23">
        <v>1002</v>
      </c>
      <c r="B23">
        <v>25</v>
      </c>
      <c r="C23">
        <v>2</v>
      </c>
      <c r="D23">
        <v>0</v>
      </c>
      <c r="E23">
        <v>0</v>
      </c>
      <c r="F23" t="s">
        <v>1043</v>
      </c>
      <c r="G23" s="101">
        <v>46215</v>
      </c>
      <c r="H23" t="s">
        <v>216</v>
      </c>
      <c r="I23" t="s">
        <v>445</v>
      </c>
      <c r="J23" t="s">
        <v>442</v>
      </c>
      <c r="K23" t="s">
        <v>383</v>
      </c>
      <c r="L23" s="391">
        <v>0</v>
      </c>
      <c r="M23" s="391">
        <v>0</v>
      </c>
      <c r="N23">
        <v>0</v>
      </c>
      <c r="O23" t="s">
        <v>384</v>
      </c>
      <c r="P23">
        <v>9</v>
      </c>
      <c r="Q23" t="s">
        <v>385</v>
      </c>
      <c r="R23">
        <v>0</v>
      </c>
      <c r="S23">
        <v>9</v>
      </c>
      <c r="T23" t="s">
        <v>446</v>
      </c>
      <c r="U23" t="s">
        <v>366</v>
      </c>
      <c r="V23" s="101">
        <v>46215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 x14ac:dyDescent="0.3">
      <c r="A24">
        <v>1002</v>
      </c>
      <c r="B24">
        <v>25</v>
      </c>
      <c r="C24">
        <v>2</v>
      </c>
      <c r="D24">
        <v>0</v>
      </c>
      <c r="E24">
        <v>0</v>
      </c>
      <c r="F24" t="s">
        <v>1043</v>
      </c>
      <c r="G24" s="101">
        <v>46214</v>
      </c>
      <c r="H24" t="s">
        <v>216</v>
      </c>
      <c r="I24" t="s">
        <v>445</v>
      </c>
      <c r="J24" t="s">
        <v>442</v>
      </c>
      <c r="K24" t="s">
        <v>382</v>
      </c>
      <c r="L24" s="391">
        <v>0.3721875</v>
      </c>
      <c r="M24" s="391">
        <v>0.77159722222222227</v>
      </c>
      <c r="N24">
        <v>9.59</v>
      </c>
      <c r="O24" t="s">
        <v>565</v>
      </c>
      <c r="P24">
        <v>0</v>
      </c>
      <c r="Q24" t="s">
        <v>1053</v>
      </c>
      <c r="R24">
        <v>1.02</v>
      </c>
      <c r="S24">
        <v>1.02</v>
      </c>
      <c r="T24" t="s">
        <v>446</v>
      </c>
      <c r="U24" t="s">
        <v>108</v>
      </c>
      <c r="V24" s="101">
        <v>46214</v>
      </c>
      <c r="W24">
        <v>1</v>
      </c>
      <c r="X24">
        <v>1</v>
      </c>
      <c r="Y24">
        <v>0</v>
      </c>
      <c r="Z24">
        <v>0</v>
      </c>
      <c r="AA24">
        <v>0</v>
      </c>
    </row>
    <row r="25" spans="1:27" x14ac:dyDescent="0.3">
      <c r="A25">
        <v>1002</v>
      </c>
      <c r="B25">
        <v>25</v>
      </c>
      <c r="C25">
        <v>2</v>
      </c>
      <c r="D25">
        <v>0</v>
      </c>
      <c r="E25">
        <v>0</v>
      </c>
      <c r="F25" t="s">
        <v>1043</v>
      </c>
      <c r="G25" s="101">
        <v>46213</v>
      </c>
      <c r="H25" t="s">
        <v>216</v>
      </c>
      <c r="I25" t="s">
        <v>445</v>
      </c>
      <c r="J25" t="s">
        <v>442</v>
      </c>
      <c r="K25" t="s">
        <v>382</v>
      </c>
      <c r="L25" s="391">
        <v>0.38841435185185186</v>
      </c>
      <c r="M25" s="391">
        <v>0.77128472222222222</v>
      </c>
      <c r="N25">
        <v>9.19</v>
      </c>
      <c r="O25" t="s">
        <v>1051</v>
      </c>
      <c r="P25">
        <v>0</v>
      </c>
      <c r="Q25" t="s">
        <v>1052</v>
      </c>
      <c r="R25">
        <v>1.01</v>
      </c>
      <c r="S25">
        <v>1.01</v>
      </c>
      <c r="T25" t="s">
        <v>446</v>
      </c>
      <c r="U25" t="s">
        <v>108</v>
      </c>
      <c r="V25" s="101">
        <v>46213</v>
      </c>
      <c r="W25">
        <v>1</v>
      </c>
      <c r="X25">
        <v>1</v>
      </c>
      <c r="Y25">
        <v>0</v>
      </c>
      <c r="Z25">
        <v>0</v>
      </c>
      <c r="AA25">
        <v>0</v>
      </c>
    </row>
    <row r="26" spans="1:27" x14ac:dyDescent="0.3">
      <c r="A26">
        <v>1002</v>
      </c>
      <c r="B26">
        <v>25</v>
      </c>
      <c r="C26">
        <v>2</v>
      </c>
      <c r="D26">
        <v>0</v>
      </c>
      <c r="E26">
        <v>0</v>
      </c>
      <c r="F26" t="s">
        <v>1043</v>
      </c>
      <c r="G26" s="101">
        <v>46212</v>
      </c>
      <c r="H26" t="s">
        <v>216</v>
      </c>
      <c r="I26" t="s">
        <v>445</v>
      </c>
      <c r="J26" t="s">
        <v>442</v>
      </c>
      <c r="K26" t="s">
        <v>382</v>
      </c>
      <c r="L26" s="391">
        <v>0.37605324074074076</v>
      </c>
      <c r="M26" s="391">
        <v>0.77123842592592595</v>
      </c>
      <c r="N26">
        <v>9.48</v>
      </c>
      <c r="O26" t="s">
        <v>616</v>
      </c>
      <c r="P26">
        <v>0</v>
      </c>
      <c r="Q26" t="s">
        <v>1050</v>
      </c>
      <c r="R26">
        <v>1.01</v>
      </c>
      <c r="S26">
        <v>1.01</v>
      </c>
      <c r="T26" t="s">
        <v>446</v>
      </c>
      <c r="U26" t="s">
        <v>108</v>
      </c>
      <c r="V26" s="101">
        <v>46212</v>
      </c>
      <c r="W26">
        <v>1</v>
      </c>
      <c r="X26">
        <v>1</v>
      </c>
      <c r="Y26">
        <v>0</v>
      </c>
      <c r="Z26">
        <v>0</v>
      </c>
      <c r="AA26">
        <v>0</v>
      </c>
    </row>
    <row r="27" spans="1:27" x14ac:dyDescent="0.3">
      <c r="A27">
        <v>1002</v>
      </c>
      <c r="B27">
        <v>25</v>
      </c>
      <c r="C27">
        <v>2</v>
      </c>
      <c r="D27">
        <v>0</v>
      </c>
      <c r="E27">
        <v>0</v>
      </c>
      <c r="F27" t="s">
        <v>1043</v>
      </c>
      <c r="G27" s="101">
        <v>46211</v>
      </c>
      <c r="H27" t="s">
        <v>216</v>
      </c>
      <c r="I27" t="s">
        <v>445</v>
      </c>
      <c r="J27" t="s">
        <v>442</v>
      </c>
      <c r="K27" t="s">
        <v>382</v>
      </c>
      <c r="L27" s="391">
        <v>0.37541666666666668</v>
      </c>
      <c r="M27" s="391">
        <v>0.77208333333333334</v>
      </c>
      <c r="N27">
        <v>9.52</v>
      </c>
      <c r="O27" t="s">
        <v>869</v>
      </c>
      <c r="P27">
        <v>0</v>
      </c>
      <c r="Q27" t="s">
        <v>1049</v>
      </c>
      <c r="R27">
        <v>1.03</v>
      </c>
      <c r="S27">
        <v>1.03</v>
      </c>
      <c r="T27" t="s">
        <v>446</v>
      </c>
      <c r="U27" t="s">
        <v>108</v>
      </c>
      <c r="V27" s="101">
        <v>46211</v>
      </c>
      <c r="W27">
        <v>1</v>
      </c>
      <c r="X27">
        <v>1</v>
      </c>
      <c r="Y27">
        <v>0</v>
      </c>
      <c r="Z27">
        <v>0</v>
      </c>
      <c r="AA27">
        <v>0</v>
      </c>
    </row>
    <row r="28" spans="1:27" x14ac:dyDescent="0.3">
      <c r="A28">
        <v>1002</v>
      </c>
      <c r="B28">
        <v>25</v>
      </c>
      <c r="C28">
        <v>2</v>
      </c>
      <c r="D28">
        <v>0</v>
      </c>
      <c r="E28">
        <v>0</v>
      </c>
      <c r="F28" t="s">
        <v>1043</v>
      </c>
      <c r="G28" s="101">
        <v>46210</v>
      </c>
      <c r="H28" t="s">
        <v>216</v>
      </c>
      <c r="I28" t="s">
        <v>445</v>
      </c>
      <c r="J28" t="s">
        <v>442</v>
      </c>
      <c r="K28" t="s">
        <v>382</v>
      </c>
      <c r="L28" s="391">
        <v>0.37549768518518517</v>
      </c>
      <c r="M28" s="391">
        <v>0.77143518518518517</v>
      </c>
      <c r="N28">
        <v>9.5</v>
      </c>
      <c r="O28" t="s">
        <v>547</v>
      </c>
      <c r="P28">
        <v>0</v>
      </c>
      <c r="Q28" t="s">
        <v>1048</v>
      </c>
      <c r="R28">
        <v>1.01</v>
      </c>
      <c r="S28">
        <v>1.01</v>
      </c>
      <c r="T28" t="s">
        <v>446</v>
      </c>
      <c r="U28" t="s">
        <v>108</v>
      </c>
      <c r="V28" s="101">
        <v>46210</v>
      </c>
      <c r="W28">
        <v>1</v>
      </c>
      <c r="X28">
        <v>1</v>
      </c>
      <c r="Y28">
        <v>0</v>
      </c>
      <c r="Z28">
        <v>0</v>
      </c>
      <c r="AA28">
        <v>0</v>
      </c>
    </row>
    <row r="29" spans="1:27" x14ac:dyDescent="0.3">
      <c r="A29">
        <v>1002</v>
      </c>
      <c r="B29">
        <v>25</v>
      </c>
      <c r="C29">
        <v>2</v>
      </c>
      <c r="D29">
        <v>0</v>
      </c>
      <c r="E29">
        <v>0</v>
      </c>
      <c r="F29" t="s">
        <v>1043</v>
      </c>
      <c r="G29" s="101">
        <v>46209</v>
      </c>
      <c r="H29" t="s">
        <v>216</v>
      </c>
      <c r="I29" t="s">
        <v>445</v>
      </c>
      <c r="J29" t="s">
        <v>442</v>
      </c>
      <c r="K29" t="s">
        <v>382</v>
      </c>
      <c r="L29" s="391">
        <v>0.3793287037037037</v>
      </c>
      <c r="M29" s="391">
        <v>0.73063657407407412</v>
      </c>
      <c r="N29">
        <v>8.43</v>
      </c>
      <c r="O29" t="s">
        <v>1046</v>
      </c>
      <c r="P29">
        <v>0</v>
      </c>
      <c r="Q29" t="s">
        <v>1047</v>
      </c>
      <c r="R29">
        <v>0</v>
      </c>
      <c r="S29">
        <v>0</v>
      </c>
      <c r="T29" t="s">
        <v>446</v>
      </c>
      <c r="U29" t="s">
        <v>108</v>
      </c>
      <c r="V29" s="101">
        <v>46209</v>
      </c>
      <c r="W29">
        <v>1</v>
      </c>
      <c r="X29">
        <v>1</v>
      </c>
      <c r="Y29">
        <v>0</v>
      </c>
      <c r="Z29">
        <v>0</v>
      </c>
      <c r="AA29">
        <v>0</v>
      </c>
    </row>
    <row r="30" spans="1:27" x14ac:dyDescent="0.3">
      <c r="A30">
        <v>1002</v>
      </c>
      <c r="B30">
        <v>25</v>
      </c>
      <c r="C30">
        <v>2</v>
      </c>
      <c r="D30">
        <v>0</v>
      </c>
      <c r="E30">
        <v>0</v>
      </c>
      <c r="F30" t="s">
        <v>1043</v>
      </c>
      <c r="G30" s="101">
        <v>46208</v>
      </c>
      <c r="H30" t="s">
        <v>216</v>
      </c>
      <c r="I30" t="s">
        <v>445</v>
      </c>
      <c r="J30" t="s">
        <v>442</v>
      </c>
      <c r="K30" t="s">
        <v>383</v>
      </c>
      <c r="L30" s="391">
        <v>0</v>
      </c>
      <c r="M30" s="391">
        <v>0</v>
      </c>
      <c r="N30">
        <v>0</v>
      </c>
      <c r="O30" t="s">
        <v>384</v>
      </c>
      <c r="P30">
        <v>9</v>
      </c>
      <c r="Q30" t="s">
        <v>385</v>
      </c>
      <c r="R30">
        <v>0</v>
      </c>
      <c r="S30">
        <v>9</v>
      </c>
      <c r="T30" t="s">
        <v>446</v>
      </c>
      <c r="U30" t="s">
        <v>366</v>
      </c>
      <c r="V30" s="101">
        <v>46208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 x14ac:dyDescent="0.3">
      <c r="A31">
        <v>1002</v>
      </c>
      <c r="B31">
        <v>25</v>
      </c>
      <c r="C31">
        <v>2</v>
      </c>
      <c r="D31">
        <v>0</v>
      </c>
      <c r="E31">
        <v>0</v>
      </c>
      <c r="F31" t="s">
        <v>1043</v>
      </c>
      <c r="G31" s="101">
        <v>46207</v>
      </c>
      <c r="H31" t="s">
        <v>216</v>
      </c>
      <c r="I31" t="s">
        <v>445</v>
      </c>
      <c r="J31" t="s">
        <v>442</v>
      </c>
      <c r="K31" t="s">
        <v>382</v>
      </c>
      <c r="L31" s="391">
        <v>0.37240740740740741</v>
      </c>
      <c r="M31" s="391">
        <v>0.72636574074074078</v>
      </c>
      <c r="N31">
        <v>8.5</v>
      </c>
      <c r="O31" t="s">
        <v>520</v>
      </c>
      <c r="P31">
        <v>0</v>
      </c>
      <c r="Q31" t="s">
        <v>650</v>
      </c>
      <c r="R31">
        <v>0</v>
      </c>
      <c r="S31">
        <v>0</v>
      </c>
      <c r="T31" t="s">
        <v>446</v>
      </c>
      <c r="U31" t="s">
        <v>108</v>
      </c>
      <c r="V31" s="101">
        <v>46207</v>
      </c>
      <c r="W31">
        <v>1</v>
      </c>
      <c r="X31">
        <v>1</v>
      </c>
      <c r="Y31">
        <v>0</v>
      </c>
      <c r="Z31">
        <v>0</v>
      </c>
      <c r="AA31">
        <v>0</v>
      </c>
    </row>
    <row r="32" spans="1:27" x14ac:dyDescent="0.3">
      <c r="A32">
        <v>1002</v>
      </c>
      <c r="B32">
        <v>25</v>
      </c>
      <c r="C32">
        <v>2</v>
      </c>
      <c r="D32">
        <v>0</v>
      </c>
      <c r="E32">
        <v>0</v>
      </c>
      <c r="F32" t="s">
        <v>1043</v>
      </c>
      <c r="G32" s="101">
        <v>46206</v>
      </c>
      <c r="H32" t="s">
        <v>216</v>
      </c>
      <c r="I32" t="s">
        <v>445</v>
      </c>
      <c r="J32" t="s">
        <v>442</v>
      </c>
      <c r="K32" t="s">
        <v>382</v>
      </c>
      <c r="L32" s="391">
        <v>0.37365740740740738</v>
      </c>
      <c r="M32" s="391">
        <v>0.72819444444444448</v>
      </c>
      <c r="N32">
        <v>8.51</v>
      </c>
      <c r="O32" t="s">
        <v>615</v>
      </c>
      <c r="P32">
        <v>0</v>
      </c>
      <c r="Q32" t="s">
        <v>673</v>
      </c>
      <c r="R32">
        <v>0</v>
      </c>
      <c r="S32">
        <v>0</v>
      </c>
      <c r="T32" t="s">
        <v>446</v>
      </c>
      <c r="U32" t="s">
        <v>108</v>
      </c>
      <c r="V32" s="101">
        <v>46206</v>
      </c>
      <c r="W32">
        <v>1</v>
      </c>
      <c r="X32">
        <v>1</v>
      </c>
      <c r="Y32">
        <v>0</v>
      </c>
      <c r="Z32">
        <v>0</v>
      </c>
      <c r="AA32">
        <v>0</v>
      </c>
    </row>
    <row r="33" spans="1:27" x14ac:dyDescent="0.3">
      <c r="A33">
        <v>1002</v>
      </c>
      <c r="B33">
        <v>25</v>
      </c>
      <c r="C33">
        <v>2</v>
      </c>
      <c r="D33">
        <v>0</v>
      </c>
      <c r="E33">
        <v>0</v>
      </c>
      <c r="F33" t="s">
        <v>1043</v>
      </c>
      <c r="G33" s="101">
        <v>46205</v>
      </c>
      <c r="H33" t="s">
        <v>216</v>
      </c>
      <c r="I33" t="s">
        <v>445</v>
      </c>
      <c r="J33" t="s">
        <v>442</v>
      </c>
      <c r="K33" t="s">
        <v>382</v>
      </c>
      <c r="L33" s="391">
        <v>0.37738425925925928</v>
      </c>
      <c r="M33" s="391">
        <v>0.72912037037037036</v>
      </c>
      <c r="N33">
        <v>8.44</v>
      </c>
      <c r="O33" t="s">
        <v>429</v>
      </c>
      <c r="P33">
        <v>0</v>
      </c>
      <c r="Q33" t="s">
        <v>976</v>
      </c>
      <c r="R33">
        <v>0</v>
      </c>
      <c r="S33">
        <v>0</v>
      </c>
      <c r="T33" t="s">
        <v>446</v>
      </c>
      <c r="U33" t="s">
        <v>108</v>
      </c>
      <c r="V33" s="101">
        <v>46205</v>
      </c>
      <c r="W33">
        <v>1</v>
      </c>
      <c r="X33">
        <v>1</v>
      </c>
      <c r="Y33">
        <v>0</v>
      </c>
      <c r="Z33">
        <v>0</v>
      </c>
      <c r="AA33">
        <v>0</v>
      </c>
    </row>
    <row r="34" spans="1:27" x14ac:dyDescent="0.3">
      <c r="A34">
        <v>1002</v>
      </c>
      <c r="B34">
        <v>25</v>
      </c>
      <c r="C34">
        <v>2</v>
      </c>
      <c r="D34">
        <v>0</v>
      </c>
      <c r="E34">
        <v>0</v>
      </c>
      <c r="F34" t="s">
        <v>1043</v>
      </c>
      <c r="G34" s="101">
        <v>46204</v>
      </c>
      <c r="H34" t="s">
        <v>216</v>
      </c>
      <c r="I34" t="s">
        <v>445</v>
      </c>
      <c r="J34" t="s">
        <v>442</v>
      </c>
      <c r="K34" t="s">
        <v>382</v>
      </c>
      <c r="L34" s="391">
        <v>0.37357638888888889</v>
      </c>
      <c r="M34" s="391">
        <v>0.7303587962962963</v>
      </c>
      <c r="N34">
        <v>8.56</v>
      </c>
      <c r="O34" t="s">
        <v>1044</v>
      </c>
      <c r="P34">
        <v>0</v>
      </c>
      <c r="Q34" t="s">
        <v>1045</v>
      </c>
      <c r="R34">
        <v>0</v>
      </c>
      <c r="S34">
        <v>0</v>
      </c>
      <c r="T34" t="s">
        <v>446</v>
      </c>
      <c r="U34" t="s">
        <v>108</v>
      </c>
      <c r="V34" s="101">
        <v>46204</v>
      </c>
      <c r="W34">
        <v>1</v>
      </c>
      <c r="X34">
        <v>1</v>
      </c>
      <c r="Y34">
        <v>0</v>
      </c>
      <c r="Z34">
        <v>0</v>
      </c>
      <c r="AA34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1D24-65F5-4932-8F7A-DC83D29188A9}">
  <dimension ref="A1:AA34"/>
  <sheetViews>
    <sheetView workbookViewId="0">
      <selection activeCell="F9" sqref="F9"/>
    </sheetView>
  </sheetViews>
  <sheetFormatPr defaultColWidth="8.77734375" defaultRowHeight="14.4" x14ac:dyDescent="0.3"/>
  <cols>
    <col min="1" max="1" width="16.44140625" bestFit="1" customWidth="1"/>
    <col min="2" max="2" width="15.44140625" bestFit="1" customWidth="1"/>
    <col min="3" max="3" width="15.77734375" bestFit="1" customWidth="1"/>
    <col min="4" max="4" width="15" bestFit="1" customWidth="1"/>
    <col min="5" max="5" width="11.77734375" bestFit="1" customWidth="1"/>
    <col min="6" max="6" width="61.77734375" bestFit="1" customWidth="1"/>
    <col min="7" max="7" width="9.44140625" bestFit="1" customWidth="1"/>
    <col min="8" max="8" width="17.109375" bestFit="1" customWidth="1"/>
    <col min="9" max="9" width="21.77734375" bestFit="1" customWidth="1"/>
    <col min="10" max="10" width="13.109375" bestFit="1" customWidth="1"/>
    <col min="11" max="11" width="9" bestFit="1" customWidth="1"/>
    <col min="12" max="13" width="11.33203125" bestFit="1" customWidth="1"/>
    <col min="14" max="14" width="13.6640625" bestFit="1" customWidth="1"/>
    <col min="15" max="15" width="9" bestFit="1" customWidth="1"/>
    <col min="16" max="16" width="13.44140625" bestFit="1" customWidth="1"/>
    <col min="17" max="17" width="9.33203125" bestFit="1" customWidth="1"/>
    <col min="18" max="18" width="14.77734375" bestFit="1" customWidth="1"/>
    <col min="19" max="19" width="16.109375" bestFit="1" customWidth="1"/>
    <col min="20" max="20" width="13.6640625" bestFit="1" customWidth="1"/>
    <col min="21" max="21" width="13" bestFit="1" customWidth="1"/>
    <col min="22" max="22" width="17.44140625" bestFit="1" customWidth="1"/>
    <col min="23" max="23" width="9.44140625" bestFit="1" customWidth="1"/>
    <col min="24" max="24" width="10.33203125" bestFit="1" customWidth="1"/>
    <col min="25" max="25" width="9.44140625" bestFit="1" customWidth="1"/>
    <col min="26" max="26" width="13.6640625" bestFit="1" customWidth="1"/>
    <col min="27" max="27" width="10.77734375" bestFit="1" customWidth="1"/>
  </cols>
  <sheetData>
    <row r="1" spans="1:27" x14ac:dyDescent="0.3">
      <c r="A1" s="99" t="s">
        <v>1627</v>
      </c>
    </row>
    <row r="3" spans="1:27" x14ac:dyDescent="0.3">
      <c r="A3" t="s">
        <v>209</v>
      </c>
      <c r="B3" t="s">
        <v>368</v>
      </c>
      <c r="C3" t="s">
        <v>395</v>
      </c>
      <c r="D3" t="s">
        <v>393</v>
      </c>
      <c r="E3" t="s">
        <v>396</v>
      </c>
      <c r="F3" t="s">
        <v>486</v>
      </c>
      <c r="G3" t="s">
        <v>214</v>
      </c>
      <c r="H3" t="s">
        <v>369</v>
      </c>
      <c r="I3" t="s">
        <v>370</v>
      </c>
      <c r="J3" t="s">
        <v>89</v>
      </c>
      <c r="K3" t="s">
        <v>371</v>
      </c>
      <c r="L3" t="s">
        <v>372</v>
      </c>
      <c r="M3" t="s">
        <v>373</v>
      </c>
      <c r="N3" t="s">
        <v>222</v>
      </c>
      <c r="O3" t="s">
        <v>374</v>
      </c>
      <c r="P3" t="s">
        <v>375</v>
      </c>
      <c r="Q3" t="s">
        <v>376</v>
      </c>
      <c r="R3" t="s">
        <v>377</v>
      </c>
      <c r="S3" t="s">
        <v>378</v>
      </c>
      <c r="T3" t="s">
        <v>221</v>
      </c>
      <c r="U3" t="s">
        <v>225</v>
      </c>
      <c r="V3" t="s">
        <v>379</v>
      </c>
      <c r="W3" t="s">
        <v>380</v>
      </c>
      <c r="X3" t="s">
        <v>381</v>
      </c>
      <c r="Y3" t="s">
        <v>362</v>
      </c>
      <c r="Z3" t="s">
        <v>388</v>
      </c>
      <c r="AA3" t="s">
        <v>363</v>
      </c>
    </row>
    <row r="4" spans="1:27" x14ac:dyDescent="0.3">
      <c r="A4">
        <v>5093</v>
      </c>
      <c r="B4">
        <v>7</v>
      </c>
      <c r="C4">
        <v>20</v>
      </c>
      <c r="D4">
        <v>0</v>
      </c>
      <c r="E4">
        <v>0</v>
      </c>
      <c r="F4" t="s">
        <v>1614</v>
      </c>
      <c r="G4" s="101">
        <v>46234</v>
      </c>
      <c r="H4" t="s">
        <v>813</v>
      </c>
      <c r="I4" t="s">
        <v>441</v>
      </c>
      <c r="J4" t="s">
        <v>442</v>
      </c>
      <c r="K4" t="s">
        <v>382</v>
      </c>
      <c r="L4" s="391">
        <v>0.375</v>
      </c>
      <c r="M4" s="391">
        <v>0.77083333333333337</v>
      </c>
      <c r="N4">
        <v>9.5</v>
      </c>
      <c r="O4" t="s">
        <v>418</v>
      </c>
      <c r="P4">
        <v>0</v>
      </c>
      <c r="Q4" t="s">
        <v>417</v>
      </c>
      <c r="R4">
        <v>1</v>
      </c>
      <c r="S4">
        <v>1</v>
      </c>
      <c r="T4" t="s">
        <v>1607</v>
      </c>
      <c r="U4" t="s">
        <v>108</v>
      </c>
      <c r="V4" s="101">
        <v>46234</v>
      </c>
      <c r="W4">
        <v>1</v>
      </c>
      <c r="X4">
        <v>1</v>
      </c>
      <c r="Y4">
        <v>0</v>
      </c>
      <c r="Z4">
        <v>0</v>
      </c>
      <c r="AA4">
        <v>0</v>
      </c>
    </row>
    <row r="5" spans="1:27" x14ac:dyDescent="0.3">
      <c r="A5">
        <v>5093</v>
      </c>
      <c r="B5">
        <v>7</v>
      </c>
      <c r="C5">
        <v>20</v>
      </c>
      <c r="D5">
        <v>0</v>
      </c>
      <c r="E5">
        <v>0</v>
      </c>
      <c r="F5" t="s">
        <v>1614</v>
      </c>
      <c r="G5" s="101">
        <v>46233</v>
      </c>
      <c r="H5" t="s">
        <v>813</v>
      </c>
      <c r="I5" t="s">
        <v>441</v>
      </c>
      <c r="J5" t="s">
        <v>442</v>
      </c>
      <c r="K5" t="s">
        <v>382</v>
      </c>
      <c r="L5" s="391">
        <v>0.375</v>
      </c>
      <c r="M5" s="391">
        <v>0.77083333333333337</v>
      </c>
      <c r="N5">
        <v>9.5</v>
      </c>
      <c r="O5" t="s">
        <v>418</v>
      </c>
      <c r="P5">
        <v>0</v>
      </c>
      <c r="Q5" t="s">
        <v>417</v>
      </c>
      <c r="R5">
        <v>1</v>
      </c>
      <c r="S5">
        <v>1</v>
      </c>
      <c r="T5" t="s">
        <v>1607</v>
      </c>
      <c r="U5" t="s">
        <v>108</v>
      </c>
      <c r="V5" s="101">
        <v>46233</v>
      </c>
      <c r="W5">
        <v>1</v>
      </c>
      <c r="X5">
        <v>1</v>
      </c>
      <c r="Y5">
        <v>0</v>
      </c>
      <c r="Z5">
        <v>0</v>
      </c>
      <c r="AA5">
        <v>0</v>
      </c>
    </row>
    <row r="6" spans="1:27" x14ac:dyDescent="0.3">
      <c r="A6">
        <v>5093</v>
      </c>
      <c r="B6">
        <v>7</v>
      </c>
      <c r="C6">
        <v>20</v>
      </c>
      <c r="D6">
        <v>0</v>
      </c>
      <c r="E6">
        <v>0</v>
      </c>
      <c r="F6" t="s">
        <v>1614</v>
      </c>
      <c r="G6" s="101">
        <v>46232</v>
      </c>
      <c r="H6" t="s">
        <v>813</v>
      </c>
      <c r="I6" t="s">
        <v>441</v>
      </c>
      <c r="J6" t="s">
        <v>442</v>
      </c>
      <c r="K6" t="s">
        <v>382</v>
      </c>
      <c r="L6" s="391">
        <v>0.375</v>
      </c>
      <c r="M6" s="391">
        <v>0.77083333333333337</v>
      </c>
      <c r="N6">
        <v>9.5</v>
      </c>
      <c r="O6" t="s">
        <v>418</v>
      </c>
      <c r="P6">
        <v>0</v>
      </c>
      <c r="Q6" t="s">
        <v>417</v>
      </c>
      <c r="R6">
        <v>1</v>
      </c>
      <c r="S6">
        <v>1</v>
      </c>
      <c r="T6" t="s">
        <v>1607</v>
      </c>
      <c r="U6" t="s">
        <v>108</v>
      </c>
      <c r="V6" s="101">
        <v>46232</v>
      </c>
      <c r="W6">
        <v>1</v>
      </c>
      <c r="X6">
        <v>1</v>
      </c>
      <c r="Y6">
        <v>0</v>
      </c>
      <c r="Z6">
        <v>0</v>
      </c>
      <c r="AA6">
        <v>0</v>
      </c>
    </row>
    <row r="7" spans="1:27" x14ac:dyDescent="0.3">
      <c r="A7">
        <v>5093</v>
      </c>
      <c r="B7">
        <v>7</v>
      </c>
      <c r="C7">
        <v>20</v>
      </c>
      <c r="D7">
        <v>0</v>
      </c>
      <c r="E7">
        <v>0</v>
      </c>
      <c r="F7" t="s">
        <v>1614</v>
      </c>
      <c r="G7" s="101">
        <v>46231</v>
      </c>
      <c r="H7" t="s">
        <v>813</v>
      </c>
      <c r="I7" t="s">
        <v>441</v>
      </c>
      <c r="J7" t="s">
        <v>442</v>
      </c>
      <c r="K7" t="s">
        <v>382</v>
      </c>
      <c r="L7" s="391">
        <v>0.375</v>
      </c>
      <c r="M7" s="391">
        <v>0.77083333333333337</v>
      </c>
      <c r="N7">
        <v>9.5</v>
      </c>
      <c r="O7" t="s">
        <v>418</v>
      </c>
      <c r="P7">
        <v>0</v>
      </c>
      <c r="Q7" t="s">
        <v>417</v>
      </c>
      <c r="R7">
        <v>1</v>
      </c>
      <c r="S7">
        <v>1</v>
      </c>
      <c r="T7" t="s">
        <v>1607</v>
      </c>
      <c r="U7" t="s">
        <v>108</v>
      </c>
      <c r="V7" s="101">
        <v>46231</v>
      </c>
      <c r="W7">
        <v>1</v>
      </c>
      <c r="X7">
        <v>1</v>
      </c>
      <c r="Y7">
        <v>0</v>
      </c>
      <c r="Z7">
        <v>0</v>
      </c>
      <c r="AA7">
        <v>0</v>
      </c>
    </row>
    <row r="8" spans="1:27" x14ac:dyDescent="0.3">
      <c r="A8">
        <v>5093</v>
      </c>
      <c r="B8">
        <v>7</v>
      </c>
      <c r="C8">
        <v>20</v>
      </c>
      <c r="D8">
        <v>0</v>
      </c>
      <c r="E8">
        <v>0</v>
      </c>
      <c r="F8" t="s">
        <v>1614</v>
      </c>
      <c r="G8" s="101">
        <v>46230</v>
      </c>
      <c r="H8" t="s">
        <v>813</v>
      </c>
      <c r="I8" t="s">
        <v>441</v>
      </c>
      <c r="J8" t="s">
        <v>442</v>
      </c>
      <c r="K8" t="s">
        <v>382</v>
      </c>
      <c r="L8" s="391">
        <v>0.37152777777777779</v>
      </c>
      <c r="M8" s="391">
        <v>0.77083333333333337</v>
      </c>
      <c r="N8">
        <v>9.58</v>
      </c>
      <c r="O8" t="s">
        <v>946</v>
      </c>
      <c r="P8">
        <v>0</v>
      </c>
      <c r="Q8" t="s">
        <v>417</v>
      </c>
      <c r="R8">
        <v>1</v>
      </c>
      <c r="S8">
        <v>1</v>
      </c>
      <c r="T8" t="s">
        <v>1607</v>
      </c>
      <c r="U8" t="s">
        <v>108</v>
      </c>
      <c r="V8" s="101">
        <v>46230</v>
      </c>
      <c r="W8">
        <v>1</v>
      </c>
      <c r="X8">
        <v>1</v>
      </c>
      <c r="Y8">
        <v>0</v>
      </c>
      <c r="Z8">
        <v>0</v>
      </c>
      <c r="AA8">
        <v>0</v>
      </c>
    </row>
    <row r="9" spans="1:27" x14ac:dyDescent="0.3">
      <c r="A9">
        <v>5093</v>
      </c>
      <c r="B9">
        <v>7</v>
      </c>
      <c r="C9">
        <v>20</v>
      </c>
      <c r="D9">
        <v>0</v>
      </c>
      <c r="E9">
        <v>0</v>
      </c>
      <c r="F9" t="s">
        <v>1614</v>
      </c>
      <c r="G9" s="101">
        <v>46229</v>
      </c>
      <c r="H9" t="s">
        <v>813</v>
      </c>
      <c r="I9" t="s">
        <v>441</v>
      </c>
      <c r="J9" t="s">
        <v>442</v>
      </c>
      <c r="K9" t="s">
        <v>383</v>
      </c>
      <c r="L9" s="391">
        <v>0</v>
      </c>
      <c r="M9" s="391">
        <v>0</v>
      </c>
      <c r="N9">
        <v>0</v>
      </c>
      <c r="O9" t="s">
        <v>384</v>
      </c>
      <c r="P9">
        <v>9</v>
      </c>
      <c r="Q9" t="s">
        <v>385</v>
      </c>
      <c r="R9">
        <v>0</v>
      </c>
      <c r="S9">
        <v>9</v>
      </c>
      <c r="T9" t="s">
        <v>1607</v>
      </c>
      <c r="U9" t="s">
        <v>366</v>
      </c>
      <c r="V9" s="101">
        <v>46229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3">
      <c r="A10">
        <v>5093</v>
      </c>
      <c r="B10">
        <v>7</v>
      </c>
      <c r="C10">
        <v>20</v>
      </c>
      <c r="D10">
        <v>0</v>
      </c>
      <c r="E10">
        <v>0</v>
      </c>
      <c r="F10" t="s">
        <v>1614</v>
      </c>
      <c r="G10" s="101">
        <v>46228</v>
      </c>
      <c r="H10" t="s">
        <v>813</v>
      </c>
      <c r="I10" t="s">
        <v>441</v>
      </c>
      <c r="J10" t="s">
        <v>442</v>
      </c>
      <c r="K10" t="s">
        <v>382</v>
      </c>
      <c r="L10" s="391">
        <v>0.38194444444444442</v>
      </c>
      <c r="M10" s="391">
        <v>0.76388888888888884</v>
      </c>
      <c r="N10">
        <v>9.17</v>
      </c>
      <c r="O10" t="s">
        <v>1615</v>
      </c>
      <c r="P10">
        <v>0</v>
      </c>
      <c r="Q10" t="s">
        <v>1616</v>
      </c>
      <c r="R10">
        <v>0.83</v>
      </c>
      <c r="S10">
        <v>0.83</v>
      </c>
      <c r="T10" t="s">
        <v>1607</v>
      </c>
      <c r="U10" t="s">
        <v>108</v>
      </c>
      <c r="V10" s="101">
        <v>46228</v>
      </c>
      <c r="W10">
        <v>1</v>
      </c>
      <c r="X10">
        <v>1</v>
      </c>
      <c r="Y10">
        <v>0</v>
      </c>
      <c r="Z10">
        <v>0</v>
      </c>
      <c r="AA10">
        <v>0</v>
      </c>
    </row>
    <row r="11" spans="1:27" x14ac:dyDescent="0.3">
      <c r="A11">
        <v>5093</v>
      </c>
      <c r="B11">
        <v>7</v>
      </c>
      <c r="C11">
        <v>20</v>
      </c>
      <c r="D11">
        <v>0</v>
      </c>
      <c r="E11">
        <v>0</v>
      </c>
      <c r="F11" t="s">
        <v>1614</v>
      </c>
      <c r="G11" s="101">
        <v>46227</v>
      </c>
      <c r="H11" t="s">
        <v>813</v>
      </c>
      <c r="I11" t="s">
        <v>441</v>
      </c>
      <c r="J11" t="s">
        <v>442</v>
      </c>
      <c r="K11" t="s">
        <v>382</v>
      </c>
      <c r="L11" s="391">
        <v>0.38194444444444442</v>
      </c>
      <c r="M11" s="391">
        <v>0.76388888888888884</v>
      </c>
      <c r="N11">
        <v>9.17</v>
      </c>
      <c r="O11" t="s">
        <v>1615</v>
      </c>
      <c r="P11">
        <v>0</v>
      </c>
      <c r="Q11" t="s">
        <v>1616</v>
      </c>
      <c r="R11">
        <v>0.83</v>
      </c>
      <c r="S11">
        <v>0.83</v>
      </c>
      <c r="T11" t="s">
        <v>1607</v>
      </c>
      <c r="U11" t="s">
        <v>108</v>
      </c>
      <c r="V11" s="101">
        <v>46227</v>
      </c>
      <c r="W11">
        <v>1</v>
      </c>
      <c r="X11">
        <v>1</v>
      </c>
      <c r="Y11">
        <v>0</v>
      </c>
      <c r="Z11">
        <v>0</v>
      </c>
      <c r="AA11">
        <v>0</v>
      </c>
    </row>
    <row r="12" spans="1:27" x14ac:dyDescent="0.3">
      <c r="A12">
        <v>5093</v>
      </c>
      <c r="B12">
        <v>7</v>
      </c>
      <c r="C12">
        <v>20</v>
      </c>
      <c r="D12">
        <v>0</v>
      </c>
      <c r="E12">
        <v>0</v>
      </c>
      <c r="F12" t="s">
        <v>1614</v>
      </c>
      <c r="G12" s="101">
        <v>46226</v>
      </c>
      <c r="H12" t="s">
        <v>813</v>
      </c>
      <c r="I12" t="s">
        <v>441</v>
      </c>
      <c r="J12" t="s">
        <v>442</v>
      </c>
      <c r="K12" t="s">
        <v>383</v>
      </c>
      <c r="L12" s="391">
        <v>0</v>
      </c>
      <c r="M12" s="391">
        <v>0</v>
      </c>
      <c r="N12">
        <v>0</v>
      </c>
      <c r="O12" t="s">
        <v>384</v>
      </c>
      <c r="P12">
        <v>9</v>
      </c>
      <c r="Q12" t="s">
        <v>385</v>
      </c>
      <c r="R12">
        <v>0</v>
      </c>
      <c r="S12">
        <v>9</v>
      </c>
      <c r="T12" t="s">
        <v>1607</v>
      </c>
      <c r="U12" t="s">
        <v>366</v>
      </c>
      <c r="V12" s="101">
        <v>46226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 x14ac:dyDescent="0.3">
      <c r="A13">
        <v>5093</v>
      </c>
      <c r="B13">
        <v>7</v>
      </c>
      <c r="C13">
        <v>20</v>
      </c>
      <c r="D13">
        <v>0</v>
      </c>
      <c r="E13">
        <v>0</v>
      </c>
      <c r="F13" t="s">
        <v>1614</v>
      </c>
      <c r="G13" s="101">
        <v>46225</v>
      </c>
      <c r="H13" t="s">
        <v>813</v>
      </c>
      <c r="I13" t="s">
        <v>441</v>
      </c>
      <c r="J13" t="s">
        <v>442</v>
      </c>
      <c r="K13" t="s">
        <v>383</v>
      </c>
      <c r="L13" s="391">
        <v>0</v>
      </c>
      <c r="M13" s="391">
        <v>0</v>
      </c>
      <c r="N13">
        <v>0</v>
      </c>
      <c r="O13" t="s">
        <v>384</v>
      </c>
      <c r="P13">
        <v>9</v>
      </c>
      <c r="Q13" t="s">
        <v>385</v>
      </c>
      <c r="R13">
        <v>0</v>
      </c>
      <c r="S13">
        <v>9</v>
      </c>
      <c r="T13" t="s">
        <v>1607</v>
      </c>
      <c r="U13" t="s">
        <v>366</v>
      </c>
      <c r="V13" s="101">
        <v>46225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 x14ac:dyDescent="0.3">
      <c r="A14">
        <v>5093</v>
      </c>
      <c r="B14">
        <v>7</v>
      </c>
      <c r="C14">
        <v>20</v>
      </c>
      <c r="D14">
        <v>0</v>
      </c>
      <c r="E14">
        <v>0</v>
      </c>
      <c r="F14" t="s">
        <v>1614</v>
      </c>
      <c r="G14" s="101">
        <v>46224</v>
      </c>
      <c r="H14" t="s">
        <v>813</v>
      </c>
      <c r="I14" t="s">
        <v>441</v>
      </c>
      <c r="J14" t="s">
        <v>442</v>
      </c>
      <c r="K14" t="s">
        <v>383</v>
      </c>
      <c r="L14" s="391">
        <v>0</v>
      </c>
      <c r="M14" s="391">
        <v>0</v>
      </c>
      <c r="N14">
        <v>0</v>
      </c>
      <c r="O14" t="s">
        <v>384</v>
      </c>
      <c r="P14">
        <v>9</v>
      </c>
      <c r="Q14" t="s">
        <v>385</v>
      </c>
      <c r="R14">
        <v>0</v>
      </c>
      <c r="S14">
        <v>9</v>
      </c>
      <c r="T14" t="s">
        <v>1607</v>
      </c>
      <c r="U14" t="s">
        <v>366</v>
      </c>
      <c r="V14" s="101">
        <v>46224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 x14ac:dyDescent="0.3">
      <c r="A15">
        <v>5093</v>
      </c>
      <c r="B15">
        <v>7</v>
      </c>
      <c r="C15">
        <v>20</v>
      </c>
      <c r="D15">
        <v>0</v>
      </c>
      <c r="E15">
        <v>0</v>
      </c>
      <c r="F15" t="s">
        <v>1614</v>
      </c>
      <c r="G15" s="101">
        <v>46223</v>
      </c>
      <c r="H15" t="s">
        <v>813</v>
      </c>
      <c r="I15" t="s">
        <v>441</v>
      </c>
      <c r="J15" t="s">
        <v>442</v>
      </c>
      <c r="K15" t="s">
        <v>383</v>
      </c>
      <c r="L15" s="391">
        <v>0</v>
      </c>
      <c r="M15" s="391">
        <v>0</v>
      </c>
      <c r="N15">
        <v>0</v>
      </c>
      <c r="O15" t="s">
        <v>384</v>
      </c>
      <c r="P15">
        <v>9</v>
      </c>
      <c r="Q15" t="s">
        <v>385</v>
      </c>
      <c r="R15">
        <v>0</v>
      </c>
      <c r="S15">
        <v>9</v>
      </c>
      <c r="T15" t="s">
        <v>1607</v>
      </c>
      <c r="U15" t="s">
        <v>366</v>
      </c>
      <c r="V15" s="101">
        <v>46223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 x14ac:dyDescent="0.3">
      <c r="A16">
        <v>5093</v>
      </c>
      <c r="B16">
        <v>7</v>
      </c>
      <c r="C16">
        <v>20</v>
      </c>
      <c r="D16">
        <v>0</v>
      </c>
      <c r="E16">
        <v>0</v>
      </c>
      <c r="F16" t="s">
        <v>1614</v>
      </c>
      <c r="G16" s="101">
        <v>46222</v>
      </c>
      <c r="H16" t="s">
        <v>813</v>
      </c>
      <c r="I16" t="s">
        <v>441</v>
      </c>
      <c r="J16" t="s">
        <v>442</v>
      </c>
      <c r="K16" t="s">
        <v>383</v>
      </c>
      <c r="L16" s="391">
        <v>0</v>
      </c>
      <c r="M16" s="391">
        <v>0</v>
      </c>
      <c r="N16">
        <v>0</v>
      </c>
      <c r="O16" t="s">
        <v>384</v>
      </c>
      <c r="P16">
        <v>9</v>
      </c>
      <c r="Q16" t="s">
        <v>385</v>
      </c>
      <c r="R16">
        <v>0</v>
      </c>
      <c r="S16">
        <v>9</v>
      </c>
      <c r="T16" t="s">
        <v>1607</v>
      </c>
      <c r="U16" t="s">
        <v>366</v>
      </c>
      <c r="V16" s="101">
        <v>46222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 x14ac:dyDescent="0.3">
      <c r="A17">
        <v>5093</v>
      </c>
      <c r="B17">
        <v>7</v>
      </c>
      <c r="C17">
        <v>20</v>
      </c>
      <c r="D17">
        <v>0</v>
      </c>
      <c r="E17">
        <v>0</v>
      </c>
      <c r="F17" t="s">
        <v>1614</v>
      </c>
      <c r="G17" s="101">
        <v>46221</v>
      </c>
      <c r="H17" t="s">
        <v>813</v>
      </c>
      <c r="I17" t="s">
        <v>441</v>
      </c>
      <c r="J17" t="s">
        <v>442</v>
      </c>
      <c r="K17" t="s">
        <v>383</v>
      </c>
      <c r="L17" s="391">
        <v>0</v>
      </c>
      <c r="M17" s="391">
        <v>0</v>
      </c>
      <c r="N17">
        <v>0</v>
      </c>
      <c r="O17" t="s">
        <v>384</v>
      </c>
      <c r="P17">
        <v>9</v>
      </c>
      <c r="Q17" t="s">
        <v>385</v>
      </c>
      <c r="R17">
        <v>0</v>
      </c>
      <c r="S17">
        <v>9</v>
      </c>
      <c r="T17" t="s">
        <v>1607</v>
      </c>
      <c r="U17" t="s">
        <v>366</v>
      </c>
      <c r="V17" s="101">
        <v>46221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 x14ac:dyDescent="0.3">
      <c r="A18">
        <v>5093</v>
      </c>
      <c r="B18">
        <v>7</v>
      </c>
      <c r="C18">
        <v>20</v>
      </c>
      <c r="D18">
        <v>0</v>
      </c>
      <c r="E18">
        <v>0</v>
      </c>
      <c r="F18" t="s">
        <v>1614</v>
      </c>
      <c r="G18" s="101">
        <v>46220</v>
      </c>
      <c r="H18" t="s">
        <v>813</v>
      </c>
      <c r="I18" t="s">
        <v>441</v>
      </c>
      <c r="J18" t="s">
        <v>442</v>
      </c>
      <c r="K18" t="s">
        <v>383</v>
      </c>
      <c r="L18" s="391">
        <v>0</v>
      </c>
      <c r="M18" s="391">
        <v>0</v>
      </c>
      <c r="N18">
        <v>0</v>
      </c>
      <c r="O18" t="s">
        <v>384</v>
      </c>
      <c r="P18">
        <v>9</v>
      </c>
      <c r="Q18" t="s">
        <v>385</v>
      </c>
      <c r="R18">
        <v>0</v>
      </c>
      <c r="S18">
        <v>9</v>
      </c>
      <c r="T18" t="s">
        <v>1607</v>
      </c>
      <c r="U18" t="s">
        <v>366</v>
      </c>
      <c r="V18" s="101">
        <v>46220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 x14ac:dyDescent="0.3">
      <c r="A19">
        <v>5093</v>
      </c>
      <c r="B19">
        <v>7</v>
      </c>
      <c r="C19">
        <v>20</v>
      </c>
      <c r="D19">
        <v>0</v>
      </c>
      <c r="E19">
        <v>0</v>
      </c>
      <c r="F19" t="s">
        <v>1614</v>
      </c>
      <c r="G19" s="101">
        <v>46219</v>
      </c>
      <c r="H19" t="s">
        <v>813</v>
      </c>
      <c r="I19" t="s">
        <v>441</v>
      </c>
      <c r="J19" t="s">
        <v>442</v>
      </c>
      <c r="K19" t="s">
        <v>383</v>
      </c>
      <c r="L19" s="391">
        <v>0</v>
      </c>
      <c r="M19" s="391">
        <v>0</v>
      </c>
      <c r="N19">
        <v>0</v>
      </c>
      <c r="O19" t="s">
        <v>384</v>
      </c>
      <c r="P19">
        <v>9</v>
      </c>
      <c r="Q19" t="s">
        <v>385</v>
      </c>
      <c r="R19">
        <v>0</v>
      </c>
      <c r="S19">
        <v>9</v>
      </c>
      <c r="T19" t="s">
        <v>1607</v>
      </c>
      <c r="U19" t="s">
        <v>366</v>
      </c>
      <c r="V19" s="101">
        <v>46219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 x14ac:dyDescent="0.3">
      <c r="A20">
        <v>5093</v>
      </c>
      <c r="B20">
        <v>7</v>
      </c>
      <c r="C20">
        <v>20</v>
      </c>
      <c r="D20">
        <v>0</v>
      </c>
      <c r="E20">
        <v>0</v>
      </c>
      <c r="F20" t="s">
        <v>1614</v>
      </c>
      <c r="G20" s="101">
        <v>46218</v>
      </c>
      <c r="H20" t="s">
        <v>813</v>
      </c>
      <c r="I20" t="s">
        <v>441</v>
      </c>
      <c r="J20" t="s">
        <v>442</v>
      </c>
      <c r="K20" t="s">
        <v>383</v>
      </c>
      <c r="L20" s="391">
        <v>0</v>
      </c>
      <c r="M20" s="391">
        <v>0</v>
      </c>
      <c r="N20">
        <v>0</v>
      </c>
      <c r="O20" t="s">
        <v>384</v>
      </c>
      <c r="P20">
        <v>9</v>
      </c>
      <c r="Q20" t="s">
        <v>385</v>
      </c>
      <c r="R20">
        <v>0</v>
      </c>
      <c r="S20">
        <v>9</v>
      </c>
      <c r="T20" t="s">
        <v>1607</v>
      </c>
      <c r="U20" t="s">
        <v>366</v>
      </c>
      <c r="V20" s="101">
        <v>46218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 x14ac:dyDescent="0.3">
      <c r="A21">
        <v>5093</v>
      </c>
      <c r="B21">
        <v>7</v>
      </c>
      <c r="C21">
        <v>20</v>
      </c>
      <c r="D21">
        <v>0</v>
      </c>
      <c r="E21">
        <v>0</v>
      </c>
      <c r="F21" t="s">
        <v>1614</v>
      </c>
      <c r="G21" s="101">
        <v>46217</v>
      </c>
      <c r="H21" t="s">
        <v>813</v>
      </c>
      <c r="I21" t="s">
        <v>441</v>
      </c>
      <c r="J21" t="s">
        <v>442</v>
      </c>
      <c r="K21" t="s">
        <v>383</v>
      </c>
      <c r="L21" s="391">
        <v>0</v>
      </c>
      <c r="M21" s="391">
        <v>0</v>
      </c>
      <c r="N21">
        <v>0</v>
      </c>
      <c r="O21" t="s">
        <v>384</v>
      </c>
      <c r="P21">
        <v>9</v>
      </c>
      <c r="Q21" t="s">
        <v>385</v>
      </c>
      <c r="R21">
        <v>0</v>
      </c>
      <c r="S21">
        <v>9</v>
      </c>
      <c r="T21" t="s">
        <v>1607</v>
      </c>
      <c r="U21" t="s">
        <v>366</v>
      </c>
      <c r="V21" s="101">
        <v>46217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 x14ac:dyDescent="0.3">
      <c r="A22">
        <v>5093</v>
      </c>
      <c r="B22">
        <v>7</v>
      </c>
      <c r="C22">
        <v>20</v>
      </c>
      <c r="D22">
        <v>0</v>
      </c>
      <c r="E22">
        <v>0</v>
      </c>
      <c r="F22" t="s">
        <v>1614</v>
      </c>
      <c r="G22" s="101">
        <v>46216</v>
      </c>
      <c r="H22" t="s">
        <v>813</v>
      </c>
      <c r="I22" t="s">
        <v>441</v>
      </c>
      <c r="J22" t="s">
        <v>442</v>
      </c>
      <c r="K22" t="s">
        <v>383</v>
      </c>
      <c r="L22" s="391">
        <v>0</v>
      </c>
      <c r="M22" s="391">
        <v>0</v>
      </c>
      <c r="N22">
        <v>0</v>
      </c>
      <c r="O22" t="s">
        <v>384</v>
      </c>
      <c r="P22">
        <v>9</v>
      </c>
      <c r="Q22" t="s">
        <v>385</v>
      </c>
      <c r="R22">
        <v>0</v>
      </c>
      <c r="S22">
        <v>9</v>
      </c>
      <c r="T22" t="s">
        <v>1607</v>
      </c>
      <c r="U22" t="s">
        <v>366</v>
      </c>
      <c r="V22" s="101">
        <v>46216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 x14ac:dyDescent="0.3">
      <c r="A23">
        <v>5093</v>
      </c>
      <c r="B23">
        <v>7</v>
      </c>
      <c r="C23">
        <v>20</v>
      </c>
      <c r="D23">
        <v>0</v>
      </c>
      <c r="E23">
        <v>0</v>
      </c>
      <c r="F23" t="s">
        <v>1614</v>
      </c>
      <c r="G23" s="101">
        <v>46215</v>
      </c>
      <c r="H23" t="s">
        <v>813</v>
      </c>
      <c r="I23" t="s">
        <v>441</v>
      </c>
      <c r="J23" t="s">
        <v>442</v>
      </c>
      <c r="K23" t="s">
        <v>383</v>
      </c>
      <c r="L23" s="391">
        <v>0</v>
      </c>
      <c r="M23" s="391">
        <v>0</v>
      </c>
      <c r="N23">
        <v>0</v>
      </c>
      <c r="O23" t="s">
        <v>384</v>
      </c>
      <c r="P23">
        <v>9</v>
      </c>
      <c r="Q23" t="s">
        <v>385</v>
      </c>
      <c r="R23">
        <v>0</v>
      </c>
      <c r="S23">
        <v>9</v>
      </c>
      <c r="T23" t="s">
        <v>1607</v>
      </c>
      <c r="U23" t="s">
        <v>366</v>
      </c>
      <c r="V23" s="101">
        <v>46215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 x14ac:dyDescent="0.3">
      <c r="A24">
        <v>5093</v>
      </c>
      <c r="B24">
        <v>7</v>
      </c>
      <c r="C24">
        <v>20</v>
      </c>
      <c r="D24">
        <v>0</v>
      </c>
      <c r="E24">
        <v>0</v>
      </c>
      <c r="F24" t="s">
        <v>1614</v>
      </c>
      <c r="G24" s="101">
        <v>46214</v>
      </c>
      <c r="H24" t="s">
        <v>813</v>
      </c>
      <c r="I24" t="s">
        <v>441</v>
      </c>
      <c r="J24" t="s">
        <v>442</v>
      </c>
      <c r="K24" t="s">
        <v>383</v>
      </c>
      <c r="L24" s="391">
        <v>0</v>
      </c>
      <c r="M24" s="391">
        <v>0</v>
      </c>
      <c r="N24">
        <v>0</v>
      </c>
      <c r="O24" t="s">
        <v>384</v>
      </c>
      <c r="P24">
        <v>9</v>
      </c>
      <c r="Q24" t="s">
        <v>385</v>
      </c>
      <c r="R24">
        <v>0</v>
      </c>
      <c r="S24">
        <v>9</v>
      </c>
      <c r="T24" t="s">
        <v>1607</v>
      </c>
      <c r="U24" t="s">
        <v>366</v>
      </c>
      <c r="V24" s="101">
        <v>46214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 x14ac:dyDescent="0.3">
      <c r="A25">
        <v>5093</v>
      </c>
      <c r="B25">
        <v>7</v>
      </c>
      <c r="C25">
        <v>20</v>
      </c>
      <c r="D25">
        <v>0</v>
      </c>
      <c r="E25">
        <v>0</v>
      </c>
      <c r="F25" t="s">
        <v>1614</v>
      </c>
      <c r="G25" s="101">
        <v>46213</v>
      </c>
      <c r="H25" t="s">
        <v>813</v>
      </c>
      <c r="I25" t="s">
        <v>441</v>
      </c>
      <c r="J25" t="s">
        <v>442</v>
      </c>
      <c r="K25" t="s">
        <v>383</v>
      </c>
      <c r="L25" s="391">
        <v>0</v>
      </c>
      <c r="M25" s="391">
        <v>0</v>
      </c>
      <c r="N25">
        <v>0</v>
      </c>
      <c r="O25" t="s">
        <v>384</v>
      </c>
      <c r="P25">
        <v>9</v>
      </c>
      <c r="Q25" t="s">
        <v>385</v>
      </c>
      <c r="R25">
        <v>0</v>
      </c>
      <c r="S25">
        <v>9</v>
      </c>
      <c r="T25" t="s">
        <v>1607</v>
      </c>
      <c r="U25" t="s">
        <v>366</v>
      </c>
      <c r="V25" s="101">
        <v>46213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x14ac:dyDescent="0.3">
      <c r="A26">
        <v>5093</v>
      </c>
      <c r="B26">
        <v>7</v>
      </c>
      <c r="C26">
        <v>20</v>
      </c>
      <c r="D26">
        <v>0</v>
      </c>
      <c r="E26">
        <v>0</v>
      </c>
      <c r="F26" t="s">
        <v>1614</v>
      </c>
      <c r="G26" s="101">
        <v>46212</v>
      </c>
      <c r="H26" t="s">
        <v>813</v>
      </c>
      <c r="I26" t="s">
        <v>441</v>
      </c>
      <c r="J26" t="s">
        <v>442</v>
      </c>
      <c r="K26" t="s">
        <v>383</v>
      </c>
      <c r="L26" s="391">
        <v>0</v>
      </c>
      <c r="M26" s="391">
        <v>0</v>
      </c>
      <c r="N26">
        <v>0</v>
      </c>
      <c r="O26" t="s">
        <v>384</v>
      </c>
      <c r="P26">
        <v>9</v>
      </c>
      <c r="Q26" t="s">
        <v>385</v>
      </c>
      <c r="R26">
        <v>0</v>
      </c>
      <c r="S26">
        <v>9</v>
      </c>
      <c r="T26" t="s">
        <v>1607</v>
      </c>
      <c r="U26" t="s">
        <v>366</v>
      </c>
      <c r="V26" s="101">
        <v>46212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 x14ac:dyDescent="0.3">
      <c r="A27">
        <v>5093</v>
      </c>
      <c r="B27">
        <v>7</v>
      </c>
      <c r="C27">
        <v>20</v>
      </c>
      <c r="D27">
        <v>0</v>
      </c>
      <c r="E27">
        <v>0</v>
      </c>
      <c r="F27" t="s">
        <v>1614</v>
      </c>
      <c r="G27" s="101">
        <v>46211</v>
      </c>
      <c r="H27" t="s">
        <v>813</v>
      </c>
      <c r="I27" t="s">
        <v>441</v>
      </c>
      <c r="J27" t="s">
        <v>442</v>
      </c>
      <c r="K27" t="s">
        <v>383</v>
      </c>
      <c r="L27" s="391">
        <v>0</v>
      </c>
      <c r="M27" s="391">
        <v>0</v>
      </c>
      <c r="N27">
        <v>0</v>
      </c>
      <c r="O27" t="s">
        <v>384</v>
      </c>
      <c r="P27">
        <v>9</v>
      </c>
      <c r="Q27" t="s">
        <v>385</v>
      </c>
      <c r="R27">
        <v>0</v>
      </c>
      <c r="S27">
        <v>9</v>
      </c>
      <c r="T27" t="s">
        <v>1607</v>
      </c>
      <c r="U27" t="s">
        <v>366</v>
      </c>
      <c r="V27" s="101">
        <v>46211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 x14ac:dyDescent="0.3">
      <c r="A28">
        <v>5093</v>
      </c>
      <c r="B28">
        <v>7</v>
      </c>
      <c r="C28">
        <v>20</v>
      </c>
      <c r="D28">
        <v>0</v>
      </c>
      <c r="E28">
        <v>0</v>
      </c>
      <c r="F28" t="s">
        <v>1614</v>
      </c>
      <c r="G28" s="101">
        <v>46210</v>
      </c>
      <c r="H28" t="s">
        <v>813</v>
      </c>
      <c r="I28" t="s">
        <v>441</v>
      </c>
      <c r="J28" t="s">
        <v>442</v>
      </c>
      <c r="K28" t="s">
        <v>383</v>
      </c>
      <c r="L28" s="391">
        <v>0</v>
      </c>
      <c r="M28" s="391">
        <v>0</v>
      </c>
      <c r="N28">
        <v>0</v>
      </c>
      <c r="O28" t="s">
        <v>384</v>
      </c>
      <c r="P28">
        <v>9</v>
      </c>
      <c r="Q28" t="s">
        <v>385</v>
      </c>
      <c r="R28">
        <v>0</v>
      </c>
      <c r="S28">
        <v>9</v>
      </c>
      <c r="T28" t="s">
        <v>1607</v>
      </c>
      <c r="U28" t="s">
        <v>366</v>
      </c>
      <c r="V28" s="101">
        <v>46210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 x14ac:dyDescent="0.3">
      <c r="A29">
        <v>5093</v>
      </c>
      <c r="B29">
        <v>7</v>
      </c>
      <c r="C29">
        <v>20</v>
      </c>
      <c r="D29">
        <v>0</v>
      </c>
      <c r="E29">
        <v>0</v>
      </c>
      <c r="F29" t="s">
        <v>1614</v>
      </c>
      <c r="G29" s="101">
        <v>46209</v>
      </c>
      <c r="H29" t="s">
        <v>813</v>
      </c>
      <c r="I29" t="s">
        <v>441</v>
      </c>
      <c r="J29" t="s">
        <v>442</v>
      </c>
      <c r="K29" t="s">
        <v>383</v>
      </c>
      <c r="L29" s="391">
        <v>0</v>
      </c>
      <c r="M29" s="391">
        <v>0</v>
      </c>
      <c r="N29">
        <v>0</v>
      </c>
      <c r="O29" t="s">
        <v>384</v>
      </c>
      <c r="P29">
        <v>9</v>
      </c>
      <c r="Q29" t="s">
        <v>385</v>
      </c>
      <c r="R29">
        <v>0</v>
      </c>
      <c r="S29">
        <v>9</v>
      </c>
      <c r="T29" t="s">
        <v>1607</v>
      </c>
      <c r="U29" t="s">
        <v>366</v>
      </c>
      <c r="V29" s="101">
        <v>46209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 x14ac:dyDescent="0.3">
      <c r="A30">
        <v>5093</v>
      </c>
      <c r="B30">
        <v>7</v>
      </c>
      <c r="C30">
        <v>20</v>
      </c>
      <c r="D30">
        <v>0</v>
      </c>
      <c r="E30">
        <v>0</v>
      </c>
      <c r="F30" t="s">
        <v>1614</v>
      </c>
      <c r="G30" s="101">
        <v>46208</v>
      </c>
      <c r="H30" t="s">
        <v>813</v>
      </c>
      <c r="I30" t="s">
        <v>441</v>
      </c>
      <c r="J30" t="s">
        <v>442</v>
      </c>
      <c r="K30" t="s">
        <v>383</v>
      </c>
      <c r="L30" s="391">
        <v>0</v>
      </c>
      <c r="M30" s="391">
        <v>0</v>
      </c>
      <c r="N30">
        <v>0</v>
      </c>
      <c r="O30" t="s">
        <v>384</v>
      </c>
      <c r="P30">
        <v>9</v>
      </c>
      <c r="Q30" t="s">
        <v>385</v>
      </c>
      <c r="R30">
        <v>0</v>
      </c>
      <c r="S30">
        <v>9</v>
      </c>
      <c r="T30" t="s">
        <v>1607</v>
      </c>
      <c r="U30" t="s">
        <v>366</v>
      </c>
      <c r="V30" s="101">
        <v>46208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 x14ac:dyDescent="0.3">
      <c r="A31">
        <v>5093</v>
      </c>
      <c r="B31">
        <v>7</v>
      </c>
      <c r="C31">
        <v>20</v>
      </c>
      <c r="D31">
        <v>0</v>
      </c>
      <c r="E31">
        <v>0</v>
      </c>
      <c r="F31" t="s">
        <v>1614</v>
      </c>
      <c r="G31" s="101">
        <v>46207</v>
      </c>
      <c r="H31" t="s">
        <v>813</v>
      </c>
      <c r="I31" t="s">
        <v>441</v>
      </c>
      <c r="J31" t="s">
        <v>442</v>
      </c>
      <c r="K31" t="s">
        <v>383</v>
      </c>
      <c r="L31" s="391">
        <v>0</v>
      </c>
      <c r="M31" s="391">
        <v>0</v>
      </c>
      <c r="N31">
        <v>0</v>
      </c>
      <c r="O31" t="s">
        <v>384</v>
      </c>
      <c r="P31">
        <v>9</v>
      </c>
      <c r="Q31" t="s">
        <v>385</v>
      </c>
      <c r="R31">
        <v>0</v>
      </c>
      <c r="S31">
        <v>9</v>
      </c>
      <c r="T31" t="s">
        <v>1607</v>
      </c>
      <c r="U31" t="s">
        <v>366</v>
      </c>
      <c r="V31" s="101">
        <v>46207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 x14ac:dyDescent="0.3">
      <c r="A32">
        <v>5093</v>
      </c>
      <c r="B32">
        <v>7</v>
      </c>
      <c r="C32">
        <v>20</v>
      </c>
      <c r="D32">
        <v>0</v>
      </c>
      <c r="E32">
        <v>0</v>
      </c>
      <c r="F32" t="s">
        <v>1614</v>
      </c>
      <c r="G32" s="101">
        <v>46206</v>
      </c>
      <c r="H32" t="s">
        <v>813</v>
      </c>
      <c r="I32" t="s">
        <v>441</v>
      </c>
      <c r="J32" t="s">
        <v>442</v>
      </c>
      <c r="K32" t="s">
        <v>383</v>
      </c>
      <c r="L32" s="391">
        <v>0</v>
      </c>
      <c r="M32" s="391">
        <v>0</v>
      </c>
      <c r="N32">
        <v>0</v>
      </c>
      <c r="O32" t="s">
        <v>384</v>
      </c>
      <c r="P32">
        <v>9</v>
      </c>
      <c r="Q32" t="s">
        <v>385</v>
      </c>
      <c r="R32">
        <v>0</v>
      </c>
      <c r="S32">
        <v>9</v>
      </c>
      <c r="T32" t="s">
        <v>1607</v>
      </c>
      <c r="U32" t="s">
        <v>366</v>
      </c>
      <c r="V32" s="101">
        <v>46206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 x14ac:dyDescent="0.3">
      <c r="A33">
        <v>5093</v>
      </c>
      <c r="B33">
        <v>7</v>
      </c>
      <c r="C33">
        <v>20</v>
      </c>
      <c r="D33">
        <v>0</v>
      </c>
      <c r="E33">
        <v>0</v>
      </c>
      <c r="F33" t="s">
        <v>1614</v>
      </c>
      <c r="G33" s="101">
        <v>46205</v>
      </c>
      <c r="H33" t="s">
        <v>813</v>
      </c>
      <c r="I33" t="s">
        <v>441</v>
      </c>
      <c r="J33" t="s">
        <v>442</v>
      </c>
      <c r="K33" t="s">
        <v>383</v>
      </c>
      <c r="L33" s="391">
        <v>0</v>
      </c>
      <c r="M33" s="391">
        <v>0</v>
      </c>
      <c r="N33">
        <v>0</v>
      </c>
      <c r="O33" t="s">
        <v>384</v>
      </c>
      <c r="P33">
        <v>9</v>
      </c>
      <c r="Q33" t="s">
        <v>385</v>
      </c>
      <c r="R33">
        <v>0</v>
      </c>
      <c r="S33">
        <v>9</v>
      </c>
      <c r="T33" t="s">
        <v>1607</v>
      </c>
      <c r="U33" t="s">
        <v>366</v>
      </c>
      <c r="V33" s="101">
        <v>46205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 x14ac:dyDescent="0.3">
      <c r="A34">
        <v>5093</v>
      </c>
      <c r="B34">
        <v>7</v>
      </c>
      <c r="C34">
        <v>20</v>
      </c>
      <c r="D34">
        <v>0</v>
      </c>
      <c r="E34">
        <v>0</v>
      </c>
      <c r="F34" t="s">
        <v>1614</v>
      </c>
      <c r="G34" s="101">
        <v>46204</v>
      </c>
      <c r="H34" t="s">
        <v>813</v>
      </c>
      <c r="I34" t="s">
        <v>441</v>
      </c>
      <c r="J34" t="s">
        <v>442</v>
      </c>
      <c r="K34" t="s">
        <v>383</v>
      </c>
      <c r="L34" s="391">
        <v>0</v>
      </c>
      <c r="M34" s="391">
        <v>0</v>
      </c>
      <c r="N34">
        <v>0</v>
      </c>
      <c r="O34" t="s">
        <v>384</v>
      </c>
      <c r="P34">
        <v>9</v>
      </c>
      <c r="Q34" t="s">
        <v>385</v>
      </c>
      <c r="R34">
        <v>0</v>
      </c>
      <c r="S34">
        <v>9</v>
      </c>
      <c r="T34" t="s">
        <v>1607</v>
      </c>
      <c r="U34" t="s">
        <v>366</v>
      </c>
      <c r="V34" s="101">
        <v>46204</v>
      </c>
      <c r="W34">
        <v>0</v>
      </c>
      <c r="X34">
        <v>0</v>
      </c>
      <c r="Y34">
        <v>0</v>
      </c>
      <c r="Z34">
        <v>0</v>
      </c>
      <c r="AA34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3AE91-4117-4B1F-9AA9-B866623040AE}">
  <sheetPr codeName="Sheet4">
    <pageSetUpPr fitToPage="1"/>
  </sheetPr>
  <dimension ref="A1:JO63"/>
  <sheetViews>
    <sheetView zoomScale="125" zoomScaleNormal="90" workbookViewId="0">
      <pane xSplit="13" ySplit="3" topLeftCell="N4" activePane="bottomRight" state="frozen"/>
      <selection pane="topRight" activeCell="B1" sqref="B1"/>
      <selection pane="bottomLeft" activeCell="A4" sqref="A4"/>
      <selection pane="bottomRight" activeCell="AW7" sqref="AW7"/>
    </sheetView>
  </sheetViews>
  <sheetFormatPr defaultColWidth="2.6640625" defaultRowHeight="15.6" outlineLevelCol="1" x14ac:dyDescent="0.3"/>
  <cols>
    <col min="1" max="1" width="12.77734375" hidden="1" customWidth="1" outlineLevel="1"/>
    <col min="2" max="2" width="14" hidden="1" customWidth="1" outlineLevel="1"/>
    <col min="3" max="3" width="7.44140625" hidden="1" customWidth="1" outlineLevel="1"/>
    <col min="4" max="4" width="8.77734375" hidden="1" customWidth="1" outlineLevel="1"/>
    <col min="5" max="5" width="14.44140625" hidden="1" customWidth="1" outlineLevel="1"/>
    <col min="6" max="6" width="10.44140625" hidden="1" customWidth="1" outlineLevel="1"/>
    <col min="7" max="7" width="10.109375" hidden="1" customWidth="1" outlineLevel="1"/>
    <col min="8" max="8" width="9.77734375" hidden="1" customWidth="1" outlineLevel="1"/>
    <col min="9" max="9" width="11.6640625" hidden="1" customWidth="1" outlineLevel="1"/>
    <col min="10" max="10" width="5.6640625" hidden="1" customWidth="1" outlineLevel="1"/>
    <col min="11" max="11" width="12.109375" hidden="1" customWidth="1" outlineLevel="1"/>
    <col min="12" max="12" width="14.44140625" customWidth="1" collapsed="1"/>
    <col min="13" max="13" width="23" style="157" bestFit="1" customWidth="1"/>
    <col min="14" max="14" width="6" customWidth="1"/>
    <col min="15" max="25" width="3.6640625" customWidth="1"/>
    <col min="26" max="26" width="4.109375" customWidth="1"/>
    <col min="27" max="44" width="3.6640625" customWidth="1"/>
    <col min="45" max="45" width="0.33203125" style="185" customWidth="1"/>
    <col min="46" max="46" width="7.109375" hidden="1" customWidth="1"/>
    <col min="47" max="47" width="8.33203125" bestFit="1" customWidth="1"/>
    <col min="48" max="48" width="5.6640625" customWidth="1"/>
    <col min="49" max="49" width="5.44140625" bestFit="1" customWidth="1"/>
    <col min="50" max="50" width="6.77734375" bestFit="1" customWidth="1"/>
    <col min="51" max="51" width="8.33203125" bestFit="1" customWidth="1"/>
    <col min="52" max="52" width="8.33203125" customWidth="1"/>
    <col min="53" max="53" width="11.33203125" hidden="1" customWidth="1"/>
    <col min="54" max="54" width="4.33203125" hidden="1" customWidth="1"/>
    <col min="55" max="55" width="14.6640625" hidden="1" customWidth="1"/>
    <col min="56" max="56" width="10.6640625" customWidth="1"/>
    <col min="57" max="57" width="8.109375" bestFit="1" customWidth="1"/>
    <col min="58" max="59" width="4.33203125" bestFit="1" customWidth="1"/>
    <col min="60" max="60" width="26.33203125" style="113" bestFit="1" customWidth="1"/>
    <col min="61" max="90" width="3.6640625" customWidth="1"/>
    <col min="91" max="91" width="10.6640625" bestFit="1" customWidth="1"/>
    <col min="92" max="92" width="17.44140625" hidden="1" customWidth="1"/>
    <col min="93" max="93" width="10.44140625" customWidth="1"/>
    <col min="94" max="94" width="9.33203125" customWidth="1"/>
    <col min="95" max="95" width="11.33203125" customWidth="1"/>
    <col min="96" max="96" width="7.6640625" customWidth="1"/>
    <col min="97" max="97" width="5.33203125" bestFit="1" customWidth="1"/>
    <col min="98" max="98" width="6.109375" bestFit="1" customWidth="1"/>
    <col min="99" max="99" width="4.33203125" bestFit="1" customWidth="1"/>
    <col min="100" max="101" width="5.33203125" bestFit="1" customWidth="1"/>
    <col min="102" max="102" width="4.33203125" style="106" bestFit="1" customWidth="1"/>
    <col min="103" max="104" width="5.33203125" style="106" bestFit="1" customWidth="1"/>
    <col min="105" max="105" width="6.109375" bestFit="1" customWidth="1"/>
    <col min="106" max="107" width="4.33203125" bestFit="1" customWidth="1"/>
    <col min="108" max="109" width="5.33203125" bestFit="1" customWidth="1"/>
    <col min="110" max="110" width="6.109375" bestFit="1" customWidth="1"/>
    <col min="111" max="111" width="4.33203125" bestFit="1" customWidth="1"/>
    <col min="112" max="113" width="5.33203125" bestFit="1" customWidth="1"/>
    <col min="114" max="114" width="4.33203125" bestFit="1" customWidth="1"/>
    <col min="115" max="116" width="5.33203125" bestFit="1" customWidth="1"/>
    <col min="117" max="117" width="6.109375" bestFit="1" customWidth="1"/>
    <col min="118" max="118" width="4.33203125" bestFit="1" customWidth="1"/>
    <col min="119" max="120" width="5.33203125" bestFit="1" customWidth="1"/>
    <col min="121" max="121" width="4.33203125" bestFit="1" customWidth="1"/>
    <col min="122" max="123" width="5.33203125" bestFit="1" customWidth="1"/>
    <col min="124" max="124" width="6.109375" bestFit="1" customWidth="1"/>
    <col min="125" max="125" width="4.33203125" bestFit="1" customWidth="1"/>
    <col min="126" max="127" width="5.33203125" bestFit="1" customWidth="1"/>
    <col min="128" max="128" width="4.33203125" bestFit="1" customWidth="1"/>
    <col min="129" max="130" width="5.33203125" bestFit="1" customWidth="1"/>
    <col min="131" max="131" width="6.109375" bestFit="1" customWidth="1"/>
    <col min="132" max="132" width="4.33203125" bestFit="1" customWidth="1"/>
    <col min="133" max="134" width="5.33203125" bestFit="1" customWidth="1"/>
    <col min="135" max="135" width="6.109375" bestFit="1" customWidth="1"/>
    <col min="136" max="137" width="4.33203125" bestFit="1" customWidth="1"/>
    <col min="138" max="139" width="5.33203125" bestFit="1" customWidth="1"/>
    <col min="140" max="140" width="6.109375" bestFit="1" customWidth="1"/>
    <col min="141" max="141" width="4.33203125" bestFit="1" customWidth="1"/>
    <col min="142" max="143" width="5.33203125" bestFit="1" customWidth="1"/>
    <col min="144" max="144" width="4.33203125" bestFit="1" customWidth="1"/>
    <col min="145" max="146" width="5.33203125" bestFit="1" customWidth="1"/>
    <col min="147" max="147" width="6.109375" bestFit="1" customWidth="1"/>
    <col min="148" max="148" width="4.33203125" bestFit="1" customWidth="1"/>
    <col min="149" max="150" width="5.33203125" bestFit="1" customWidth="1"/>
    <col min="151" max="151" width="4.33203125" bestFit="1" customWidth="1"/>
    <col min="152" max="153" width="5.33203125" bestFit="1" customWidth="1"/>
    <col min="154" max="154" width="6.109375" bestFit="1" customWidth="1"/>
    <col min="155" max="155" width="4.33203125" bestFit="1" customWidth="1"/>
    <col min="156" max="156" width="5.33203125" bestFit="1" customWidth="1"/>
    <col min="157" max="157" width="4.77734375" bestFit="1" customWidth="1"/>
    <col min="158" max="158" width="6.44140625" bestFit="1" customWidth="1"/>
    <col min="159" max="159" width="4.33203125" bestFit="1" customWidth="1"/>
    <col min="160" max="161" width="5.33203125" bestFit="1" customWidth="1"/>
    <col min="162" max="162" width="6.109375" bestFit="1" customWidth="1"/>
    <col min="163" max="163" width="4.33203125" bestFit="1" customWidth="1"/>
    <col min="164" max="165" width="5.33203125" bestFit="1" customWidth="1"/>
    <col min="166" max="166" width="4.33203125" bestFit="1" customWidth="1"/>
    <col min="167" max="168" width="5.33203125" bestFit="1" customWidth="1"/>
    <col min="169" max="169" width="6.109375" bestFit="1" customWidth="1"/>
    <col min="170" max="170" width="4.33203125" bestFit="1" customWidth="1"/>
    <col min="171" max="172" width="5.33203125" bestFit="1" customWidth="1"/>
    <col min="173" max="173" width="4.77734375" bestFit="1" customWidth="1"/>
    <col min="174" max="174" width="5.33203125" bestFit="1" customWidth="1"/>
    <col min="175" max="175" width="6.44140625" bestFit="1" customWidth="1"/>
    <col min="176" max="176" width="4.33203125" bestFit="1" customWidth="1"/>
    <col min="177" max="178" width="5.33203125" bestFit="1" customWidth="1"/>
    <col min="179" max="179" width="6.109375" bestFit="1" customWidth="1"/>
    <col min="180" max="180" width="4.33203125" bestFit="1" customWidth="1"/>
    <col min="181" max="182" width="5.33203125" bestFit="1" customWidth="1"/>
    <col min="183" max="183" width="4.33203125" bestFit="1" customWidth="1"/>
    <col min="184" max="185" width="5.33203125" bestFit="1" customWidth="1"/>
    <col min="186" max="186" width="6.109375" bestFit="1" customWidth="1"/>
    <col min="187" max="187" width="4.33203125" bestFit="1" customWidth="1"/>
    <col min="188" max="189" width="5.33203125" bestFit="1" customWidth="1"/>
    <col min="190" max="190" width="4.33203125" bestFit="1" customWidth="1"/>
    <col min="191" max="192" width="5.33203125" bestFit="1" customWidth="1"/>
    <col min="193" max="193" width="6.109375" bestFit="1" customWidth="1"/>
    <col min="194" max="194" width="4.33203125" bestFit="1" customWidth="1"/>
    <col min="195" max="196" width="5.33203125" bestFit="1" customWidth="1"/>
    <col min="197" max="197" width="4.33203125" bestFit="1" customWidth="1"/>
    <col min="198" max="199" width="5.33203125" bestFit="1" customWidth="1"/>
    <col min="200" max="200" width="6.109375" bestFit="1" customWidth="1"/>
    <col min="201" max="201" width="4.33203125" bestFit="1" customWidth="1"/>
    <col min="202" max="202" width="5.33203125" bestFit="1" customWidth="1"/>
    <col min="203" max="203" width="4.33203125" bestFit="1" customWidth="1"/>
    <col min="204" max="205" width="5.33203125" bestFit="1" customWidth="1"/>
    <col min="206" max="206" width="6.109375" bestFit="1" customWidth="1"/>
    <col min="207" max="207" width="4.33203125" bestFit="1" customWidth="1"/>
    <col min="208" max="209" width="5.33203125" bestFit="1" customWidth="1"/>
    <col min="210" max="210" width="4.33203125" bestFit="1" customWidth="1"/>
    <col min="211" max="212" width="5.33203125" bestFit="1" customWidth="1"/>
    <col min="213" max="213" width="6.109375" bestFit="1" customWidth="1"/>
    <col min="214" max="214" width="4.33203125" bestFit="1" customWidth="1"/>
    <col min="215" max="216" width="5.33203125" bestFit="1" customWidth="1"/>
    <col min="217" max="217" width="4.33203125" bestFit="1" customWidth="1"/>
    <col min="218" max="219" width="5.33203125" bestFit="1" customWidth="1"/>
    <col min="220" max="220" width="6.109375" bestFit="1" customWidth="1"/>
    <col min="221" max="221" width="8.6640625" bestFit="1" customWidth="1"/>
    <col min="222" max="225" width="4.33203125" bestFit="1" customWidth="1"/>
    <col min="226" max="226" width="11.33203125" bestFit="1" customWidth="1"/>
    <col min="227" max="227" width="4.33203125" bestFit="1" customWidth="1"/>
    <col min="228" max="228" width="3.6640625" bestFit="1" customWidth="1"/>
    <col min="229" max="229" width="3.44140625" bestFit="1" customWidth="1"/>
    <col min="230" max="230" width="13.33203125" bestFit="1" customWidth="1"/>
    <col min="231" max="234" width="4.33203125" bestFit="1" customWidth="1"/>
    <col min="235" max="235" width="11.33203125" bestFit="1" customWidth="1"/>
    <col min="236" max="236" width="4.33203125" bestFit="1" customWidth="1"/>
    <col min="237" max="237" width="3.6640625" bestFit="1" customWidth="1"/>
    <col min="238" max="238" width="3.44140625" bestFit="1" customWidth="1"/>
    <col min="239" max="239" width="13.33203125" bestFit="1" customWidth="1"/>
    <col min="240" max="243" width="4.33203125" bestFit="1" customWidth="1"/>
    <col min="244" max="244" width="11.33203125" bestFit="1" customWidth="1"/>
    <col min="245" max="245" width="4.33203125" bestFit="1" customWidth="1"/>
    <col min="246" max="246" width="3.6640625" bestFit="1" customWidth="1"/>
    <col min="247" max="247" width="3.44140625" bestFit="1" customWidth="1"/>
    <col min="248" max="248" width="13.33203125" bestFit="1" customWidth="1"/>
    <col min="249" max="250" width="4.33203125" bestFit="1" customWidth="1"/>
    <col min="251" max="251" width="11.33203125" bestFit="1" customWidth="1"/>
    <col min="252" max="252" width="3.6640625" bestFit="1" customWidth="1"/>
    <col min="253" max="253" width="3.44140625" bestFit="1" customWidth="1"/>
    <col min="254" max="254" width="13.33203125" bestFit="1" customWidth="1"/>
    <col min="255" max="258" width="4.33203125" bestFit="1" customWidth="1"/>
    <col min="259" max="259" width="11.33203125" bestFit="1" customWidth="1"/>
    <col min="260" max="260" width="4.33203125" bestFit="1" customWidth="1"/>
    <col min="261" max="261" width="3.6640625" bestFit="1" customWidth="1"/>
    <col min="262" max="262" width="3.44140625" bestFit="1" customWidth="1"/>
    <col min="263" max="263" width="13.33203125" bestFit="1" customWidth="1"/>
    <col min="264" max="267" width="4.33203125" bestFit="1" customWidth="1"/>
    <col min="268" max="268" width="11.33203125" bestFit="1" customWidth="1"/>
    <col min="269" max="269" width="4.33203125" bestFit="1" customWidth="1"/>
    <col min="270" max="270" width="3.6640625" bestFit="1" customWidth="1"/>
    <col min="271" max="271" width="3.44140625" bestFit="1" customWidth="1"/>
    <col min="272" max="272" width="13.33203125" bestFit="1" customWidth="1"/>
    <col min="273" max="273" width="6.77734375" bestFit="1" customWidth="1"/>
    <col min="274" max="274" width="6.6640625" bestFit="1" customWidth="1"/>
    <col min="275" max="275" width="15.109375" bestFit="1" customWidth="1"/>
  </cols>
  <sheetData>
    <row r="1" spans="1:275" s="38" customFormat="1" ht="23.55" customHeight="1" x14ac:dyDescent="0.3">
      <c r="A1" s="38" t="s">
        <v>306</v>
      </c>
      <c r="B1" s="38">
        <v>27</v>
      </c>
      <c r="M1" s="207"/>
      <c r="N1" s="409" t="s">
        <v>362</v>
      </c>
      <c r="O1" s="409"/>
      <c r="P1" s="409"/>
      <c r="Q1" s="409"/>
      <c r="R1" s="208"/>
      <c r="S1" s="411" t="s">
        <v>388</v>
      </c>
      <c r="T1" s="411"/>
      <c r="U1" s="411"/>
      <c r="V1" s="411"/>
      <c r="W1" s="411"/>
      <c r="X1" s="208"/>
      <c r="Y1" s="208"/>
      <c r="Z1" s="208"/>
      <c r="AA1" s="208"/>
      <c r="AB1" s="410" t="s">
        <v>394</v>
      </c>
      <c r="AC1" s="410"/>
      <c r="AD1" s="410"/>
      <c r="AE1" s="410"/>
      <c r="AF1" s="208"/>
      <c r="AG1" s="208"/>
      <c r="AH1" s="209"/>
      <c r="AI1" s="209"/>
      <c r="AJ1" s="209"/>
      <c r="AK1" s="209"/>
      <c r="AL1" s="209"/>
      <c r="AM1" s="209"/>
      <c r="AN1" s="208"/>
      <c r="AO1" s="208"/>
      <c r="AP1" s="208"/>
      <c r="AQ1" s="208"/>
      <c r="AR1" s="208"/>
      <c r="AS1" s="210"/>
      <c r="AT1" s="208"/>
      <c r="AU1" s="208"/>
      <c r="AV1" s="208"/>
      <c r="AW1" s="208"/>
      <c r="AX1" s="208"/>
      <c r="AY1" s="208"/>
      <c r="BA1" s="108"/>
      <c r="BB1" s="108"/>
      <c r="BC1" s="108"/>
      <c r="BD1"/>
      <c r="BH1" s="112"/>
    </row>
    <row r="2" spans="1:275" s="104" customFormat="1" x14ac:dyDescent="0.3">
      <c r="M2" s="211" t="s">
        <v>222</v>
      </c>
      <c r="N2" s="212" t="s">
        <v>365</v>
      </c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213"/>
      <c r="AL2" s="213"/>
      <c r="AM2" s="213"/>
      <c r="AN2" s="213"/>
      <c r="AO2" s="213"/>
      <c r="AP2" s="213"/>
      <c r="AQ2" s="213"/>
      <c r="AR2" s="213"/>
      <c r="AS2" s="210"/>
      <c r="AT2" s="208"/>
      <c r="AU2" s="208"/>
      <c r="AV2" s="208"/>
      <c r="AW2" s="208"/>
      <c r="AX2" s="208"/>
      <c r="AY2" s="208"/>
      <c r="AZ2" s="38"/>
      <c r="BA2" s="108"/>
      <c r="BB2" s="108"/>
      <c r="BC2" s="108"/>
      <c r="BD2"/>
      <c r="BE2" s="107"/>
      <c r="BF2" s="107"/>
      <c r="BG2" s="107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  <c r="EB2" s="107"/>
      <c r="EC2" s="107"/>
      <c r="ED2" s="107"/>
      <c r="EE2" s="107"/>
      <c r="EF2" s="107"/>
      <c r="EG2" s="107"/>
      <c r="EH2" s="107"/>
      <c r="EI2" s="107"/>
      <c r="EJ2" s="107"/>
      <c r="EK2" s="107"/>
      <c r="EL2" s="107"/>
      <c r="EM2" s="107"/>
      <c r="EN2" s="107"/>
      <c r="EO2" s="107"/>
      <c r="EP2" s="107"/>
      <c r="EQ2" s="107"/>
      <c r="ER2" s="107"/>
      <c r="ES2" s="107"/>
      <c r="ET2" s="107"/>
      <c r="EU2" s="107"/>
      <c r="EV2" s="107"/>
      <c r="EW2" s="107"/>
      <c r="EX2" s="107"/>
      <c r="EY2" s="107"/>
      <c r="EZ2" s="107"/>
      <c r="FA2" s="107"/>
      <c r="FB2" s="107"/>
      <c r="FC2" s="107"/>
      <c r="FD2" s="107"/>
      <c r="FE2" s="107"/>
      <c r="FF2" s="107"/>
      <c r="FG2" s="107"/>
      <c r="FH2" s="107"/>
      <c r="FI2" s="107"/>
      <c r="FJ2" s="107"/>
      <c r="FK2" s="107"/>
      <c r="FL2" s="107"/>
      <c r="FM2" s="107"/>
      <c r="FN2" s="107"/>
      <c r="FO2" s="107"/>
      <c r="FP2" s="107"/>
      <c r="FQ2" s="107"/>
      <c r="FR2" s="107"/>
      <c r="FS2" s="107"/>
      <c r="FT2" s="107"/>
      <c r="FU2" s="107"/>
      <c r="FV2" s="107"/>
      <c r="FW2" s="107"/>
      <c r="FX2" s="107"/>
      <c r="FY2" s="107"/>
      <c r="FZ2" s="107"/>
      <c r="GA2" s="107"/>
      <c r="GB2" s="107"/>
      <c r="GC2" s="107"/>
      <c r="GD2" s="107"/>
      <c r="GE2" s="107"/>
      <c r="GF2" s="107"/>
      <c r="GG2" s="107"/>
      <c r="GH2" s="107"/>
      <c r="GI2" s="107"/>
      <c r="GJ2" s="107"/>
      <c r="GK2" s="107"/>
      <c r="GL2" s="107"/>
      <c r="GM2" s="107"/>
      <c r="GN2" s="107"/>
      <c r="GO2" s="107"/>
      <c r="GP2" s="107"/>
      <c r="GQ2" s="107"/>
      <c r="GR2" s="107"/>
      <c r="GS2" s="107"/>
      <c r="GT2" s="107"/>
      <c r="GU2" s="107"/>
      <c r="GV2" s="107"/>
      <c r="GW2" s="107"/>
      <c r="GX2" s="107"/>
      <c r="GY2" s="107"/>
      <c r="GZ2" s="107"/>
      <c r="HA2" s="107"/>
      <c r="HB2" s="107"/>
      <c r="HC2" s="107"/>
      <c r="HD2" s="107"/>
      <c r="HE2" s="107"/>
      <c r="HF2" s="107"/>
      <c r="HG2" s="107"/>
      <c r="HH2" s="107"/>
      <c r="HI2" s="107"/>
      <c r="HJ2" s="107"/>
      <c r="HK2" s="107"/>
      <c r="HL2" s="107"/>
      <c r="HM2" s="107"/>
      <c r="HN2" s="107"/>
      <c r="HO2" s="107"/>
      <c r="HP2" s="107"/>
      <c r="HQ2" s="107"/>
      <c r="HR2" s="107"/>
      <c r="HS2" s="107"/>
      <c r="HT2" s="107"/>
      <c r="HU2" s="107"/>
      <c r="HV2" s="107"/>
      <c r="HW2" s="107"/>
      <c r="HX2" s="107"/>
      <c r="HY2" s="107"/>
      <c r="HZ2" s="107"/>
      <c r="IA2" s="107"/>
      <c r="IB2" s="107"/>
      <c r="IC2" s="107"/>
      <c r="ID2" s="107"/>
      <c r="IE2" s="107"/>
      <c r="IF2" s="107"/>
      <c r="IG2" s="107"/>
      <c r="IH2" s="107"/>
      <c r="II2" s="107"/>
      <c r="IJ2" s="107"/>
      <c r="IK2" s="107"/>
      <c r="IL2" s="107"/>
      <c r="IM2" s="107"/>
      <c r="IN2" s="107"/>
      <c r="IO2" s="107"/>
      <c r="IP2" s="107"/>
      <c r="IQ2" s="107"/>
      <c r="IR2" s="107"/>
      <c r="IS2" s="107"/>
      <c r="IT2" s="107"/>
      <c r="IU2" s="107"/>
      <c r="IV2" s="107"/>
      <c r="IW2" s="107"/>
      <c r="IX2" s="107"/>
      <c r="IY2" s="107"/>
      <c r="IZ2" s="107"/>
      <c r="JA2" s="107"/>
      <c r="JB2" s="107"/>
      <c r="JC2" s="107"/>
      <c r="JD2" s="107"/>
      <c r="JE2" s="107"/>
      <c r="JF2" s="107"/>
      <c r="JG2" s="107"/>
      <c r="JH2" s="107"/>
      <c r="JI2" s="107"/>
      <c r="JJ2" s="107"/>
      <c r="JK2" s="107"/>
      <c r="JL2" s="107"/>
      <c r="JM2" s="107"/>
      <c r="JN2" s="107"/>
      <c r="JO2" s="107"/>
    </row>
    <row r="3" spans="1:275" s="180" customFormat="1" ht="22.5" customHeight="1" x14ac:dyDescent="0.3">
      <c r="A3" s="180" t="s">
        <v>214</v>
      </c>
      <c r="B3" s="180" t="s">
        <v>362</v>
      </c>
      <c r="E3" s="180" t="s">
        <v>215</v>
      </c>
      <c r="F3" s="180" t="s">
        <v>391</v>
      </c>
      <c r="G3" s="180" t="s">
        <v>392</v>
      </c>
      <c r="H3" s="180" t="s">
        <v>388</v>
      </c>
      <c r="I3" s="180" t="s">
        <v>395</v>
      </c>
      <c r="J3" s="180" t="s">
        <v>367</v>
      </c>
      <c r="K3" s="180" t="s">
        <v>390</v>
      </c>
      <c r="M3" s="384" t="s">
        <v>215</v>
      </c>
      <c r="N3" s="390">
        <v>46204</v>
      </c>
      <c r="O3" s="390">
        <v>46205</v>
      </c>
      <c r="P3" s="390">
        <v>46206</v>
      </c>
      <c r="Q3" s="390">
        <v>46207</v>
      </c>
      <c r="R3" s="390">
        <v>46208</v>
      </c>
      <c r="S3" s="390">
        <v>46209</v>
      </c>
      <c r="T3" s="390">
        <v>46210</v>
      </c>
      <c r="U3" s="390">
        <v>46211</v>
      </c>
      <c r="V3" s="390">
        <v>46212</v>
      </c>
      <c r="W3" s="390">
        <v>46213</v>
      </c>
      <c r="X3" s="390">
        <v>46214</v>
      </c>
      <c r="Y3" s="390">
        <v>46215</v>
      </c>
      <c r="Z3" s="390">
        <v>46216</v>
      </c>
      <c r="AA3" s="390">
        <v>46217</v>
      </c>
      <c r="AB3" s="390">
        <v>46218</v>
      </c>
      <c r="AC3" s="390">
        <v>46219</v>
      </c>
      <c r="AD3" s="390">
        <v>46220</v>
      </c>
      <c r="AE3" s="390">
        <v>46221</v>
      </c>
      <c r="AF3" s="390">
        <v>46222</v>
      </c>
      <c r="AG3" s="390">
        <v>46223</v>
      </c>
      <c r="AH3" s="390">
        <v>46224</v>
      </c>
      <c r="AI3" s="390">
        <v>46225</v>
      </c>
      <c r="AJ3" s="390">
        <v>46226</v>
      </c>
      <c r="AK3" s="390">
        <v>46227</v>
      </c>
      <c r="AL3" s="390">
        <v>46228</v>
      </c>
      <c r="AM3" s="390">
        <v>46229</v>
      </c>
      <c r="AN3" s="390">
        <v>46230</v>
      </c>
      <c r="AO3" s="390">
        <v>46231</v>
      </c>
      <c r="AP3" s="390">
        <v>46232</v>
      </c>
      <c r="AQ3" s="390">
        <v>46233</v>
      </c>
      <c r="AR3" s="390">
        <v>46234</v>
      </c>
      <c r="AS3" s="384" t="s">
        <v>215</v>
      </c>
      <c r="AT3" s="385" t="s">
        <v>484</v>
      </c>
      <c r="AU3" s="385" t="s">
        <v>389</v>
      </c>
      <c r="AV3" s="385" t="s">
        <v>363</v>
      </c>
      <c r="AW3" s="385" t="s">
        <v>367</v>
      </c>
      <c r="AX3" s="385" t="s">
        <v>388</v>
      </c>
      <c r="AY3" s="385" t="s">
        <v>397</v>
      </c>
      <c r="AZ3" s="181"/>
      <c r="BA3" s="182"/>
      <c r="BB3" s="183"/>
      <c r="BC3" s="183"/>
    </row>
    <row r="4" spans="1:275" ht="14.4" x14ac:dyDescent="0.3">
      <c r="A4" s="228">
        <v>46208</v>
      </c>
      <c r="B4" t="s">
        <v>362</v>
      </c>
      <c r="D4" s="114"/>
      <c r="E4" s="105">
        <v>5</v>
      </c>
      <c r="F4" s="111">
        <v>6.5</v>
      </c>
      <c r="G4" s="111">
        <v>6</v>
      </c>
      <c r="H4" s="111">
        <v>0</v>
      </c>
      <c r="I4" s="115">
        <v>21</v>
      </c>
      <c r="J4" s="111">
        <v>0.5</v>
      </c>
      <c r="K4" s="111">
        <v>0</v>
      </c>
      <c r="M4" s="214" t="s">
        <v>445</v>
      </c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6" t="s">
        <v>445</v>
      </c>
      <c r="AT4" s="386"/>
      <c r="AU4" s="387"/>
      <c r="AV4" s="387"/>
      <c r="AW4" s="387"/>
      <c r="AX4" s="388"/>
      <c r="AY4" s="389"/>
      <c r="BA4" s="109" t="s">
        <v>361</v>
      </c>
      <c r="BB4" s="108" t="s">
        <v>359</v>
      </c>
      <c r="BC4" s="109" t="s">
        <v>360</v>
      </c>
      <c r="CX4"/>
      <c r="CY4"/>
      <c r="CZ4"/>
    </row>
    <row r="5" spans="1:275" ht="14.4" x14ac:dyDescent="0.3">
      <c r="A5" s="228">
        <v>46215</v>
      </c>
      <c r="B5" t="s">
        <v>362</v>
      </c>
      <c r="D5" s="114"/>
      <c r="E5" s="105">
        <v>6</v>
      </c>
      <c r="F5" s="111">
        <v>28</v>
      </c>
      <c r="G5" s="111">
        <v>27</v>
      </c>
      <c r="H5" s="111">
        <v>0</v>
      </c>
      <c r="I5" s="115">
        <v>0</v>
      </c>
      <c r="J5" s="111">
        <v>1</v>
      </c>
      <c r="K5" s="111">
        <v>0</v>
      </c>
      <c r="M5" s="217" t="s">
        <v>446</v>
      </c>
      <c r="N5" s="206">
        <v>8.56</v>
      </c>
      <c r="O5" s="206">
        <v>8.44</v>
      </c>
      <c r="P5" s="206">
        <v>8.51</v>
      </c>
      <c r="Q5" s="206">
        <v>8.5</v>
      </c>
      <c r="R5" s="206">
        <v>0</v>
      </c>
      <c r="S5" s="206">
        <v>8.43</v>
      </c>
      <c r="T5" s="206">
        <v>9.5</v>
      </c>
      <c r="U5" s="206">
        <v>9.52</v>
      </c>
      <c r="V5" s="206">
        <v>9.48</v>
      </c>
      <c r="W5" s="206">
        <v>9.19</v>
      </c>
      <c r="X5" s="206">
        <v>9.59</v>
      </c>
      <c r="Y5" s="206">
        <v>0</v>
      </c>
      <c r="Z5" s="206">
        <v>9.68</v>
      </c>
      <c r="AA5" s="206">
        <v>0</v>
      </c>
      <c r="AB5" s="206">
        <v>9.49</v>
      </c>
      <c r="AC5" s="206">
        <v>9.6300000000000008</v>
      </c>
      <c r="AD5" s="206">
        <v>9.58</v>
      </c>
      <c r="AE5" s="206">
        <v>7.63</v>
      </c>
      <c r="AF5" s="206">
        <v>0</v>
      </c>
      <c r="AG5" s="206">
        <v>9.58</v>
      </c>
      <c r="AH5" s="206">
        <v>0</v>
      </c>
      <c r="AI5" s="206">
        <v>9.56</v>
      </c>
      <c r="AJ5" s="206">
        <v>9.59</v>
      </c>
      <c r="AK5" s="206">
        <v>9.59</v>
      </c>
      <c r="AL5" s="206">
        <v>9.48</v>
      </c>
      <c r="AM5" s="206">
        <v>0</v>
      </c>
      <c r="AN5" s="206">
        <v>9.57</v>
      </c>
      <c r="AO5" s="206">
        <v>7.52</v>
      </c>
      <c r="AP5" s="206">
        <v>7.98</v>
      </c>
      <c r="AQ5" s="206">
        <v>9.52</v>
      </c>
      <c r="AR5" s="206">
        <v>9.51</v>
      </c>
      <c r="AS5" s="216" t="s">
        <v>446</v>
      </c>
      <c r="AT5" s="386">
        <v>25</v>
      </c>
      <c r="AU5" s="387">
        <v>25</v>
      </c>
      <c r="AV5" s="387">
        <v>0</v>
      </c>
      <c r="AW5" s="387">
        <v>0</v>
      </c>
      <c r="AX5" s="388">
        <v>0</v>
      </c>
      <c r="AY5" s="389">
        <v>2</v>
      </c>
      <c r="AZ5" t="s">
        <v>1623</v>
      </c>
      <c r="BA5" s="109"/>
      <c r="BB5" s="108"/>
      <c r="BC5" s="108"/>
      <c r="CX5"/>
      <c r="CY5"/>
      <c r="CZ5"/>
    </row>
    <row r="6" spans="1:275" ht="14.4" x14ac:dyDescent="0.3">
      <c r="A6" s="228">
        <v>46222</v>
      </c>
      <c r="B6" t="s">
        <v>362</v>
      </c>
      <c r="D6" s="114"/>
      <c r="E6" s="105">
        <v>14</v>
      </c>
      <c r="F6" s="111">
        <v>26.5</v>
      </c>
      <c r="G6" s="111">
        <v>25.5</v>
      </c>
      <c r="H6" s="111">
        <v>0</v>
      </c>
      <c r="I6" s="115">
        <v>1.5</v>
      </c>
      <c r="J6" s="111">
        <v>1</v>
      </c>
      <c r="K6" s="111">
        <v>0</v>
      </c>
      <c r="M6" s="217" t="s">
        <v>453</v>
      </c>
      <c r="N6" s="206">
        <v>3.56</v>
      </c>
      <c r="O6" s="206">
        <v>8.43</v>
      </c>
      <c r="P6" s="206">
        <v>8.4499999999999993</v>
      </c>
      <c r="Q6" s="206">
        <v>8.4</v>
      </c>
      <c r="R6" s="206">
        <v>0</v>
      </c>
      <c r="S6" s="206">
        <v>8.36</v>
      </c>
      <c r="T6" s="206">
        <v>8.59</v>
      </c>
      <c r="U6" s="206">
        <v>8.52</v>
      </c>
      <c r="V6" s="206">
        <v>8.52</v>
      </c>
      <c r="W6" s="206">
        <v>8.5500000000000007</v>
      </c>
      <c r="X6" s="206">
        <v>0</v>
      </c>
      <c r="Y6" s="206">
        <v>0</v>
      </c>
      <c r="Z6" s="206">
        <v>8.3699999999999992</v>
      </c>
      <c r="AA6" s="206">
        <v>8.27</v>
      </c>
      <c r="AB6" s="206">
        <v>8.49</v>
      </c>
      <c r="AC6" s="206">
        <v>8.4</v>
      </c>
      <c r="AD6" s="206">
        <v>8.41</v>
      </c>
      <c r="AE6" s="206">
        <v>8.3699999999999992</v>
      </c>
      <c r="AF6" s="206">
        <v>0</v>
      </c>
      <c r="AG6" s="206">
        <v>8.5299999999999994</v>
      </c>
      <c r="AH6" s="206">
        <v>8.4499999999999993</v>
      </c>
      <c r="AI6" s="206">
        <v>8.41</v>
      </c>
      <c r="AJ6" s="206">
        <v>7.42</v>
      </c>
      <c r="AK6" s="206">
        <v>0</v>
      </c>
      <c r="AL6" s="206">
        <v>8.33</v>
      </c>
      <c r="AM6" s="206">
        <v>0</v>
      </c>
      <c r="AN6" s="206">
        <v>8.5</v>
      </c>
      <c r="AO6" s="206">
        <v>8.5399999999999991</v>
      </c>
      <c r="AP6" s="206">
        <v>8.36</v>
      </c>
      <c r="AQ6" s="206">
        <v>8.61</v>
      </c>
      <c r="AR6" s="206">
        <v>8.44</v>
      </c>
      <c r="AS6" s="216" t="s">
        <v>453</v>
      </c>
      <c r="AT6" s="386">
        <v>24.5</v>
      </c>
      <c r="AU6" s="387">
        <v>24.5</v>
      </c>
      <c r="AV6" s="387">
        <v>0</v>
      </c>
      <c r="AW6" s="387">
        <v>0</v>
      </c>
      <c r="AX6" s="388">
        <v>0</v>
      </c>
      <c r="AY6" s="389">
        <v>2.5</v>
      </c>
      <c r="AZ6" t="s">
        <v>1623</v>
      </c>
      <c r="BA6" s="109"/>
      <c r="BB6" s="108"/>
      <c r="BC6" s="108"/>
      <c r="CX6"/>
      <c r="CY6"/>
      <c r="CZ6"/>
    </row>
    <row r="7" spans="1:275" ht="14.4" x14ac:dyDescent="0.3">
      <c r="A7" s="228">
        <v>46229</v>
      </c>
      <c r="B7" t="s">
        <v>362</v>
      </c>
      <c r="D7" s="114"/>
      <c r="E7" s="105">
        <v>29</v>
      </c>
      <c r="F7" s="111">
        <v>21.5</v>
      </c>
      <c r="G7" s="111">
        <v>21.5</v>
      </c>
      <c r="H7" s="111">
        <v>0</v>
      </c>
      <c r="I7" s="115">
        <v>5.5</v>
      </c>
      <c r="J7" s="111">
        <v>0</v>
      </c>
      <c r="K7" s="111">
        <v>0</v>
      </c>
      <c r="M7" s="217" t="s">
        <v>455</v>
      </c>
      <c r="N7" s="206">
        <v>8.56</v>
      </c>
      <c r="O7" s="206">
        <v>8.4600000000000009</v>
      </c>
      <c r="P7" s="206">
        <v>8.56</v>
      </c>
      <c r="Q7" s="206">
        <v>8.58</v>
      </c>
      <c r="R7" s="206">
        <v>0</v>
      </c>
      <c r="S7" s="206">
        <v>8.42</v>
      </c>
      <c r="T7" s="206">
        <v>9.5</v>
      </c>
      <c r="U7" s="206">
        <v>9.52</v>
      </c>
      <c r="V7" s="206">
        <v>9.52</v>
      </c>
      <c r="W7" s="206">
        <v>9.44</v>
      </c>
      <c r="X7" s="206">
        <v>9.61</v>
      </c>
      <c r="Y7" s="206">
        <v>0</v>
      </c>
      <c r="Z7" s="206">
        <v>9.68</v>
      </c>
      <c r="AA7" s="206">
        <v>9.61</v>
      </c>
      <c r="AB7" s="206">
        <v>9.5500000000000007</v>
      </c>
      <c r="AC7" s="206">
        <v>0</v>
      </c>
      <c r="AD7" s="206">
        <v>9.61</v>
      </c>
      <c r="AE7" s="206">
        <v>8.59</v>
      </c>
      <c r="AF7" s="206">
        <v>0</v>
      </c>
      <c r="AG7" s="206">
        <v>9.5500000000000007</v>
      </c>
      <c r="AH7" s="206">
        <v>8.44</v>
      </c>
      <c r="AI7" s="206">
        <v>4.92</v>
      </c>
      <c r="AJ7" s="206">
        <v>9.61</v>
      </c>
      <c r="AK7" s="206">
        <v>9.58</v>
      </c>
      <c r="AL7" s="206">
        <v>9.56</v>
      </c>
      <c r="AM7" s="206">
        <v>0</v>
      </c>
      <c r="AN7" s="206">
        <v>9.64</v>
      </c>
      <c r="AO7" s="206">
        <v>7.51</v>
      </c>
      <c r="AP7" s="206">
        <v>7.97</v>
      </c>
      <c r="AQ7" s="206">
        <v>9.5399999999999991</v>
      </c>
      <c r="AR7" s="206">
        <v>9.56</v>
      </c>
      <c r="AS7" s="216" t="s">
        <v>455</v>
      </c>
      <c r="AT7" s="386">
        <v>25.5</v>
      </c>
      <c r="AU7" s="387">
        <v>25.5</v>
      </c>
      <c r="AV7" s="387">
        <v>0</v>
      </c>
      <c r="AW7" s="387">
        <v>0</v>
      </c>
      <c r="AX7" s="388">
        <v>0</v>
      </c>
      <c r="AY7" s="389">
        <v>1.5</v>
      </c>
      <c r="AZ7" t="s">
        <v>1623</v>
      </c>
      <c r="BA7" s="109"/>
      <c r="BB7" s="108"/>
      <c r="BC7" s="108"/>
      <c r="CX7"/>
      <c r="CY7"/>
      <c r="CZ7"/>
    </row>
    <row r="8" spans="1:275" ht="14.4" x14ac:dyDescent="0.3">
      <c r="D8" s="114"/>
      <c r="E8" s="105">
        <v>32</v>
      </c>
      <c r="F8" s="111">
        <v>27.5</v>
      </c>
      <c r="G8" s="111">
        <v>26.5</v>
      </c>
      <c r="H8" s="111">
        <v>0</v>
      </c>
      <c r="I8" s="115">
        <v>0.5</v>
      </c>
      <c r="J8" s="111">
        <v>1</v>
      </c>
      <c r="K8" s="111">
        <v>0</v>
      </c>
      <c r="M8" s="217" t="s">
        <v>460</v>
      </c>
      <c r="N8" s="206">
        <v>8.58</v>
      </c>
      <c r="O8" s="206">
        <v>8.4700000000000006</v>
      </c>
      <c r="P8" s="206">
        <v>8.52</v>
      </c>
      <c r="Q8" s="206">
        <v>7.85</v>
      </c>
      <c r="R8" s="206">
        <v>0</v>
      </c>
      <c r="S8" s="206">
        <v>9.42</v>
      </c>
      <c r="T8" s="206">
        <v>0</v>
      </c>
      <c r="U8" s="206">
        <v>0</v>
      </c>
      <c r="V8" s="206">
        <v>0</v>
      </c>
      <c r="W8" s="206">
        <v>0</v>
      </c>
      <c r="X8" s="206">
        <v>9.44</v>
      </c>
      <c r="Y8" s="206">
        <v>0</v>
      </c>
      <c r="Z8" s="206">
        <v>0</v>
      </c>
      <c r="AA8" s="206">
        <v>0</v>
      </c>
      <c r="AB8" s="206">
        <v>0</v>
      </c>
      <c r="AC8" s="206">
        <v>0</v>
      </c>
      <c r="AD8" s="206">
        <v>0</v>
      </c>
      <c r="AE8" s="206">
        <v>0</v>
      </c>
      <c r="AF8" s="206">
        <v>0</v>
      </c>
      <c r="AG8" s="206">
        <v>0</v>
      </c>
      <c r="AH8" s="206">
        <v>0</v>
      </c>
      <c r="AI8" s="206">
        <v>0</v>
      </c>
      <c r="AJ8" s="206">
        <v>0</v>
      </c>
      <c r="AK8" s="206">
        <v>0</v>
      </c>
      <c r="AL8" s="206">
        <v>0</v>
      </c>
      <c r="AM8" s="206">
        <v>0</v>
      </c>
      <c r="AN8" s="206">
        <v>0</v>
      </c>
      <c r="AO8" s="206">
        <v>0</v>
      </c>
      <c r="AP8" s="206">
        <v>0</v>
      </c>
      <c r="AQ8" s="206">
        <v>0</v>
      </c>
      <c r="AR8" s="206">
        <v>0</v>
      </c>
      <c r="AS8" s="216" t="s">
        <v>460</v>
      </c>
      <c r="AT8" s="386">
        <v>6</v>
      </c>
      <c r="AU8" s="387">
        <v>6</v>
      </c>
      <c r="AV8" s="387">
        <v>0</v>
      </c>
      <c r="AW8" s="387">
        <v>0</v>
      </c>
      <c r="AX8" s="388">
        <v>0</v>
      </c>
      <c r="AY8" s="389">
        <v>21</v>
      </c>
      <c r="AZ8" t="s">
        <v>1623</v>
      </c>
      <c r="BA8" s="109"/>
      <c r="BB8" s="108"/>
      <c r="BC8" s="108"/>
      <c r="CX8"/>
      <c r="CY8"/>
      <c r="CZ8"/>
    </row>
    <row r="9" spans="1:275" ht="14.4" x14ac:dyDescent="0.3">
      <c r="D9" s="114"/>
      <c r="E9" s="105">
        <v>34</v>
      </c>
      <c r="F9" s="111">
        <v>26.5</v>
      </c>
      <c r="G9" s="111">
        <v>25.5</v>
      </c>
      <c r="H9" s="111">
        <v>0</v>
      </c>
      <c r="I9" s="115">
        <v>1.5</v>
      </c>
      <c r="J9" s="111">
        <v>1</v>
      </c>
      <c r="K9" s="111">
        <v>0</v>
      </c>
      <c r="M9" s="217" t="s">
        <v>465</v>
      </c>
      <c r="N9" s="206">
        <v>8.49</v>
      </c>
      <c r="O9" s="206">
        <v>8.4600000000000009</v>
      </c>
      <c r="P9" s="206">
        <v>8.41</v>
      </c>
      <c r="Q9" s="206">
        <v>8.4</v>
      </c>
      <c r="R9" s="206">
        <v>0</v>
      </c>
      <c r="S9" s="206">
        <v>8.48</v>
      </c>
      <c r="T9" s="206">
        <v>8.5399999999999991</v>
      </c>
      <c r="U9" s="206">
        <v>8.33</v>
      </c>
      <c r="V9" s="206">
        <v>8.6300000000000008</v>
      </c>
      <c r="W9" s="206">
        <v>0</v>
      </c>
      <c r="X9" s="206">
        <v>8.4</v>
      </c>
      <c r="Y9" s="206">
        <v>0</v>
      </c>
      <c r="Z9" s="206">
        <v>8.48</v>
      </c>
      <c r="AA9" s="206">
        <v>8.6199999999999992</v>
      </c>
      <c r="AB9" s="206">
        <v>8.57</v>
      </c>
      <c r="AC9" s="206">
        <v>8.52</v>
      </c>
      <c r="AD9" s="206">
        <v>8.41</v>
      </c>
      <c r="AE9" s="206">
        <v>8.24</v>
      </c>
      <c r="AF9" s="206">
        <v>0</v>
      </c>
      <c r="AG9" s="206">
        <v>8.48</v>
      </c>
      <c r="AH9" s="206">
        <v>8.4</v>
      </c>
      <c r="AI9" s="206">
        <v>8.48</v>
      </c>
      <c r="AJ9" s="206">
        <v>8.48</v>
      </c>
      <c r="AK9" s="206">
        <v>8.4</v>
      </c>
      <c r="AL9" s="206">
        <v>8.2799999999999994</v>
      </c>
      <c r="AM9" s="206">
        <v>0</v>
      </c>
      <c r="AN9" s="206">
        <v>0</v>
      </c>
      <c r="AO9" s="206">
        <v>7.08</v>
      </c>
      <c r="AP9" s="206">
        <v>7.36</v>
      </c>
      <c r="AQ9" s="206">
        <v>8.6</v>
      </c>
      <c r="AR9" s="206">
        <v>8.3800000000000008</v>
      </c>
      <c r="AS9" s="216" t="s">
        <v>465</v>
      </c>
      <c r="AT9" s="386">
        <v>25</v>
      </c>
      <c r="AU9" s="387">
        <v>25</v>
      </c>
      <c r="AV9" s="387">
        <v>0</v>
      </c>
      <c r="AW9" s="387">
        <v>0</v>
      </c>
      <c r="AX9" s="388">
        <v>0</v>
      </c>
      <c r="AY9" s="389">
        <v>2</v>
      </c>
      <c r="AZ9" t="s">
        <v>1623</v>
      </c>
      <c r="BA9" s="109"/>
      <c r="BB9" s="108"/>
      <c r="BC9" s="108"/>
      <c r="CX9"/>
      <c r="CY9"/>
      <c r="CZ9"/>
    </row>
    <row r="10" spans="1:275" ht="14.4" x14ac:dyDescent="0.3">
      <c r="D10" s="114"/>
      <c r="E10" s="105">
        <v>35</v>
      </c>
      <c r="F10" s="111">
        <v>28</v>
      </c>
      <c r="G10" s="111">
        <v>27</v>
      </c>
      <c r="H10" s="111">
        <v>0</v>
      </c>
      <c r="I10" s="115">
        <v>0</v>
      </c>
      <c r="J10" s="111">
        <v>1</v>
      </c>
      <c r="K10" s="111">
        <v>0</v>
      </c>
      <c r="M10" s="217" t="s">
        <v>476</v>
      </c>
      <c r="N10" s="206">
        <v>8.59</v>
      </c>
      <c r="O10" s="206">
        <v>0</v>
      </c>
      <c r="P10" s="206">
        <v>8.52</v>
      </c>
      <c r="Q10" s="206">
        <v>8.51</v>
      </c>
      <c r="R10" s="206">
        <v>0</v>
      </c>
      <c r="S10" s="206">
        <v>9.59</v>
      </c>
      <c r="T10" s="206">
        <v>9.5399999999999991</v>
      </c>
      <c r="U10" s="206">
        <v>9.52</v>
      </c>
      <c r="V10" s="206">
        <v>9.59</v>
      </c>
      <c r="W10" s="206">
        <v>9.4700000000000006</v>
      </c>
      <c r="X10" s="206">
        <v>9.43</v>
      </c>
      <c r="Y10" s="206">
        <v>0</v>
      </c>
      <c r="Z10" s="206">
        <v>9.66</v>
      </c>
      <c r="AA10" s="206">
        <v>9.51</v>
      </c>
      <c r="AB10" s="206">
        <v>9.58</v>
      </c>
      <c r="AC10" s="206">
        <v>9.5399999999999991</v>
      </c>
      <c r="AD10" s="206">
        <v>6.49</v>
      </c>
      <c r="AE10" s="206">
        <v>8.5399999999999991</v>
      </c>
      <c r="AF10" s="206">
        <v>7.48</v>
      </c>
      <c r="AG10" s="206">
        <v>9.49</v>
      </c>
      <c r="AH10" s="206">
        <v>8.6</v>
      </c>
      <c r="AI10" s="206">
        <v>9.5500000000000007</v>
      </c>
      <c r="AJ10" s="206">
        <v>8.6199999999999992</v>
      </c>
      <c r="AK10" s="206">
        <v>9.57</v>
      </c>
      <c r="AL10" s="206">
        <v>0</v>
      </c>
      <c r="AM10" s="206">
        <v>0</v>
      </c>
      <c r="AN10" s="206">
        <v>0</v>
      </c>
      <c r="AO10" s="206">
        <v>9.57</v>
      </c>
      <c r="AP10" s="206">
        <v>8.6300000000000008</v>
      </c>
      <c r="AQ10" s="206">
        <v>9.4499999999999993</v>
      </c>
      <c r="AR10" s="206">
        <v>6.73</v>
      </c>
      <c r="AS10" s="216" t="s">
        <v>476</v>
      </c>
      <c r="AT10" s="386">
        <v>25</v>
      </c>
      <c r="AU10" s="387">
        <v>24</v>
      </c>
      <c r="AV10" s="387">
        <v>0</v>
      </c>
      <c r="AW10" s="387">
        <v>1</v>
      </c>
      <c r="AX10" s="388">
        <v>0</v>
      </c>
      <c r="AY10" s="389">
        <v>3</v>
      </c>
      <c r="AZ10" t="s">
        <v>1623</v>
      </c>
      <c r="BA10" s="109"/>
      <c r="BB10" s="108"/>
      <c r="BC10" s="108"/>
      <c r="CX10"/>
      <c r="CY10"/>
      <c r="CZ10"/>
    </row>
    <row r="11" spans="1:275" ht="14.4" x14ac:dyDescent="0.3">
      <c r="D11" s="114"/>
      <c r="E11" s="105">
        <v>1001</v>
      </c>
      <c r="F11" s="111">
        <v>26.5</v>
      </c>
      <c r="G11" s="111">
        <v>26.5</v>
      </c>
      <c r="H11" s="111">
        <v>0</v>
      </c>
      <c r="I11" s="115">
        <v>0.5</v>
      </c>
      <c r="J11" s="111">
        <v>0</v>
      </c>
      <c r="K11" s="111">
        <v>0</v>
      </c>
      <c r="M11" s="218" t="s">
        <v>528</v>
      </c>
      <c r="N11" s="206">
        <v>8.5500000000000007</v>
      </c>
      <c r="O11" s="206">
        <v>8.4499999999999993</v>
      </c>
      <c r="P11" s="206">
        <v>4.01</v>
      </c>
      <c r="Q11" s="206">
        <v>0</v>
      </c>
      <c r="R11" s="206">
        <v>3.52</v>
      </c>
      <c r="S11" s="206">
        <v>0</v>
      </c>
      <c r="T11" s="206">
        <v>9.48</v>
      </c>
      <c r="U11" s="206">
        <v>9.51</v>
      </c>
      <c r="V11" s="206">
        <v>8.8000000000000007</v>
      </c>
      <c r="W11" s="206">
        <v>9.44</v>
      </c>
      <c r="X11" s="206">
        <v>9.56</v>
      </c>
      <c r="Y11" s="206">
        <v>0</v>
      </c>
      <c r="Z11" s="206">
        <v>10.81</v>
      </c>
      <c r="AA11" s="206">
        <v>9.6300000000000008</v>
      </c>
      <c r="AB11" s="206">
        <v>9.5500000000000007</v>
      </c>
      <c r="AC11" s="206">
        <v>9.59</v>
      </c>
      <c r="AD11" s="206">
        <v>6.89</v>
      </c>
      <c r="AE11" s="206">
        <v>8.56</v>
      </c>
      <c r="AF11" s="206">
        <v>7.72</v>
      </c>
      <c r="AG11" s="206">
        <v>10.4</v>
      </c>
      <c r="AH11" s="206">
        <v>10.19</v>
      </c>
      <c r="AI11" s="206">
        <v>9.26</v>
      </c>
      <c r="AJ11" s="206">
        <v>9.9499999999999993</v>
      </c>
      <c r="AK11" s="206">
        <v>10.58</v>
      </c>
      <c r="AL11" s="206">
        <v>10.07</v>
      </c>
      <c r="AM11" s="206">
        <v>0</v>
      </c>
      <c r="AN11" s="206">
        <v>9.61</v>
      </c>
      <c r="AO11" s="206">
        <v>9.6199999999999992</v>
      </c>
      <c r="AP11" s="206">
        <v>11.06</v>
      </c>
      <c r="AQ11" s="206">
        <v>15.02</v>
      </c>
      <c r="AR11" s="206">
        <v>14.59</v>
      </c>
      <c r="AS11" s="216" t="s">
        <v>528</v>
      </c>
      <c r="AT11" s="386">
        <v>26</v>
      </c>
      <c r="AU11" s="387">
        <v>24.5</v>
      </c>
      <c r="AV11" s="387">
        <v>0</v>
      </c>
      <c r="AW11" s="387">
        <v>1.5</v>
      </c>
      <c r="AX11" s="388">
        <v>0</v>
      </c>
      <c r="AY11" s="389">
        <v>2.5</v>
      </c>
      <c r="AZ11" t="s">
        <v>1623</v>
      </c>
      <c r="BA11" s="109"/>
      <c r="BB11" s="108"/>
      <c r="BC11" s="108"/>
      <c r="CX11"/>
      <c r="CY11"/>
      <c r="CZ11"/>
    </row>
    <row r="12" spans="1:275" ht="14.4" x14ac:dyDescent="0.3">
      <c r="D12" s="114"/>
      <c r="E12" s="105">
        <v>1002</v>
      </c>
      <c r="F12" s="111">
        <v>25</v>
      </c>
      <c r="G12" s="111">
        <v>25</v>
      </c>
      <c r="H12" s="111">
        <v>0</v>
      </c>
      <c r="I12" s="115">
        <v>2</v>
      </c>
      <c r="J12" s="111">
        <v>0</v>
      </c>
      <c r="K12" s="111">
        <v>0</v>
      </c>
      <c r="M12" s="218" t="s">
        <v>532</v>
      </c>
      <c r="N12" s="206">
        <v>8.51</v>
      </c>
      <c r="O12" s="206">
        <v>8.4499999999999993</v>
      </c>
      <c r="P12" s="206">
        <v>8.61</v>
      </c>
      <c r="Q12" s="206">
        <v>8.4</v>
      </c>
      <c r="R12" s="206">
        <v>0</v>
      </c>
      <c r="S12" s="206">
        <v>8.89</v>
      </c>
      <c r="T12" s="206">
        <v>9.33</v>
      </c>
      <c r="U12" s="206">
        <v>9.64</v>
      </c>
      <c r="V12" s="206">
        <v>9.5</v>
      </c>
      <c r="W12" s="206">
        <v>9.4700000000000006</v>
      </c>
      <c r="X12" s="206">
        <v>9.4600000000000009</v>
      </c>
      <c r="Y12" s="206">
        <v>0</v>
      </c>
      <c r="Z12" s="206">
        <v>9.6999999999999993</v>
      </c>
      <c r="AA12" s="206">
        <v>9.4600000000000009</v>
      </c>
      <c r="AB12" s="206">
        <v>0</v>
      </c>
      <c r="AC12" s="206">
        <v>9.42</v>
      </c>
      <c r="AD12" s="206">
        <v>9.51</v>
      </c>
      <c r="AE12" s="206">
        <v>8.84</v>
      </c>
      <c r="AF12" s="206">
        <v>0</v>
      </c>
      <c r="AG12" s="206">
        <v>9.31</v>
      </c>
      <c r="AH12" s="206">
        <v>8.56</v>
      </c>
      <c r="AI12" s="206">
        <v>9.56</v>
      </c>
      <c r="AJ12" s="206">
        <v>9.44</v>
      </c>
      <c r="AK12" s="206">
        <v>9.52</v>
      </c>
      <c r="AL12" s="206">
        <v>0</v>
      </c>
      <c r="AM12" s="206">
        <v>0</v>
      </c>
      <c r="AN12" s="206">
        <v>8.59</v>
      </c>
      <c r="AO12" s="206">
        <v>9.5500000000000007</v>
      </c>
      <c r="AP12" s="206">
        <v>9.6300000000000008</v>
      </c>
      <c r="AQ12" s="206">
        <v>9.61</v>
      </c>
      <c r="AR12" s="206">
        <v>9.65</v>
      </c>
      <c r="AS12" s="216" t="s">
        <v>532</v>
      </c>
      <c r="AT12" s="386">
        <v>25</v>
      </c>
      <c r="AU12" s="387">
        <v>25</v>
      </c>
      <c r="AV12" s="387">
        <v>0</v>
      </c>
      <c r="AW12" s="387">
        <v>0</v>
      </c>
      <c r="AX12" s="388">
        <v>0</v>
      </c>
      <c r="AY12" s="389">
        <v>2</v>
      </c>
      <c r="AZ12" t="s">
        <v>1623</v>
      </c>
      <c r="BA12" s="109"/>
      <c r="BB12" s="108"/>
      <c r="BC12" s="108"/>
      <c r="CX12"/>
      <c r="CY12"/>
      <c r="CZ12"/>
    </row>
    <row r="13" spans="1:275" ht="14.4" x14ac:dyDescent="0.3">
      <c r="D13" s="114"/>
      <c r="E13" s="105">
        <v>1004</v>
      </c>
      <c r="F13" s="111">
        <v>27</v>
      </c>
      <c r="G13" s="111">
        <v>27</v>
      </c>
      <c r="H13" s="111">
        <v>0</v>
      </c>
      <c r="I13" s="115">
        <v>0</v>
      </c>
      <c r="J13" s="111">
        <v>0</v>
      </c>
      <c r="K13" s="111">
        <v>0</v>
      </c>
      <c r="M13" s="214" t="s">
        <v>441</v>
      </c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6" t="s">
        <v>441</v>
      </c>
      <c r="AT13" s="386"/>
      <c r="AU13" s="387"/>
      <c r="AV13" s="387"/>
      <c r="AW13" s="387"/>
      <c r="AX13" s="388"/>
      <c r="AY13" s="389"/>
      <c r="BA13" s="109"/>
      <c r="BB13" s="108"/>
      <c r="BC13" s="108"/>
      <c r="CX13"/>
      <c r="CY13"/>
      <c r="CZ13"/>
    </row>
    <row r="14" spans="1:275" ht="14.4" x14ac:dyDescent="0.3">
      <c r="D14" s="114"/>
      <c r="E14" s="105">
        <v>1013</v>
      </c>
      <c r="F14" s="111">
        <v>24.5</v>
      </c>
      <c r="G14" s="111">
        <v>24.5</v>
      </c>
      <c r="H14" s="111">
        <v>0</v>
      </c>
      <c r="I14" s="115">
        <v>2.5</v>
      </c>
      <c r="J14" s="111">
        <v>0</v>
      </c>
      <c r="K14" s="111">
        <v>0</v>
      </c>
      <c r="M14" s="217" t="s">
        <v>443</v>
      </c>
      <c r="N14" s="206">
        <v>8.56</v>
      </c>
      <c r="O14" s="206">
        <v>8.44</v>
      </c>
      <c r="P14" s="206">
        <v>8.56</v>
      </c>
      <c r="Q14" s="206">
        <v>8.59</v>
      </c>
      <c r="R14" s="206">
        <v>0</v>
      </c>
      <c r="S14" s="206">
        <v>8.42</v>
      </c>
      <c r="T14" s="206">
        <v>9.5</v>
      </c>
      <c r="U14" s="206">
        <v>9.51</v>
      </c>
      <c r="V14" s="206">
        <v>9.52</v>
      </c>
      <c r="W14" s="206">
        <v>9.4700000000000006</v>
      </c>
      <c r="X14" s="206">
        <v>9.58</v>
      </c>
      <c r="Y14" s="206">
        <v>0</v>
      </c>
      <c r="Z14" s="206">
        <v>9.66</v>
      </c>
      <c r="AA14" s="206">
        <v>9.61</v>
      </c>
      <c r="AB14" s="206">
        <v>4.12</v>
      </c>
      <c r="AC14" s="206">
        <v>9.6199999999999992</v>
      </c>
      <c r="AD14" s="206">
        <v>9.6</v>
      </c>
      <c r="AE14" s="206">
        <v>8.5500000000000007</v>
      </c>
      <c r="AF14" s="206">
        <v>0</v>
      </c>
      <c r="AG14" s="206">
        <v>9.5399999999999991</v>
      </c>
      <c r="AH14" s="206">
        <v>8.56</v>
      </c>
      <c r="AI14" s="206">
        <v>9.6</v>
      </c>
      <c r="AJ14" s="206">
        <v>9.6</v>
      </c>
      <c r="AK14" s="206">
        <v>9.58</v>
      </c>
      <c r="AL14" s="206">
        <v>9.5500000000000007</v>
      </c>
      <c r="AM14" s="206">
        <v>0</v>
      </c>
      <c r="AN14" s="206">
        <v>9.6199999999999992</v>
      </c>
      <c r="AO14" s="206">
        <v>9.6</v>
      </c>
      <c r="AP14" s="206">
        <v>9.56</v>
      </c>
      <c r="AQ14" s="206">
        <v>9.52</v>
      </c>
      <c r="AR14" s="206">
        <v>9.5500000000000007</v>
      </c>
      <c r="AS14" s="216" t="s">
        <v>443</v>
      </c>
      <c r="AT14" s="386">
        <v>26.5</v>
      </c>
      <c r="AU14" s="387">
        <v>26.5</v>
      </c>
      <c r="AV14" s="387">
        <v>0</v>
      </c>
      <c r="AW14" s="387">
        <v>0</v>
      </c>
      <c r="AX14" s="388">
        <v>0</v>
      </c>
      <c r="AY14" s="389">
        <v>0.5</v>
      </c>
      <c r="AZ14" t="s">
        <v>1623</v>
      </c>
      <c r="BA14" s="109"/>
      <c r="BB14" s="108"/>
      <c r="BC14" s="108"/>
      <c r="CX14"/>
      <c r="CY14"/>
      <c r="CZ14"/>
    </row>
    <row r="15" spans="1:275" ht="14.4" x14ac:dyDescent="0.3">
      <c r="D15" s="114"/>
      <c r="E15" s="105">
        <v>1014</v>
      </c>
      <c r="F15" s="111">
        <v>25.5</v>
      </c>
      <c r="G15" s="111">
        <v>25.5</v>
      </c>
      <c r="H15" s="111">
        <v>0</v>
      </c>
      <c r="I15" s="115">
        <v>1.5</v>
      </c>
      <c r="J15" s="111">
        <v>0</v>
      </c>
      <c r="K15" s="111">
        <v>0</v>
      </c>
      <c r="M15" s="217" t="s">
        <v>448</v>
      </c>
      <c r="N15" s="206">
        <v>8.56</v>
      </c>
      <c r="O15" s="206">
        <v>8.44</v>
      </c>
      <c r="P15" s="206">
        <v>8.59</v>
      </c>
      <c r="Q15" s="206">
        <v>8.59</v>
      </c>
      <c r="R15" s="206">
        <v>0</v>
      </c>
      <c r="S15" s="206">
        <v>8.43</v>
      </c>
      <c r="T15" s="206">
        <v>9.5</v>
      </c>
      <c r="U15" s="206">
        <v>9.5</v>
      </c>
      <c r="V15" s="206">
        <v>9.52</v>
      </c>
      <c r="W15" s="206">
        <v>9.48</v>
      </c>
      <c r="X15" s="206">
        <v>9.58</v>
      </c>
      <c r="Y15" s="206">
        <v>0</v>
      </c>
      <c r="Z15" s="206">
        <v>9.66</v>
      </c>
      <c r="AA15" s="206">
        <v>9.6199999999999992</v>
      </c>
      <c r="AB15" s="206">
        <v>9.57</v>
      </c>
      <c r="AC15" s="206">
        <v>9.6199999999999992</v>
      </c>
      <c r="AD15" s="206">
        <v>9.51</v>
      </c>
      <c r="AE15" s="206">
        <v>8.5500000000000007</v>
      </c>
      <c r="AF15" s="206">
        <v>0</v>
      </c>
      <c r="AG15" s="206">
        <v>9.5399999999999991</v>
      </c>
      <c r="AH15" s="206">
        <v>8.56</v>
      </c>
      <c r="AI15" s="206">
        <v>9.61</v>
      </c>
      <c r="AJ15" s="206">
        <v>9.61</v>
      </c>
      <c r="AK15" s="206">
        <v>9.5</v>
      </c>
      <c r="AL15" s="206">
        <v>9.5500000000000007</v>
      </c>
      <c r="AM15" s="206">
        <v>0</v>
      </c>
      <c r="AN15" s="206">
        <v>9.6300000000000008</v>
      </c>
      <c r="AO15" s="206">
        <v>9.6199999999999992</v>
      </c>
      <c r="AP15" s="206">
        <v>9.56</v>
      </c>
      <c r="AQ15" s="206">
        <v>9.5399999999999991</v>
      </c>
      <c r="AR15" s="206">
        <v>9.5500000000000007</v>
      </c>
      <c r="AS15" s="216" t="s">
        <v>448</v>
      </c>
      <c r="AT15" s="386">
        <v>27</v>
      </c>
      <c r="AU15" s="387">
        <v>27</v>
      </c>
      <c r="AV15" s="387">
        <v>0</v>
      </c>
      <c r="AW15" s="387">
        <v>0</v>
      </c>
      <c r="AX15" s="388">
        <v>0</v>
      </c>
      <c r="AY15" s="389">
        <v>0</v>
      </c>
      <c r="AZ15" t="s">
        <v>1623</v>
      </c>
      <c r="BA15" s="109"/>
      <c r="BB15" s="108"/>
      <c r="BC15" s="108"/>
      <c r="CX15"/>
      <c r="CY15"/>
      <c r="CZ15"/>
    </row>
    <row r="16" spans="1:275" ht="14.4" x14ac:dyDescent="0.3">
      <c r="C16" s="227"/>
      <c r="D16" s="114"/>
      <c r="E16" s="105">
        <v>1021</v>
      </c>
      <c r="F16" s="111">
        <v>6</v>
      </c>
      <c r="G16" s="111">
        <v>6</v>
      </c>
      <c r="H16" s="111">
        <v>0</v>
      </c>
      <c r="I16" s="115">
        <v>21</v>
      </c>
      <c r="J16" s="111">
        <v>0</v>
      </c>
      <c r="K16" s="111">
        <v>0</v>
      </c>
      <c r="M16" s="217" t="s">
        <v>462</v>
      </c>
      <c r="N16" s="206">
        <v>8.5399999999999991</v>
      </c>
      <c r="O16" s="206">
        <v>8.4499999999999993</v>
      </c>
      <c r="P16" s="206">
        <v>8.5500000000000007</v>
      </c>
      <c r="Q16" s="206">
        <v>8.56</v>
      </c>
      <c r="R16" s="206">
        <v>0</v>
      </c>
      <c r="S16" s="206">
        <v>0</v>
      </c>
      <c r="T16" s="206">
        <v>9.14</v>
      </c>
      <c r="U16" s="206">
        <v>9.4700000000000006</v>
      </c>
      <c r="V16" s="206">
        <v>9.4700000000000006</v>
      </c>
      <c r="W16" s="206">
        <v>9.44</v>
      </c>
      <c r="X16" s="206">
        <v>9.5500000000000007</v>
      </c>
      <c r="Y16" s="206">
        <v>0</v>
      </c>
      <c r="Z16" s="206">
        <v>5.03</v>
      </c>
      <c r="AA16" s="206">
        <v>9.58</v>
      </c>
      <c r="AB16" s="206">
        <v>4.08</v>
      </c>
      <c r="AC16" s="206">
        <v>9.58</v>
      </c>
      <c r="AD16" s="206">
        <v>9.5</v>
      </c>
      <c r="AE16" s="206">
        <v>8.56</v>
      </c>
      <c r="AF16" s="206">
        <v>0</v>
      </c>
      <c r="AG16" s="206">
        <v>9.4600000000000009</v>
      </c>
      <c r="AH16" s="206">
        <v>8.5399999999999991</v>
      </c>
      <c r="AI16" s="206">
        <v>9.6</v>
      </c>
      <c r="AJ16" s="206">
        <v>9.57</v>
      </c>
      <c r="AK16" s="206">
        <v>9.5</v>
      </c>
      <c r="AL16" s="206">
        <v>9.56</v>
      </c>
      <c r="AM16" s="206">
        <v>0</v>
      </c>
      <c r="AN16" s="206">
        <v>9.6300000000000008</v>
      </c>
      <c r="AO16" s="206">
        <v>9.6199999999999992</v>
      </c>
      <c r="AP16" s="206">
        <v>9.57</v>
      </c>
      <c r="AQ16" s="206">
        <v>9.5399999999999991</v>
      </c>
      <c r="AR16" s="206">
        <v>9.57</v>
      </c>
      <c r="AS16" s="216" t="s">
        <v>462</v>
      </c>
      <c r="AT16" s="386">
        <v>25</v>
      </c>
      <c r="AU16" s="387">
        <v>25</v>
      </c>
      <c r="AV16" s="387">
        <v>0</v>
      </c>
      <c r="AW16" s="387">
        <v>0</v>
      </c>
      <c r="AX16" s="388">
        <v>0</v>
      </c>
      <c r="AY16" s="389">
        <v>2</v>
      </c>
      <c r="AZ16" t="s">
        <v>1623</v>
      </c>
      <c r="BA16" s="109"/>
      <c r="BB16" s="108"/>
      <c r="BC16" s="108"/>
      <c r="CX16"/>
      <c r="CY16"/>
      <c r="CZ16"/>
    </row>
    <row r="17" spans="4:104" ht="14.4" x14ac:dyDescent="0.3">
      <c r="D17" s="114"/>
      <c r="E17" s="105">
        <v>1025</v>
      </c>
      <c r="F17" s="111">
        <v>25</v>
      </c>
      <c r="G17" s="111">
        <v>25</v>
      </c>
      <c r="H17" s="111">
        <v>0</v>
      </c>
      <c r="I17" s="115">
        <v>2</v>
      </c>
      <c r="J17" s="111">
        <v>0</v>
      </c>
      <c r="K17" s="111">
        <v>0</v>
      </c>
      <c r="M17" s="217" t="s">
        <v>474</v>
      </c>
      <c r="N17" s="206">
        <v>8.5399999999999991</v>
      </c>
      <c r="O17" s="206">
        <v>8.49</v>
      </c>
      <c r="P17" s="206">
        <v>8.35</v>
      </c>
      <c r="Q17" s="206">
        <v>8.15</v>
      </c>
      <c r="R17" s="206">
        <v>3.52</v>
      </c>
      <c r="S17" s="206">
        <v>9.34</v>
      </c>
      <c r="T17" s="206">
        <v>6.45</v>
      </c>
      <c r="U17" s="206">
        <v>14.26</v>
      </c>
      <c r="V17" s="206">
        <v>9.65</v>
      </c>
      <c r="W17" s="206">
        <v>10.119999999999999</v>
      </c>
      <c r="X17" s="206">
        <v>4.34</v>
      </c>
      <c r="Y17" s="206">
        <v>7.48</v>
      </c>
      <c r="Z17" s="206">
        <v>10.08</v>
      </c>
      <c r="AA17" s="206">
        <v>10.85</v>
      </c>
      <c r="AB17" s="206">
        <v>9.48</v>
      </c>
      <c r="AC17" s="206">
        <v>0</v>
      </c>
      <c r="AD17" s="206">
        <v>9.43</v>
      </c>
      <c r="AE17" s="206">
        <v>8.59</v>
      </c>
      <c r="AF17" s="206">
        <v>0</v>
      </c>
      <c r="AG17" s="206">
        <v>10.25</v>
      </c>
      <c r="AH17" s="206">
        <v>10.93</v>
      </c>
      <c r="AI17" s="206">
        <v>9.86</v>
      </c>
      <c r="AJ17" s="206">
        <v>7.19</v>
      </c>
      <c r="AK17" s="206">
        <v>9.9</v>
      </c>
      <c r="AL17" s="206">
        <v>9.9</v>
      </c>
      <c r="AM17" s="206">
        <v>0</v>
      </c>
      <c r="AN17" s="206">
        <v>8.65</v>
      </c>
      <c r="AO17" s="206">
        <v>11.41</v>
      </c>
      <c r="AP17" s="206">
        <v>11.99</v>
      </c>
      <c r="AQ17" s="206">
        <v>14.36</v>
      </c>
      <c r="AR17" s="206">
        <v>13.71</v>
      </c>
      <c r="AS17" s="216" t="s">
        <v>474</v>
      </c>
      <c r="AT17" s="386">
        <v>27</v>
      </c>
      <c r="AU17" s="387">
        <v>25.5</v>
      </c>
      <c r="AV17" s="387">
        <v>0</v>
      </c>
      <c r="AW17" s="387">
        <v>1.5</v>
      </c>
      <c r="AX17" s="388">
        <v>0</v>
      </c>
      <c r="AY17" s="389">
        <v>1.5</v>
      </c>
      <c r="AZ17" t="s">
        <v>1623</v>
      </c>
      <c r="BA17" s="109"/>
      <c r="BB17" s="108"/>
      <c r="BC17" s="108"/>
      <c r="CX17"/>
      <c r="CY17"/>
      <c r="CZ17"/>
    </row>
    <row r="18" spans="4:104" ht="14.4" x14ac:dyDescent="0.3">
      <c r="D18" s="114"/>
      <c r="E18" s="105">
        <v>1030</v>
      </c>
      <c r="F18" s="111">
        <v>25</v>
      </c>
      <c r="G18" s="111">
        <v>25</v>
      </c>
      <c r="H18" s="111">
        <v>0</v>
      </c>
      <c r="I18" s="115">
        <v>2</v>
      </c>
      <c r="J18" s="111">
        <v>0</v>
      </c>
      <c r="K18" s="111">
        <v>0</v>
      </c>
      <c r="M18" s="217" t="s">
        <v>475</v>
      </c>
      <c r="N18" s="206">
        <v>8.58</v>
      </c>
      <c r="O18" s="206">
        <v>8.43</v>
      </c>
      <c r="P18" s="206">
        <v>8.3699999999999992</v>
      </c>
      <c r="Q18" s="206">
        <v>8.15</v>
      </c>
      <c r="R18" s="206">
        <v>3.53</v>
      </c>
      <c r="S18" s="206">
        <v>9.35</v>
      </c>
      <c r="T18" s="206">
        <v>11.3</v>
      </c>
      <c r="U18" s="206">
        <v>14.52</v>
      </c>
      <c r="V18" s="206">
        <v>9.1199999999999992</v>
      </c>
      <c r="W18" s="206">
        <v>14.89</v>
      </c>
      <c r="X18" s="206">
        <v>11.09</v>
      </c>
      <c r="Y18" s="206">
        <v>7.33</v>
      </c>
      <c r="Z18" s="206">
        <v>10.08</v>
      </c>
      <c r="AA18" s="206">
        <v>10.88</v>
      </c>
      <c r="AB18" s="206">
        <v>9.49</v>
      </c>
      <c r="AC18" s="206">
        <v>11.43</v>
      </c>
      <c r="AD18" s="206">
        <v>9.43</v>
      </c>
      <c r="AE18" s="206">
        <v>8.6199999999999992</v>
      </c>
      <c r="AF18" s="206">
        <v>7.38</v>
      </c>
      <c r="AG18" s="206">
        <v>10.28</v>
      </c>
      <c r="AH18" s="206">
        <v>14.96</v>
      </c>
      <c r="AI18" s="206">
        <v>9.4700000000000006</v>
      </c>
      <c r="AJ18" s="206">
        <v>9.4</v>
      </c>
      <c r="AK18" s="206">
        <v>9.9499999999999993</v>
      </c>
      <c r="AL18" s="206">
        <v>9.9</v>
      </c>
      <c r="AM18" s="206">
        <v>0</v>
      </c>
      <c r="AN18" s="206">
        <v>9.5399999999999991</v>
      </c>
      <c r="AO18" s="206">
        <v>11.46</v>
      </c>
      <c r="AP18" s="206">
        <v>11.92</v>
      </c>
      <c r="AQ18" s="206">
        <v>14.36</v>
      </c>
      <c r="AR18" s="206">
        <v>13.76</v>
      </c>
      <c r="AS18" s="216" t="s">
        <v>475</v>
      </c>
      <c r="AT18" s="386">
        <v>29.5</v>
      </c>
      <c r="AU18" s="387">
        <v>27</v>
      </c>
      <c r="AV18" s="387">
        <v>0</v>
      </c>
      <c r="AW18" s="387">
        <v>2.5</v>
      </c>
      <c r="AX18" s="388">
        <v>0</v>
      </c>
      <c r="AY18" s="389">
        <v>0</v>
      </c>
      <c r="AZ18" t="s">
        <v>1623</v>
      </c>
      <c r="BA18" s="109"/>
      <c r="BB18" s="108"/>
      <c r="BC18" s="108"/>
      <c r="CX18"/>
      <c r="CY18"/>
      <c r="CZ18"/>
    </row>
    <row r="19" spans="4:104" ht="14.4" x14ac:dyDescent="0.3">
      <c r="D19" s="114"/>
      <c r="E19" s="105">
        <v>1031</v>
      </c>
      <c r="F19" s="111">
        <v>27</v>
      </c>
      <c r="G19" s="111">
        <v>26</v>
      </c>
      <c r="H19" s="111">
        <v>0</v>
      </c>
      <c r="I19" s="115">
        <v>1</v>
      </c>
      <c r="J19" s="111">
        <v>1</v>
      </c>
      <c r="K19" s="111">
        <v>0</v>
      </c>
      <c r="M19" s="217" t="s">
        <v>479</v>
      </c>
      <c r="N19" s="206">
        <v>9.32</v>
      </c>
      <c r="O19" s="206">
        <v>9.2899999999999991</v>
      </c>
      <c r="P19" s="206">
        <v>9.51</v>
      </c>
      <c r="Q19" s="206">
        <v>10.63</v>
      </c>
      <c r="R19" s="206">
        <v>3.6</v>
      </c>
      <c r="S19" s="206">
        <v>9.08</v>
      </c>
      <c r="T19" s="206">
        <v>11.06</v>
      </c>
      <c r="U19" s="206">
        <v>11.24</v>
      </c>
      <c r="V19" s="206">
        <v>10.5</v>
      </c>
      <c r="W19" s="206">
        <v>10.07</v>
      </c>
      <c r="X19" s="206">
        <v>10.029999999999999</v>
      </c>
      <c r="Y19" s="206">
        <v>8.2100000000000009</v>
      </c>
      <c r="Z19" s="206">
        <v>10.86</v>
      </c>
      <c r="AA19" s="206">
        <v>9.5399999999999991</v>
      </c>
      <c r="AB19" s="206">
        <v>10.37</v>
      </c>
      <c r="AC19" s="206">
        <v>11.25</v>
      </c>
      <c r="AD19" s="206">
        <v>11.4</v>
      </c>
      <c r="AE19" s="206">
        <v>10.97</v>
      </c>
      <c r="AF19" s="206">
        <v>7.97</v>
      </c>
      <c r="AG19" s="206">
        <v>10.61</v>
      </c>
      <c r="AH19" s="206">
        <v>11.46</v>
      </c>
      <c r="AI19" s="206">
        <v>10.09</v>
      </c>
      <c r="AJ19" s="206">
        <v>10.130000000000001</v>
      </c>
      <c r="AK19" s="206">
        <v>11.05</v>
      </c>
      <c r="AL19" s="206">
        <v>10.47</v>
      </c>
      <c r="AM19" s="206">
        <v>0</v>
      </c>
      <c r="AN19" s="206">
        <v>9.93</v>
      </c>
      <c r="AO19" s="206">
        <v>11.91</v>
      </c>
      <c r="AP19" s="206">
        <v>12.5</v>
      </c>
      <c r="AQ19" s="206">
        <v>15.09</v>
      </c>
      <c r="AR19" s="206">
        <v>14.72</v>
      </c>
      <c r="AS19" s="216" t="s">
        <v>479</v>
      </c>
      <c r="AT19" s="386">
        <v>29.5</v>
      </c>
      <c r="AU19" s="387">
        <v>27</v>
      </c>
      <c r="AV19" s="387">
        <v>0</v>
      </c>
      <c r="AW19" s="387">
        <v>2.5</v>
      </c>
      <c r="AX19" s="388">
        <v>0</v>
      </c>
      <c r="AY19" s="389">
        <v>0</v>
      </c>
      <c r="AZ19" t="s">
        <v>1623</v>
      </c>
      <c r="BA19" s="109"/>
      <c r="BB19" s="108"/>
      <c r="BC19" s="108"/>
      <c r="CX19"/>
      <c r="CY19"/>
      <c r="CZ19"/>
    </row>
    <row r="20" spans="4:104" ht="14.4" x14ac:dyDescent="0.3">
      <c r="D20" s="114"/>
      <c r="E20" s="105">
        <v>1035</v>
      </c>
      <c r="F20" s="111">
        <v>0</v>
      </c>
      <c r="G20" s="111">
        <v>0</v>
      </c>
      <c r="H20" s="111">
        <v>0</v>
      </c>
      <c r="I20" s="115">
        <v>27</v>
      </c>
      <c r="J20" s="111">
        <v>0</v>
      </c>
      <c r="K20" s="111">
        <v>0</v>
      </c>
      <c r="M20" s="217" t="s">
        <v>482</v>
      </c>
      <c r="N20" s="206">
        <v>8.43</v>
      </c>
      <c r="O20" s="206">
        <v>7.98</v>
      </c>
      <c r="P20" s="206">
        <v>8.5299999999999994</v>
      </c>
      <c r="Q20" s="206">
        <v>8.4499999999999993</v>
      </c>
      <c r="R20" s="206">
        <v>0</v>
      </c>
      <c r="S20" s="206">
        <v>8.57</v>
      </c>
      <c r="T20" s="206">
        <v>9.4499999999999993</v>
      </c>
      <c r="U20" s="206">
        <v>9.4600000000000009</v>
      </c>
      <c r="V20" s="206">
        <v>9.4</v>
      </c>
      <c r="W20" s="206">
        <v>9.41</v>
      </c>
      <c r="X20" s="206">
        <v>9.4499999999999993</v>
      </c>
      <c r="Y20" s="206">
        <v>0</v>
      </c>
      <c r="Z20" s="206">
        <v>9.4</v>
      </c>
      <c r="AA20" s="206">
        <v>9.5299999999999994</v>
      </c>
      <c r="AB20" s="206">
        <v>9.4600000000000009</v>
      </c>
      <c r="AC20" s="206">
        <v>8.85</v>
      </c>
      <c r="AD20" s="206">
        <v>9.5500000000000007</v>
      </c>
      <c r="AE20" s="206">
        <v>8.5399999999999991</v>
      </c>
      <c r="AF20" s="206">
        <v>7.53</v>
      </c>
      <c r="AG20" s="206">
        <v>9.52</v>
      </c>
      <c r="AH20" s="206">
        <v>8.4600000000000009</v>
      </c>
      <c r="AI20" s="206">
        <v>9.5</v>
      </c>
      <c r="AJ20" s="206">
        <v>9.4700000000000006</v>
      </c>
      <c r="AK20" s="206">
        <v>9.43</v>
      </c>
      <c r="AL20" s="206">
        <v>9.5500000000000007</v>
      </c>
      <c r="AM20" s="206">
        <v>0</v>
      </c>
      <c r="AN20" s="206">
        <v>9.57</v>
      </c>
      <c r="AO20" s="206">
        <v>9.43</v>
      </c>
      <c r="AP20" s="206">
        <v>9.4499999999999993</v>
      </c>
      <c r="AQ20" s="206">
        <v>9.43</v>
      </c>
      <c r="AR20" s="206">
        <v>9.4499999999999993</v>
      </c>
      <c r="AS20" s="216" t="s">
        <v>482</v>
      </c>
      <c r="AT20" s="386">
        <v>28</v>
      </c>
      <c r="AU20" s="387">
        <v>27</v>
      </c>
      <c r="AV20" s="387">
        <v>0</v>
      </c>
      <c r="AW20" s="387">
        <v>1</v>
      </c>
      <c r="AX20" s="388">
        <v>0</v>
      </c>
      <c r="AY20" s="389">
        <v>0</v>
      </c>
      <c r="AZ20" t="s">
        <v>1623</v>
      </c>
      <c r="BA20" s="109"/>
      <c r="BB20" s="108"/>
      <c r="BC20" s="108"/>
      <c r="CX20"/>
      <c r="CY20"/>
      <c r="CZ20"/>
    </row>
    <row r="21" spans="4:104" ht="14.4" x14ac:dyDescent="0.3">
      <c r="D21" s="114"/>
      <c r="E21" s="105">
        <v>1092</v>
      </c>
      <c r="F21" s="111">
        <v>27</v>
      </c>
      <c r="G21" s="111">
        <v>27</v>
      </c>
      <c r="H21" s="111">
        <v>0</v>
      </c>
      <c r="I21" s="115">
        <v>0</v>
      </c>
      <c r="J21" s="111">
        <v>0</v>
      </c>
      <c r="K21" s="111">
        <v>0</v>
      </c>
      <c r="M21" s="213" t="s">
        <v>601</v>
      </c>
      <c r="N21" s="206">
        <v>9.08</v>
      </c>
      <c r="O21" s="206">
        <v>11.17</v>
      </c>
      <c r="P21" s="206">
        <v>11.71</v>
      </c>
      <c r="Q21" s="206">
        <v>9.42</v>
      </c>
      <c r="R21" s="206">
        <v>0</v>
      </c>
      <c r="S21" s="206">
        <v>9.98</v>
      </c>
      <c r="T21" s="206">
        <v>11.58</v>
      </c>
      <c r="U21" s="206">
        <v>16.46</v>
      </c>
      <c r="V21" s="206">
        <v>11.8</v>
      </c>
      <c r="W21" s="206">
        <v>9.15</v>
      </c>
      <c r="X21" s="206">
        <v>8.66</v>
      </c>
      <c r="Y21" s="206">
        <v>0</v>
      </c>
      <c r="Z21" s="206">
        <v>11.84</v>
      </c>
      <c r="AA21" s="206">
        <v>4.03</v>
      </c>
      <c r="AB21" s="206">
        <v>11.43</v>
      </c>
      <c r="AC21" s="206">
        <v>11.65</v>
      </c>
      <c r="AD21" s="206">
        <v>11.44</v>
      </c>
      <c r="AE21" s="206">
        <v>11.04</v>
      </c>
      <c r="AF21" s="206">
        <v>8.1300000000000008</v>
      </c>
      <c r="AG21" s="206">
        <v>3.97</v>
      </c>
      <c r="AH21" s="206">
        <v>11.51</v>
      </c>
      <c r="AI21" s="206">
        <v>12.81</v>
      </c>
      <c r="AJ21" s="206">
        <v>11.64</v>
      </c>
      <c r="AK21" s="206">
        <v>11.56</v>
      </c>
      <c r="AL21" s="206">
        <v>10.08</v>
      </c>
      <c r="AM21" s="206">
        <v>0</v>
      </c>
      <c r="AN21" s="206">
        <v>11.18</v>
      </c>
      <c r="AO21" s="206">
        <v>15.58</v>
      </c>
      <c r="AP21" s="206">
        <v>12.56</v>
      </c>
      <c r="AQ21" s="206">
        <v>15.17</v>
      </c>
      <c r="AR21" s="206">
        <v>14.83</v>
      </c>
      <c r="AS21" s="213" t="s">
        <v>601</v>
      </c>
      <c r="AT21" s="386">
        <v>27</v>
      </c>
      <c r="AU21" s="387">
        <v>26</v>
      </c>
      <c r="AV21" s="387">
        <v>0</v>
      </c>
      <c r="AW21" s="387">
        <v>1</v>
      </c>
      <c r="AX21" s="388">
        <v>0</v>
      </c>
      <c r="AY21" s="389">
        <v>1</v>
      </c>
      <c r="AZ21" t="s">
        <v>1623</v>
      </c>
      <c r="BA21" s="109"/>
      <c r="BB21" s="108"/>
      <c r="BC21" s="108"/>
      <c r="CX21"/>
      <c r="CY21"/>
      <c r="CZ21"/>
    </row>
    <row r="22" spans="4:104" ht="14.4" x14ac:dyDescent="0.3">
      <c r="D22" s="114"/>
      <c r="E22" s="105">
        <v>1094</v>
      </c>
      <c r="F22" s="111">
        <v>27</v>
      </c>
      <c r="G22" s="111">
        <v>25.5</v>
      </c>
      <c r="H22" s="111">
        <v>0</v>
      </c>
      <c r="I22" s="115">
        <v>1.5</v>
      </c>
      <c r="J22" s="111">
        <v>1.5</v>
      </c>
      <c r="K22" s="111">
        <v>0</v>
      </c>
      <c r="M22" s="213" t="s">
        <v>611</v>
      </c>
      <c r="N22" s="206">
        <v>0</v>
      </c>
      <c r="O22" s="206">
        <v>0</v>
      </c>
      <c r="P22" s="206">
        <v>0</v>
      </c>
      <c r="Q22" s="206">
        <v>0</v>
      </c>
      <c r="R22" s="206">
        <v>0</v>
      </c>
      <c r="S22" s="206">
        <v>0</v>
      </c>
      <c r="T22" s="206">
        <v>0</v>
      </c>
      <c r="U22" s="206">
        <v>0</v>
      </c>
      <c r="V22" s="206">
        <v>0</v>
      </c>
      <c r="W22" s="206">
        <v>0</v>
      </c>
      <c r="X22" s="206">
        <v>0</v>
      </c>
      <c r="Y22" s="206">
        <v>0</v>
      </c>
      <c r="Z22" s="206">
        <v>0</v>
      </c>
      <c r="AA22" s="206">
        <v>0</v>
      </c>
      <c r="AB22" s="206">
        <v>0</v>
      </c>
      <c r="AC22" s="206">
        <v>0</v>
      </c>
      <c r="AD22" s="206">
        <v>0</v>
      </c>
      <c r="AE22" s="206">
        <v>0</v>
      </c>
      <c r="AF22" s="206">
        <v>0</v>
      </c>
      <c r="AG22" s="206">
        <v>0</v>
      </c>
      <c r="AH22" s="206">
        <v>0</v>
      </c>
      <c r="AI22" s="206">
        <v>0</v>
      </c>
      <c r="AJ22" s="206">
        <v>0</v>
      </c>
      <c r="AK22" s="206">
        <v>0</v>
      </c>
      <c r="AL22" s="206">
        <v>0</v>
      </c>
      <c r="AM22" s="206">
        <v>0</v>
      </c>
      <c r="AN22" s="206">
        <v>0</v>
      </c>
      <c r="AO22" s="206">
        <v>0</v>
      </c>
      <c r="AP22" s="206">
        <v>0</v>
      </c>
      <c r="AQ22" s="206">
        <v>0</v>
      </c>
      <c r="AR22" s="206">
        <v>0</v>
      </c>
      <c r="AS22" s="213" t="s">
        <v>611</v>
      </c>
      <c r="AT22" s="386">
        <v>0</v>
      </c>
      <c r="AU22" s="387">
        <v>0</v>
      </c>
      <c r="AV22" s="387">
        <v>0</v>
      </c>
      <c r="AW22" s="387">
        <v>0</v>
      </c>
      <c r="AX22" s="388">
        <v>0</v>
      </c>
      <c r="AY22" s="389">
        <v>27</v>
      </c>
      <c r="AZ22" t="s">
        <v>1623</v>
      </c>
      <c r="CX22"/>
      <c r="CY22"/>
      <c r="CZ22"/>
    </row>
    <row r="23" spans="4:104" ht="14.4" x14ac:dyDescent="0.3">
      <c r="D23" s="114"/>
      <c r="E23" s="105">
        <v>5002</v>
      </c>
      <c r="F23" s="111">
        <v>29.5</v>
      </c>
      <c r="G23" s="111">
        <v>27</v>
      </c>
      <c r="H23" s="111">
        <v>0</v>
      </c>
      <c r="I23" s="115">
        <v>0</v>
      </c>
      <c r="J23" s="111">
        <v>2.5</v>
      </c>
      <c r="K23" s="111">
        <v>0</v>
      </c>
      <c r="M23" s="213" t="s">
        <v>1604</v>
      </c>
      <c r="N23" s="206">
        <v>0</v>
      </c>
      <c r="O23" s="206">
        <v>0</v>
      </c>
      <c r="P23" s="206">
        <v>0</v>
      </c>
      <c r="Q23" s="206">
        <v>0</v>
      </c>
      <c r="R23" s="206">
        <v>0</v>
      </c>
      <c r="S23" s="206">
        <v>0</v>
      </c>
      <c r="T23" s="206">
        <v>0</v>
      </c>
      <c r="U23" s="206">
        <v>0</v>
      </c>
      <c r="V23" s="206">
        <v>0</v>
      </c>
      <c r="W23" s="206">
        <v>0</v>
      </c>
      <c r="X23" s="206">
        <v>0</v>
      </c>
      <c r="Y23" s="206">
        <v>0</v>
      </c>
      <c r="Z23" s="206">
        <v>0</v>
      </c>
      <c r="AA23" s="206">
        <v>0</v>
      </c>
      <c r="AB23" s="206">
        <v>0</v>
      </c>
      <c r="AC23" s="206">
        <v>0</v>
      </c>
      <c r="AD23" s="206">
        <v>0</v>
      </c>
      <c r="AE23" s="206">
        <v>0</v>
      </c>
      <c r="AF23" s="206">
        <v>0</v>
      </c>
      <c r="AG23" s="206">
        <v>0</v>
      </c>
      <c r="AH23" s="206">
        <v>0</v>
      </c>
      <c r="AI23" s="206">
        <v>0</v>
      </c>
      <c r="AJ23" s="206">
        <v>0</v>
      </c>
      <c r="AK23" s="206">
        <v>0</v>
      </c>
      <c r="AL23" s="206">
        <v>0</v>
      </c>
      <c r="AM23" s="206">
        <v>0</v>
      </c>
      <c r="AN23" s="206">
        <v>0</v>
      </c>
      <c r="AO23" s="206">
        <v>9.5</v>
      </c>
      <c r="AP23" s="206">
        <v>9.5</v>
      </c>
      <c r="AQ23" s="206">
        <v>9.5</v>
      </c>
      <c r="AR23" s="206">
        <v>9.5</v>
      </c>
      <c r="AS23" s="213" t="s">
        <v>1604</v>
      </c>
      <c r="AT23" s="386">
        <v>4</v>
      </c>
      <c r="AU23" s="387">
        <v>4</v>
      </c>
      <c r="AV23" s="387">
        <v>0</v>
      </c>
      <c r="AW23" s="387">
        <v>0</v>
      </c>
      <c r="AX23" s="388">
        <v>0</v>
      </c>
      <c r="AY23" s="389">
        <v>23</v>
      </c>
      <c r="AZ23" t="s">
        <v>1623</v>
      </c>
      <c r="BA23" s="109"/>
      <c r="BB23" s="108"/>
      <c r="BC23" s="108"/>
      <c r="CX23"/>
      <c r="CY23"/>
      <c r="CZ23"/>
    </row>
    <row r="24" spans="4:104" ht="14.4" x14ac:dyDescent="0.3">
      <c r="D24" s="114"/>
      <c r="E24" s="105">
        <v>5006</v>
      </c>
      <c r="F24" s="111">
        <v>25</v>
      </c>
      <c r="G24" s="111">
        <v>24</v>
      </c>
      <c r="H24" s="111">
        <v>0</v>
      </c>
      <c r="I24" s="115">
        <v>3</v>
      </c>
      <c r="J24" s="111">
        <v>1</v>
      </c>
      <c r="K24" s="111">
        <v>0</v>
      </c>
      <c r="M24" s="213" t="s">
        <v>1606</v>
      </c>
      <c r="N24" s="206">
        <v>15.59</v>
      </c>
      <c r="O24" s="206">
        <v>0</v>
      </c>
      <c r="P24" s="206">
        <v>0</v>
      </c>
      <c r="Q24" s="206">
        <v>0</v>
      </c>
      <c r="R24" s="206">
        <v>0</v>
      </c>
      <c r="S24" s="206">
        <v>0</v>
      </c>
      <c r="T24" s="206">
        <v>0</v>
      </c>
      <c r="U24" s="206">
        <v>0</v>
      </c>
      <c r="V24" s="206">
        <v>0</v>
      </c>
      <c r="W24" s="206">
        <v>0</v>
      </c>
      <c r="X24" s="206">
        <v>0</v>
      </c>
      <c r="Y24" s="206">
        <v>0</v>
      </c>
      <c r="Z24" s="206">
        <v>0</v>
      </c>
      <c r="AA24" s="206">
        <v>0</v>
      </c>
      <c r="AB24" s="206">
        <v>0</v>
      </c>
      <c r="AC24" s="206">
        <v>0</v>
      </c>
      <c r="AD24" s="206">
        <v>0</v>
      </c>
      <c r="AE24" s="206">
        <v>0</v>
      </c>
      <c r="AF24" s="206">
        <v>0</v>
      </c>
      <c r="AG24" s="206">
        <v>0</v>
      </c>
      <c r="AH24" s="206">
        <v>0</v>
      </c>
      <c r="AI24" s="206">
        <v>0</v>
      </c>
      <c r="AJ24" s="206">
        <v>0</v>
      </c>
      <c r="AK24" s="206">
        <v>0</v>
      </c>
      <c r="AL24" s="206">
        <v>0</v>
      </c>
      <c r="AM24" s="206">
        <v>0</v>
      </c>
      <c r="AN24" s="206">
        <v>0</v>
      </c>
      <c r="AO24" s="206">
        <v>9.5</v>
      </c>
      <c r="AP24" s="206">
        <v>9.5</v>
      </c>
      <c r="AQ24" s="206">
        <v>9.5</v>
      </c>
      <c r="AR24" s="206">
        <v>9.5</v>
      </c>
      <c r="AS24" s="213" t="s">
        <v>1606</v>
      </c>
      <c r="AT24" s="386">
        <v>5</v>
      </c>
      <c r="AU24" s="387">
        <v>5</v>
      </c>
      <c r="AV24" s="387">
        <v>0</v>
      </c>
      <c r="AW24" s="387">
        <v>0</v>
      </c>
      <c r="AX24" s="388">
        <v>0</v>
      </c>
      <c r="AY24" s="389">
        <v>22</v>
      </c>
      <c r="AZ24" t="s">
        <v>1623</v>
      </c>
      <c r="BA24" s="109"/>
      <c r="CX24"/>
      <c r="CY24"/>
      <c r="CZ24"/>
    </row>
    <row r="25" spans="4:104" ht="14.4" x14ac:dyDescent="0.3">
      <c r="D25" s="114"/>
      <c r="E25" s="105">
        <v>5055</v>
      </c>
      <c r="F25" s="111">
        <v>25.5</v>
      </c>
      <c r="G25" s="111">
        <v>24.5</v>
      </c>
      <c r="H25" s="111">
        <v>0</v>
      </c>
      <c r="I25" s="115">
        <v>2.5</v>
      </c>
      <c r="J25" s="111">
        <v>1</v>
      </c>
      <c r="K25" s="111">
        <v>0</v>
      </c>
      <c r="M25" s="213" t="s">
        <v>1607</v>
      </c>
      <c r="N25" s="206">
        <v>0</v>
      </c>
      <c r="O25" s="206">
        <v>0</v>
      </c>
      <c r="P25" s="206">
        <v>0</v>
      </c>
      <c r="Q25" s="206">
        <v>0</v>
      </c>
      <c r="R25" s="206">
        <v>0</v>
      </c>
      <c r="S25" s="206">
        <v>0</v>
      </c>
      <c r="T25" s="206">
        <v>0</v>
      </c>
      <c r="U25" s="206">
        <v>0</v>
      </c>
      <c r="V25" s="206">
        <v>0</v>
      </c>
      <c r="W25" s="206">
        <v>0</v>
      </c>
      <c r="X25" s="206">
        <v>0</v>
      </c>
      <c r="Y25" s="206">
        <v>0</v>
      </c>
      <c r="Z25" s="206">
        <v>0</v>
      </c>
      <c r="AA25" s="206">
        <v>0</v>
      </c>
      <c r="AB25" s="206">
        <v>0</v>
      </c>
      <c r="AC25" s="206">
        <v>0</v>
      </c>
      <c r="AD25" s="206">
        <v>0</v>
      </c>
      <c r="AE25" s="206">
        <v>0</v>
      </c>
      <c r="AF25" s="206">
        <v>0</v>
      </c>
      <c r="AG25" s="206">
        <v>0</v>
      </c>
      <c r="AH25" s="206">
        <v>0</v>
      </c>
      <c r="AI25" s="206">
        <v>0</v>
      </c>
      <c r="AJ25" s="206">
        <v>0</v>
      </c>
      <c r="AK25" s="206">
        <v>9.17</v>
      </c>
      <c r="AL25" s="206">
        <v>9.17</v>
      </c>
      <c r="AM25" s="206">
        <v>0</v>
      </c>
      <c r="AN25" s="206">
        <v>9.58</v>
      </c>
      <c r="AO25" s="206">
        <v>9.5</v>
      </c>
      <c r="AP25" s="206">
        <v>9.5</v>
      </c>
      <c r="AQ25" s="206">
        <v>9.5</v>
      </c>
      <c r="AR25" s="206">
        <v>9.5</v>
      </c>
      <c r="AS25" s="213" t="s">
        <v>1607</v>
      </c>
      <c r="AT25" s="386">
        <v>7</v>
      </c>
      <c r="AU25" s="392">
        <v>7</v>
      </c>
      <c r="AV25" s="387">
        <v>0</v>
      </c>
      <c r="AW25" s="387">
        <v>0</v>
      </c>
      <c r="AX25" s="388">
        <v>0</v>
      </c>
      <c r="AY25" s="389">
        <v>20</v>
      </c>
      <c r="AZ25" t="s">
        <v>1623</v>
      </c>
      <c r="BA25" s="109"/>
      <c r="BB25" s="108"/>
      <c r="BC25" s="108"/>
      <c r="CX25"/>
      <c r="CY25"/>
      <c r="CZ25"/>
    </row>
    <row r="26" spans="4:104" ht="14.4" x14ac:dyDescent="0.3">
      <c r="D26" s="114"/>
      <c r="E26" s="105">
        <v>5080</v>
      </c>
      <c r="F26" s="111">
        <v>29.5</v>
      </c>
      <c r="G26" s="111">
        <v>27</v>
      </c>
      <c r="H26" s="111">
        <v>0</v>
      </c>
      <c r="I26" s="115">
        <v>0</v>
      </c>
      <c r="J26" s="111">
        <v>2.5</v>
      </c>
      <c r="K26" s="111">
        <v>0</v>
      </c>
      <c r="M26" s="214" t="s">
        <v>461</v>
      </c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5"/>
      <c r="AK26" s="215"/>
      <c r="AL26" s="215"/>
      <c r="AM26" s="215"/>
      <c r="AN26" s="215"/>
      <c r="AO26" s="215"/>
      <c r="AP26" s="215"/>
      <c r="AQ26" s="215"/>
      <c r="AR26" s="215"/>
      <c r="AS26" s="216" t="s">
        <v>461</v>
      </c>
      <c r="AT26" s="386"/>
      <c r="AU26" s="387"/>
      <c r="AV26" s="387"/>
      <c r="AW26" s="387"/>
      <c r="AX26" s="388"/>
      <c r="AY26" s="389"/>
      <c r="BA26" s="109"/>
      <c r="BB26" s="108"/>
      <c r="BC26" s="108"/>
      <c r="CX26"/>
      <c r="CY26"/>
      <c r="CZ26"/>
    </row>
    <row r="27" spans="4:104" ht="14.4" x14ac:dyDescent="0.3">
      <c r="D27" s="114"/>
      <c r="E27" s="105">
        <v>5082</v>
      </c>
      <c r="F27" s="111">
        <v>25</v>
      </c>
      <c r="G27" s="111">
        <v>24</v>
      </c>
      <c r="H27" s="111">
        <v>0</v>
      </c>
      <c r="I27" s="115">
        <v>3</v>
      </c>
      <c r="J27" s="111">
        <v>1</v>
      </c>
      <c r="K27" s="111">
        <v>0</v>
      </c>
      <c r="M27" s="213" t="s">
        <v>763</v>
      </c>
      <c r="N27" s="206">
        <v>8</v>
      </c>
      <c r="O27" s="206">
        <v>8.43</v>
      </c>
      <c r="P27" s="206">
        <v>8</v>
      </c>
      <c r="Q27" s="206">
        <v>8</v>
      </c>
      <c r="R27" s="206">
        <v>8</v>
      </c>
      <c r="S27" s="206">
        <v>7.53</v>
      </c>
      <c r="T27" s="206">
        <v>0</v>
      </c>
      <c r="U27" s="206">
        <v>7.32</v>
      </c>
      <c r="V27" s="206">
        <v>7.86</v>
      </c>
      <c r="W27" s="206">
        <v>7.56</v>
      </c>
      <c r="X27" s="206">
        <v>8.08</v>
      </c>
      <c r="Y27" s="206">
        <v>0</v>
      </c>
      <c r="Z27" s="206">
        <v>14</v>
      </c>
      <c r="AA27" s="206">
        <v>7.8</v>
      </c>
      <c r="AB27" s="206">
        <v>4.41</v>
      </c>
      <c r="AC27" s="206">
        <v>7.57</v>
      </c>
      <c r="AD27" s="206">
        <v>8.51</v>
      </c>
      <c r="AE27" s="206">
        <v>7.6</v>
      </c>
      <c r="AF27" s="206">
        <v>7.17</v>
      </c>
      <c r="AG27" s="206">
        <v>7.92</v>
      </c>
      <c r="AH27" s="206">
        <v>8.7799999999999994</v>
      </c>
      <c r="AI27" s="206">
        <v>7.51</v>
      </c>
      <c r="AJ27" s="206">
        <v>9.11</v>
      </c>
      <c r="AK27" s="206">
        <v>7.58</v>
      </c>
      <c r="AL27" s="206">
        <v>6.9</v>
      </c>
      <c r="AM27" s="206">
        <v>0</v>
      </c>
      <c r="AN27" s="206">
        <v>7.53</v>
      </c>
      <c r="AO27" s="206">
        <v>7.94</v>
      </c>
      <c r="AP27" s="206">
        <v>7.51</v>
      </c>
      <c r="AQ27" s="206">
        <v>7.98</v>
      </c>
      <c r="AR27" s="206">
        <v>6.33</v>
      </c>
      <c r="AS27" s="213" t="s">
        <v>763</v>
      </c>
      <c r="AT27" s="386">
        <v>27.5</v>
      </c>
      <c r="AU27" s="387">
        <v>25.5</v>
      </c>
      <c r="AV27" s="387">
        <v>0</v>
      </c>
      <c r="AW27" s="387">
        <v>2</v>
      </c>
      <c r="AX27" s="388">
        <v>0</v>
      </c>
      <c r="AY27" s="389">
        <v>1.5</v>
      </c>
      <c r="AZ27" t="s">
        <v>1623</v>
      </c>
      <c r="BA27" s="109"/>
      <c r="BB27" s="108"/>
      <c r="BC27" s="108"/>
      <c r="CX27"/>
      <c r="CY27"/>
      <c r="CZ27"/>
    </row>
    <row r="28" spans="4:104" ht="14.4" x14ac:dyDescent="0.3">
      <c r="D28" s="114"/>
      <c r="E28" s="105">
        <v>5086</v>
      </c>
      <c r="F28" s="111">
        <v>28</v>
      </c>
      <c r="G28" s="111">
        <v>27</v>
      </c>
      <c r="H28" s="111">
        <v>0</v>
      </c>
      <c r="I28" s="115">
        <v>0</v>
      </c>
      <c r="J28" s="111">
        <v>1</v>
      </c>
      <c r="K28" s="111">
        <v>0</v>
      </c>
      <c r="M28" s="214" t="s">
        <v>413</v>
      </c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15"/>
      <c r="AA28" s="215"/>
      <c r="AB28" s="215"/>
      <c r="AC28" s="215"/>
      <c r="AD28" s="215"/>
      <c r="AE28" s="215"/>
      <c r="AF28" s="215"/>
      <c r="AG28" s="215"/>
      <c r="AH28" s="215"/>
      <c r="AI28" s="215"/>
      <c r="AJ28" s="215"/>
      <c r="AK28" s="215"/>
      <c r="AL28" s="215"/>
      <c r="AM28" s="215"/>
      <c r="AN28" s="215"/>
      <c r="AO28" s="215"/>
      <c r="AP28" s="215"/>
      <c r="AQ28" s="215"/>
      <c r="AR28" s="215"/>
      <c r="AS28" s="216" t="s">
        <v>413</v>
      </c>
      <c r="AT28" s="386"/>
      <c r="AU28" s="387"/>
      <c r="AV28" s="387"/>
      <c r="AW28" s="387"/>
      <c r="AX28" s="388"/>
      <c r="AY28" s="389"/>
      <c r="BA28" s="109"/>
      <c r="BB28" s="108"/>
      <c r="BC28" s="108"/>
      <c r="CX28"/>
      <c r="CY28"/>
      <c r="CZ28"/>
    </row>
    <row r="29" spans="4:104" ht="14.4" x14ac:dyDescent="0.3">
      <c r="D29" s="114"/>
      <c r="E29" s="105">
        <v>5087</v>
      </c>
      <c r="F29" s="111">
        <v>27</v>
      </c>
      <c r="G29" s="111">
        <v>26</v>
      </c>
      <c r="H29" s="111">
        <v>0</v>
      </c>
      <c r="I29" s="115">
        <v>1</v>
      </c>
      <c r="J29" s="111">
        <v>1</v>
      </c>
      <c r="K29" s="111">
        <v>0</v>
      </c>
      <c r="M29" s="217" t="s">
        <v>423</v>
      </c>
      <c r="N29" s="206">
        <v>8.5399999999999991</v>
      </c>
      <c r="O29" s="206">
        <v>8.43</v>
      </c>
      <c r="P29" s="206">
        <v>4.08</v>
      </c>
      <c r="Q29" s="206">
        <v>8.41</v>
      </c>
      <c r="R29" s="206">
        <v>0</v>
      </c>
      <c r="S29" s="206">
        <v>8.58</v>
      </c>
      <c r="T29" s="206">
        <v>8.83</v>
      </c>
      <c r="U29" s="206">
        <v>8.61</v>
      </c>
      <c r="V29" s="206">
        <v>8.59</v>
      </c>
      <c r="W29" s="206">
        <v>8.26</v>
      </c>
      <c r="X29" s="206">
        <v>8.58</v>
      </c>
      <c r="Y29" s="206">
        <v>0</v>
      </c>
      <c r="Z29" s="206">
        <v>8.5500000000000007</v>
      </c>
      <c r="AA29" s="206">
        <v>8.59</v>
      </c>
      <c r="AB29" s="206">
        <v>8.49</v>
      </c>
      <c r="AC29" s="206">
        <v>8.5399999999999991</v>
      </c>
      <c r="AD29" s="206">
        <v>8.64</v>
      </c>
      <c r="AE29" s="206">
        <v>8.64</v>
      </c>
      <c r="AF29" s="206">
        <v>7.19</v>
      </c>
      <c r="AG29" s="206">
        <v>8.65</v>
      </c>
      <c r="AH29" s="206">
        <v>8.64</v>
      </c>
      <c r="AI29" s="206">
        <v>8.56</v>
      </c>
      <c r="AJ29" s="206">
        <v>8.61</v>
      </c>
      <c r="AK29" s="206">
        <v>8.3800000000000008</v>
      </c>
      <c r="AL29" s="206">
        <v>8.35</v>
      </c>
      <c r="AM29" s="206">
        <v>0</v>
      </c>
      <c r="AN29" s="206">
        <v>6.98</v>
      </c>
      <c r="AO29" s="206">
        <v>11.26</v>
      </c>
      <c r="AP29" s="206">
        <v>8.5399999999999991</v>
      </c>
      <c r="AQ29" s="206">
        <v>8.5399999999999991</v>
      </c>
      <c r="AR29" s="206">
        <v>0.15</v>
      </c>
      <c r="AS29" s="216" t="s">
        <v>423</v>
      </c>
      <c r="AT29" s="386">
        <v>26.5</v>
      </c>
      <c r="AU29" s="387">
        <v>25.5</v>
      </c>
      <c r="AV29" s="387">
        <v>0</v>
      </c>
      <c r="AW29" s="387">
        <v>1</v>
      </c>
      <c r="AX29" s="388">
        <v>0</v>
      </c>
      <c r="AY29" s="389">
        <v>1.5</v>
      </c>
      <c r="AZ29" t="s">
        <v>1623</v>
      </c>
      <c r="BA29" s="109"/>
      <c r="BB29" s="108"/>
      <c r="BC29" s="108"/>
      <c r="CX29"/>
      <c r="CY29"/>
      <c r="CZ29"/>
    </row>
    <row r="30" spans="4:104" ht="14.4" x14ac:dyDescent="0.3">
      <c r="D30" s="114"/>
      <c r="E30" s="105">
        <v>5089</v>
      </c>
      <c r="F30" s="111">
        <v>26</v>
      </c>
      <c r="G30" s="111">
        <v>24.5</v>
      </c>
      <c r="H30" s="111">
        <v>0</v>
      </c>
      <c r="I30" s="115">
        <v>2.5</v>
      </c>
      <c r="J30" s="111">
        <v>1.5</v>
      </c>
      <c r="K30" s="111">
        <v>0</v>
      </c>
      <c r="M30" s="217" t="s">
        <v>427</v>
      </c>
      <c r="N30" s="206">
        <v>8.2799999999999994</v>
      </c>
      <c r="O30" s="206">
        <v>3.69</v>
      </c>
      <c r="P30" s="206">
        <v>8.7899999999999991</v>
      </c>
      <c r="Q30" s="206">
        <v>8.6999999999999993</v>
      </c>
      <c r="R30" s="206">
        <v>0</v>
      </c>
      <c r="S30" s="206">
        <v>8.77</v>
      </c>
      <c r="T30" s="206">
        <v>8.64</v>
      </c>
      <c r="U30" s="206">
        <v>8.76</v>
      </c>
      <c r="V30" s="206">
        <v>8.76</v>
      </c>
      <c r="W30" s="206">
        <v>8.76</v>
      </c>
      <c r="X30" s="206">
        <v>8.5299999999999994</v>
      </c>
      <c r="Y30" s="206">
        <v>0</v>
      </c>
      <c r="Z30" s="206">
        <v>0</v>
      </c>
      <c r="AA30" s="206">
        <v>0</v>
      </c>
      <c r="AB30" s="206">
        <v>8.82</v>
      </c>
      <c r="AC30" s="206">
        <v>8.68</v>
      </c>
      <c r="AD30" s="206">
        <v>8.6300000000000008</v>
      </c>
      <c r="AE30" s="206">
        <v>8.69</v>
      </c>
      <c r="AF30" s="206">
        <v>0</v>
      </c>
      <c r="AG30" s="206">
        <v>0</v>
      </c>
      <c r="AH30" s="206">
        <v>8.75</v>
      </c>
      <c r="AI30" s="206">
        <v>8.6300000000000008</v>
      </c>
      <c r="AJ30" s="206">
        <v>8.8699999999999992</v>
      </c>
      <c r="AK30" s="206">
        <v>7.54</v>
      </c>
      <c r="AL30" s="206">
        <v>8.51</v>
      </c>
      <c r="AM30" s="206">
        <v>0</v>
      </c>
      <c r="AN30" s="206">
        <v>8.69</v>
      </c>
      <c r="AO30" s="206">
        <v>0</v>
      </c>
      <c r="AP30" s="206">
        <v>0</v>
      </c>
      <c r="AQ30" s="206">
        <v>8.8000000000000007</v>
      </c>
      <c r="AR30" s="206">
        <v>8.68</v>
      </c>
      <c r="AS30" s="216" t="s">
        <v>427</v>
      </c>
      <c r="AT30" s="386">
        <v>21.5</v>
      </c>
      <c r="AU30" s="387">
        <v>21.5</v>
      </c>
      <c r="AV30" s="387">
        <v>0</v>
      </c>
      <c r="AW30" s="387">
        <v>0</v>
      </c>
      <c r="AX30" s="388">
        <v>0</v>
      </c>
      <c r="AY30" s="389">
        <v>5.5</v>
      </c>
      <c r="AZ30" t="s">
        <v>1623</v>
      </c>
      <c r="CX30"/>
      <c r="CY30"/>
      <c r="CZ30"/>
    </row>
    <row r="31" spans="4:104" ht="14.4" x14ac:dyDescent="0.3">
      <c r="D31" s="114"/>
      <c r="E31" s="105">
        <v>5090</v>
      </c>
      <c r="F31" s="111">
        <v>4</v>
      </c>
      <c r="G31" s="111">
        <v>4</v>
      </c>
      <c r="H31" s="111">
        <v>0</v>
      </c>
      <c r="I31" s="115">
        <v>23</v>
      </c>
      <c r="J31" s="111">
        <v>0</v>
      </c>
      <c r="K31" s="111">
        <v>0</v>
      </c>
      <c r="M31" s="217" t="s">
        <v>430</v>
      </c>
      <c r="N31" s="206">
        <v>8.5500000000000007</v>
      </c>
      <c r="O31" s="206">
        <v>8.41</v>
      </c>
      <c r="P31" s="206">
        <v>4.5999999999999996</v>
      </c>
      <c r="Q31" s="206">
        <v>8.4</v>
      </c>
      <c r="R31" s="206">
        <v>0</v>
      </c>
      <c r="S31" s="206">
        <v>8.58</v>
      </c>
      <c r="T31" s="206">
        <v>8.8699999999999992</v>
      </c>
      <c r="U31" s="206">
        <v>9.48</v>
      </c>
      <c r="V31" s="206">
        <v>8.6300000000000008</v>
      </c>
      <c r="W31" s="206">
        <v>8.41</v>
      </c>
      <c r="X31" s="206">
        <v>8.58</v>
      </c>
      <c r="Y31" s="206">
        <v>0</v>
      </c>
      <c r="Z31" s="206">
        <v>8.5</v>
      </c>
      <c r="AA31" s="206">
        <v>8.5</v>
      </c>
      <c r="AB31" s="206">
        <v>8.5</v>
      </c>
      <c r="AC31" s="206">
        <v>8.4499999999999993</v>
      </c>
      <c r="AD31" s="206">
        <v>8.5</v>
      </c>
      <c r="AE31" s="206">
        <v>8.5500000000000007</v>
      </c>
      <c r="AF31" s="206">
        <v>6.78</v>
      </c>
      <c r="AG31" s="206">
        <v>8.6300000000000008</v>
      </c>
      <c r="AH31" s="206">
        <v>8.7100000000000009</v>
      </c>
      <c r="AI31" s="206">
        <v>8.5</v>
      </c>
      <c r="AJ31" s="206">
        <v>8.8699999999999992</v>
      </c>
      <c r="AK31" s="206">
        <v>6.38</v>
      </c>
      <c r="AL31" s="206">
        <v>6.51</v>
      </c>
      <c r="AM31" s="206">
        <v>0</v>
      </c>
      <c r="AN31" s="206">
        <v>8.82</v>
      </c>
      <c r="AO31" s="206">
        <v>8.5299999999999994</v>
      </c>
      <c r="AP31" s="206">
        <v>8.65</v>
      </c>
      <c r="AQ31" s="206">
        <v>8.52</v>
      </c>
      <c r="AR31" s="206">
        <v>8.6300000000000008</v>
      </c>
      <c r="AS31" s="216" t="s">
        <v>430</v>
      </c>
      <c r="AT31" s="386">
        <v>27.5</v>
      </c>
      <c r="AU31" s="387">
        <v>26.5</v>
      </c>
      <c r="AV31" s="387">
        <v>0</v>
      </c>
      <c r="AW31" s="387">
        <v>1</v>
      </c>
      <c r="AX31" s="388">
        <v>0</v>
      </c>
      <c r="AY31" s="389">
        <v>0.5</v>
      </c>
      <c r="AZ31" t="s">
        <v>1623</v>
      </c>
      <c r="BA31" s="109"/>
      <c r="BB31" s="108"/>
      <c r="BC31" s="108"/>
      <c r="CX31"/>
      <c r="CY31"/>
      <c r="CZ31"/>
    </row>
    <row r="32" spans="4:104" ht="14.4" x14ac:dyDescent="0.3">
      <c r="D32" s="114"/>
      <c r="E32" s="105">
        <v>5088</v>
      </c>
      <c r="F32" s="111">
        <v>25</v>
      </c>
      <c r="G32" s="111">
        <v>25</v>
      </c>
      <c r="H32" s="111">
        <v>0</v>
      </c>
      <c r="I32" s="115">
        <v>2</v>
      </c>
      <c r="J32" s="111">
        <v>0</v>
      </c>
      <c r="K32" s="111">
        <v>0</v>
      </c>
      <c r="M32" s="217" t="s">
        <v>436</v>
      </c>
      <c r="N32" s="206">
        <v>8.7100000000000009</v>
      </c>
      <c r="O32" s="206">
        <v>8.4499999999999993</v>
      </c>
      <c r="P32" s="206">
        <v>4.9000000000000004</v>
      </c>
      <c r="Q32" s="206">
        <v>8.5</v>
      </c>
      <c r="R32" s="206">
        <v>0</v>
      </c>
      <c r="S32" s="206">
        <v>8.75</v>
      </c>
      <c r="T32" s="206">
        <v>8.5500000000000007</v>
      </c>
      <c r="U32" s="206">
        <v>9.67</v>
      </c>
      <c r="V32" s="206">
        <v>9.61</v>
      </c>
      <c r="W32" s="206">
        <v>9.5299999999999994</v>
      </c>
      <c r="X32" s="206">
        <v>8.18</v>
      </c>
      <c r="Y32" s="206">
        <v>0</v>
      </c>
      <c r="Z32" s="206">
        <v>9.11</v>
      </c>
      <c r="AA32" s="206">
        <v>9.5299999999999994</v>
      </c>
      <c r="AB32" s="206">
        <v>9.42</v>
      </c>
      <c r="AC32" s="206">
        <v>6.08</v>
      </c>
      <c r="AD32" s="206">
        <v>8.49</v>
      </c>
      <c r="AE32" s="206">
        <v>8.5</v>
      </c>
      <c r="AF32" s="206">
        <v>7.79</v>
      </c>
      <c r="AG32" s="206">
        <v>9.5299999999999994</v>
      </c>
      <c r="AH32" s="206">
        <v>8.51</v>
      </c>
      <c r="AI32" s="206">
        <v>9.5500000000000007</v>
      </c>
      <c r="AJ32" s="206">
        <v>9.66</v>
      </c>
      <c r="AK32" s="206">
        <v>0</v>
      </c>
      <c r="AL32" s="206">
        <v>9.5299999999999994</v>
      </c>
      <c r="AM32" s="206">
        <v>0</v>
      </c>
      <c r="AN32" s="206">
        <v>9.68</v>
      </c>
      <c r="AO32" s="206">
        <v>8.93</v>
      </c>
      <c r="AP32" s="206">
        <v>9.4499999999999993</v>
      </c>
      <c r="AQ32" s="206">
        <v>8.73</v>
      </c>
      <c r="AR32" s="206">
        <v>8.6300000000000008</v>
      </c>
      <c r="AS32" s="216" t="s">
        <v>436</v>
      </c>
      <c r="AT32" s="386">
        <v>26.5</v>
      </c>
      <c r="AU32" s="387">
        <v>25.5</v>
      </c>
      <c r="AV32" s="387">
        <v>0</v>
      </c>
      <c r="AW32" s="387">
        <v>1</v>
      </c>
      <c r="AX32" s="388">
        <v>0</v>
      </c>
      <c r="AY32" s="389">
        <v>1.5</v>
      </c>
      <c r="AZ32" t="s">
        <v>1623</v>
      </c>
      <c r="BA32" s="109"/>
      <c r="BB32" s="108"/>
      <c r="BC32" s="108"/>
      <c r="CX32"/>
      <c r="CY32"/>
      <c r="CZ32"/>
    </row>
    <row r="33" spans="4:104" ht="14.4" x14ac:dyDescent="0.3">
      <c r="D33" s="114"/>
      <c r="E33" s="105">
        <v>5092</v>
      </c>
      <c r="F33" s="111">
        <v>5</v>
      </c>
      <c r="G33" s="111">
        <v>5</v>
      </c>
      <c r="H33" s="111">
        <v>0</v>
      </c>
      <c r="I33" s="115">
        <v>22</v>
      </c>
      <c r="J33" s="111">
        <v>0</v>
      </c>
      <c r="K33" s="111">
        <v>0</v>
      </c>
      <c r="M33" s="217" t="s">
        <v>439</v>
      </c>
      <c r="N33" s="206">
        <v>8.59</v>
      </c>
      <c r="O33" s="206">
        <v>8.44</v>
      </c>
      <c r="P33" s="206">
        <v>8.66</v>
      </c>
      <c r="Q33" s="206">
        <v>8.61</v>
      </c>
      <c r="R33" s="206">
        <v>0</v>
      </c>
      <c r="S33" s="206">
        <v>8.51</v>
      </c>
      <c r="T33" s="206">
        <v>9.44</v>
      </c>
      <c r="U33" s="206">
        <v>9.5</v>
      </c>
      <c r="V33" s="206">
        <v>9.52</v>
      </c>
      <c r="W33" s="206">
        <v>9.52</v>
      </c>
      <c r="X33" s="206">
        <v>9.57</v>
      </c>
      <c r="Y33" s="206">
        <v>0</v>
      </c>
      <c r="Z33" s="206">
        <v>8.8699999999999992</v>
      </c>
      <c r="AA33" s="206">
        <v>9.61</v>
      </c>
      <c r="AB33" s="206">
        <v>9.3800000000000008</v>
      </c>
      <c r="AC33" s="206">
        <v>9.56</v>
      </c>
      <c r="AD33" s="206">
        <v>9.5299999999999994</v>
      </c>
      <c r="AE33" s="206">
        <v>8.3000000000000007</v>
      </c>
      <c r="AF33" s="206">
        <v>7.18</v>
      </c>
      <c r="AG33" s="206">
        <v>8.69</v>
      </c>
      <c r="AH33" s="206">
        <v>8.52</v>
      </c>
      <c r="AI33" s="206">
        <v>8.33</v>
      </c>
      <c r="AJ33" s="206">
        <v>9.61</v>
      </c>
      <c r="AK33" s="206">
        <v>9.65</v>
      </c>
      <c r="AL33" s="206">
        <v>9.6</v>
      </c>
      <c r="AM33" s="206">
        <v>0</v>
      </c>
      <c r="AN33" s="206">
        <v>9.66</v>
      </c>
      <c r="AO33" s="206">
        <v>9.5500000000000007</v>
      </c>
      <c r="AP33" s="206">
        <v>9.5299999999999994</v>
      </c>
      <c r="AQ33" s="206">
        <v>8.52</v>
      </c>
      <c r="AR33" s="206">
        <v>9.51</v>
      </c>
      <c r="AS33" s="216" t="s">
        <v>439</v>
      </c>
      <c r="AT33" s="386">
        <v>28</v>
      </c>
      <c r="AU33" s="387">
        <v>27</v>
      </c>
      <c r="AV33" s="387">
        <v>0</v>
      </c>
      <c r="AW33" s="387">
        <v>1</v>
      </c>
      <c r="AX33" s="388">
        <v>0</v>
      </c>
      <c r="AY33" s="389">
        <v>0</v>
      </c>
      <c r="AZ33" t="s">
        <v>1623</v>
      </c>
      <c r="BA33" s="109"/>
      <c r="BB33" s="108"/>
      <c r="BC33" s="108"/>
      <c r="CX33"/>
      <c r="CY33"/>
      <c r="CZ33"/>
    </row>
    <row r="34" spans="4:104" ht="14.4" x14ac:dyDescent="0.3">
      <c r="D34" s="114"/>
      <c r="E34" s="105">
        <v>5091</v>
      </c>
      <c r="F34" s="111">
        <v>0</v>
      </c>
      <c r="G34" s="111">
        <v>0</v>
      </c>
      <c r="H34" s="111">
        <v>0</v>
      </c>
      <c r="I34" s="115">
        <v>27</v>
      </c>
      <c r="J34" s="111">
        <v>0</v>
      </c>
      <c r="K34" s="111">
        <v>0</v>
      </c>
      <c r="M34" s="217" t="s">
        <v>415</v>
      </c>
      <c r="N34" s="206">
        <v>8.5299999999999994</v>
      </c>
      <c r="O34" s="206">
        <v>0</v>
      </c>
      <c r="P34" s="206">
        <v>0</v>
      </c>
      <c r="Q34" s="206">
        <v>9.31</v>
      </c>
      <c r="R34" s="206">
        <v>3.65</v>
      </c>
      <c r="S34" s="206">
        <v>10.06</v>
      </c>
      <c r="T34" s="206">
        <v>10.62</v>
      </c>
      <c r="U34" s="206">
        <v>10.77</v>
      </c>
      <c r="V34" s="206">
        <v>8.06</v>
      </c>
      <c r="W34" s="206">
        <v>0</v>
      </c>
      <c r="X34" s="206">
        <v>0</v>
      </c>
      <c r="Y34" s="206">
        <v>0</v>
      </c>
      <c r="Z34" s="206">
        <v>0</v>
      </c>
      <c r="AA34" s="206">
        <v>0</v>
      </c>
      <c r="AB34" s="206">
        <v>0</v>
      </c>
      <c r="AC34" s="206">
        <v>0</v>
      </c>
      <c r="AD34" s="206">
        <v>0</v>
      </c>
      <c r="AE34" s="206">
        <v>0</v>
      </c>
      <c r="AF34" s="206">
        <v>0</v>
      </c>
      <c r="AG34" s="206">
        <v>0</v>
      </c>
      <c r="AH34" s="206">
        <v>0</v>
      </c>
      <c r="AI34" s="206">
        <v>0</v>
      </c>
      <c r="AJ34" s="206">
        <v>0</v>
      </c>
      <c r="AK34" s="206">
        <v>0</v>
      </c>
      <c r="AL34" s="206">
        <v>0</v>
      </c>
      <c r="AM34" s="206">
        <v>0</v>
      </c>
      <c r="AN34" s="206">
        <v>0</v>
      </c>
      <c r="AO34" s="206">
        <v>0</v>
      </c>
      <c r="AP34" s="206">
        <v>0</v>
      </c>
      <c r="AQ34" s="206">
        <v>0</v>
      </c>
      <c r="AR34" s="206">
        <v>0</v>
      </c>
      <c r="AS34" s="216" t="s">
        <v>415</v>
      </c>
      <c r="AT34" s="386">
        <v>6.5</v>
      </c>
      <c r="AU34" s="387">
        <v>6</v>
      </c>
      <c r="AV34" s="387">
        <v>0</v>
      </c>
      <c r="AW34" s="387">
        <v>0.5</v>
      </c>
      <c r="AX34" s="388">
        <v>0</v>
      </c>
      <c r="AY34" s="389">
        <v>21</v>
      </c>
      <c r="AZ34" t="s">
        <v>1623</v>
      </c>
      <c r="BA34" s="109"/>
      <c r="BB34" s="108"/>
      <c r="BC34" s="108"/>
      <c r="CX34"/>
      <c r="CY34"/>
      <c r="CZ34"/>
    </row>
    <row r="35" spans="4:104" ht="14.4" x14ac:dyDescent="0.3">
      <c r="D35" s="114"/>
      <c r="E35" s="105">
        <v>5060</v>
      </c>
      <c r="F35" s="111">
        <v>27.5</v>
      </c>
      <c r="G35" s="111">
        <v>25.5</v>
      </c>
      <c r="H35" s="111">
        <v>0</v>
      </c>
      <c r="I35" s="115">
        <v>1.5</v>
      </c>
      <c r="J35" s="111">
        <v>2</v>
      </c>
      <c r="K35" s="111">
        <v>0</v>
      </c>
      <c r="M35" s="217" t="s">
        <v>421</v>
      </c>
      <c r="N35" s="206">
        <v>9.89</v>
      </c>
      <c r="O35" s="206">
        <v>10.47</v>
      </c>
      <c r="P35" s="206">
        <v>11.05</v>
      </c>
      <c r="Q35" s="206">
        <v>9.57</v>
      </c>
      <c r="R35" s="206">
        <v>0</v>
      </c>
      <c r="S35" s="206">
        <v>9.7799999999999994</v>
      </c>
      <c r="T35" s="206">
        <v>11.1</v>
      </c>
      <c r="U35" s="206">
        <v>8.49</v>
      </c>
      <c r="V35" s="206">
        <v>11.36</v>
      </c>
      <c r="W35" s="206">
        <v>10.82</v>
      </c>
      <c r="X35" s="206">
        <v>7.3</v>
      </c>
      <c r="Y35" s="206">
        <v>0</v>
      </c>
      <c r="Z35" s="206">
        <v>10.93</v>
      </c>
      <c r="AA35" s="206">
        <v>11.2</v>
      </c>
      <c r="AB35" s="206">
        <v>10.84</v>
      </c>
      <c r="AC35" s="206">
        <v>11.39</v>
      </c>
      <c r="AD35" s="206">
        <v>11.1</v>
      </c>
      <c r="AE35" s="206">
        <v>10.17</v>
      </c>
      <c r="AF35" s="206">
        <v>7.56</v>
      </c>
      <c r="AG35" s="206">
        <v>11.22</v>
      </c>
      <c r="AH35" s="206">
        <v>10.55</v>
      </c>
      <c r="AI35" s="206">
        <v>10.76</v>
      </c>
      <c r="AJ35" s="206">
        <v>15.06</v>
      </c>
      <c r="AK35" s="206">
        <v>11.18</v>
      </c>
      <c r="AL35" s="206">
        <v>7.36</v>
      </c>
      <c r="AM35" s="206">
        <v>0</v>
      </c>
      <c r="AN35" s="206">
        <v>11.43</v>
      </c>
      <c r="AO35" s="206">
        <v>10.68</v>
      </c>
      <c r="AP35" s="206">
        <v>11.44</v>
      </c>
      <c r="AQ35" s="206">
        <v>10.3</v>
      </c>
      <c r="AR35" s="206">
        <v>10.210000000000001</v>
      </c>
      <c r="AS35" s="216" t="s">
        <v>421</v>
      </c>
      <c r="AT35" s="386">
        <v>28</v>
      </c>
      <c r="AU35" s="387">
        <v>27</v>
      </c>
      <c r="AV35" s="387">
        <v>0</v>
      </c>
      <c r="AW35" s="387">
        <v>1</v>
      </c>
      <c r="AX35" s="388">
        <v>0</v>
      </c>
      <c r="AY35" s="389">
        <v>0</v>
      </c>
      <c r="AZ35" t="s">
        <v>1623</v>
      </c>
      <c r="CX35"/>
      <c r="CY35"/>
      <c r="CZ35"/>
    </row>
    <row r="36" spans="4:104" ht="14.4" x14ac:dyDescent="0.3">
      <c r="D36" s="114"/>
      <c r="E36" s="105">
        <v>5093</v>
      </c>
      <c r="F36" s="111">
        <v>7</v>
      </c>
      <c r="G36" s="111">
        <v>7</v>
      </c>
      <c r="H36" s="111">
        <v>0</v>
      </c>
      <c r="I36" s="115">
        <v>20</v>
      </c>
      <c r="J36" s="111">
        <v>0</v>
      </c>
      <c r="K36" s="111">
        <v>0</v>
      </c>
      <c r="M36" s="214" t="s">
        <v>457</v>
      </c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  <c r="AN36" s="215"/>
      <c r="AO36" s="215"/>
      <c r="AP36" s="215"/>
      <c r="AQ36" s="215"/>
      <c r="AR36" s="215"/>
      <c r="AS36" s="216" t="s">
        <v>457</v>
      </c>
      <c r="AT36" s="386"/>
      <c r="AU36" s="387"/>
      <c r="AV36" s="387"/>
      <c r="AW36" s="387"/>
      <c r="AX36" s="388"/>
      <c r="AY36" s="389"/>
      <c r="BA36" s="109"/>
      <c r="BB36" s="108"/>
      <c r="BC36" s="108"/>
      <c r="CX36"/>
      <c r="CY36"/>
      <c r="CZ36"/>
    </row>
    <row r="37" spans="4:104" ht="14.4" x14ac:dyDescent="0.3">
      <c r="D37" s="114"/>
      <c r="E37" s="105" t="s">
        <v>364</v>
      </c>
      <c r="F37" s="111">
        <v>714</v>
      </c>
      <c r="G37" s="111">
        <v>692.5</v>
      </c>
      <c r="H37" s="111">
        <v>0</v>
      </c>
      <c r="I37" s="115">
        <v>27</v>
      </c>
      <c r="J37" s="111">
        <v>21.5</v>
      </c>
      <c r="K37" s="111">
        <v>0</v>
      </c>
      <c r="M37" s="217" t="s">
        <v>466</v>
      </c>
      <c r="N37" s="206">
        <v>8.57</v>
      </c>
      <c r="O37" s="206">
        <v>8.44</v>
      </c>
      <c r="P37" s="206">
        <v>8.5500000000000007</v>
      </c>
      <c r="Q37" s="206">
        <v>8.6</v>
      </c>
      <c r="R37" s="206">
        <v>0</v>
      </c>
      <c r="S37" s="206">
        <v>8.43</v>
      </c>
      <c r="T37" s="206">
        <v>9.5</v>
      </c>
      <c r="U37" s="206">
        <v>9.5299999999999994</v>
      </c>
      <c r="V37" s="206">
        <v>9.52</v>
      </c>
      <c r="W37" s="206">
        <v>9.48</v>
      </c>
      <c r="X37" s="206">
        <v>9.59</v>
      </c>
      <c r="Y37" s="206">
        <v>0</v>
      </c>
      <c r="Z37" s="206">
        <v>9.68</v>
      </c>
      <c r="AA37" s="206">
        <v>8.68</v>
      </c>
      <c r="AB37" s="206">
        <v>9.58</v>
      </c>
      <c r="AC37" s="206">
        <v>0</v>
      </c>
      <c r="AD37" s="206">
        <v>9.6</v>
      </c>
      <c r="AE37" s="206">
        <v>8.58</v>
      </c>
      <c r="AF37" s="206">
        <v>7.38</v>
      </c>
      <c r="AG37" s="206">
        <v>9.5500000000000007</v>
      </c>
      <c r="AH37" s="206">
        <v>8.3800000000000008</v>
      </c>
      <c r="AI37" s="206">
        <v>9.6199999999999992</v>
      </c>
      <c r="AJ37" s="206">
        <v>9.61</v>
      </c>
      <c r="AK37" s="206">
        <v>9.6</v>
      </c>
      <c r="AL37" s="206">
        <v>9.57</v>
      </c>
      <c r="AM37" s="206">
        <v>0</v>
      </c>
      <c r="AN37" s="206">
        <v>9.67</v>
      </c>
      <c r="AO37" s="206">
        <v>9.6199999999999992</v>
      </c>
      <c r="AP37" s="206">
        <v>9.58</v>
      </c>
      <c r="AQ37" s="206">
        <v>9.5399999999999991</v>
      </c>
      <c r="AR37" s="206">
        <v>9.57</v>
      </c>
      <c r="AS37" s="216" t="s">
        <v>466</v>
      </c>
      <c r="AT37" s="386">
        <v>27</v>
      </c>
      <c r="AU37" s="387">
        <v>26</v>
      </c>
      <c r="AV37" s="387">
        <v>0</v>
      </c>
      <c r="AW37" s="387">
        <v>1</v>
      </c>
      <c r="AX37" s="388">
        <v>0</v>
      </c>
      <c r="AY37" s="389">
        <v>1</v>
      </c>
      <c r="AZ37" t="s">
        <v>1623</v>
      </c>
      <c r="BA37" s="109"/>
      <c r="BB37" s="108"/>
      <c r="BC37" s="108"/>
      <c r="CX37"/>
      <c r="CY37"/>
      <c r="CZ37"/>
    </row>
    <row r="38" spans="4:104" ht="14.4" x14ac:dyDescent="0.3">
      <c r="D38" s="114"/>
      <c r="M38" s="217" t="s">
        <v>472</v>
      </c>
      <c r="N38" s="206">
        <v>0</v>
      </c>
      <c r="O38" s="206">
        <v>0</v>
      </c>
      <c r="P38" s="206">
        <v>0</v>
      </c>
      <c r="Q38" s="206">
        <v>0</v>
      </c>
      <c r="R38" s="206">
        <v>0</v>
      </c>
      <c r="S38" s="206">
        <v>0</v>
      </c>
      <c r="T38" s="206">
        <v>0</v>
      </c>
      <c r="U38" s="206">
        <v>0</v>
      </c>
      <c r="V38" s="206">
        <v>0</v>
      </c>
      <c r="W38" s="206">
        <v>0</v>
      </c>
      <c r="X38" s="206">
        <v>0</v>
      </c>
      <c r="Y38" s="206">
        <v>0</v>
      </c>
      <c r="Z38" s="206">
        <v>0</v>
      </c>
      <c r="AA38" s="206">
        <v>0</v>
      </c>
      <c r="AB38" s="206">
        <v>0</v>
      </c>
      <c r="AC38" s="206">
        <v>0</v>
      </c>
      <c r="AD38" s="206">
        <v>0</v>
      </c>
      <c r="AE38" s="206">
        <v>0</v>
      </c>
      <c r="AF38" s="206">
        <v>0</v>
      </c>
      <c r="AG38" s="206">
        <v>0</v>
      </c>
      <c r="AH38" s="206">
        <v>0</v>
      </c>
      <c r="AI38" s="206">
        <v>0</v>
      </c>
      <c r="AJ38" s="206">
        <v>0</v>
      </c>
      <c r="AK38" s="206">
        <v>0</v>
      </c>
      <c r="AL38" s="206">
        <v>0</v>
      </c>
      <c r="AM38" s="206">
        <v>0</v>
      </c>
      <c r="AN38" s="206">
        <v>0</v>
      </c>
      <c r="AO38" s="206">
        <v>0</v>
      </c>
      <c r="AP38" s="206">
        <v>0</v>
      </c>
      <c r="AQ38" s="206">
        <v>0</v>
      </c>
      <c r="AR38" s="206">
        <v>0</v>
      </c>
      <c r="AS38" s="219" t="s">
        <v>472</v>
      </c>
      <c r="AT38" s="386">
        <v>0</v>
      </c>
      <c r="AU38" s="387">
        <v>0</v>
      </c>
      <c r="AV38" s="387">
        <v>0</v>
      </c>
      <c r="AW38" s="387">
        <v>0</v>
      </c>
      <c r="AX38" s="388">
        <v>0</v>
      </c>
      <c r="AY38" s="389">
        <v>27</v>
      </c>
      <c r="BA38" s="109"/>
      <c r="BB38" s="108"/>
      <c r="BC38" s="108"/>
      <c r="CX38"/>
      <c r="CY38"/>
      <c r="CZ38"/>
    </row>
    <row r="39" spans="4:104" ht="14.4" x14ac:dyDescent="0.3">
      <c r="D39" s="114"/>
      <c r="M39" s="217" t="s">
        <v>473</v>
      </c>
      <c r="N39" s="206">
        <v>8.51</v>
      </c>
      <c r="O39" s="206">
        <v>8.33</v>
      </c>
      <c r="P39" s="206">
        <v>8.67</v>
      </c>
      <c r="Q39" s="206">
        <v>8.5500000000000007</v>
      </c>
      <c r="R39" s="206">
        <v>0</v>
      </c>
      <c r="S39" s="206">
        <v>9.49</v>
      </c>
      <c r="T39" s="206">
        <v>9.56</v>
      </c>
      <c r="U39" s="206">
        <v>9.51</v>
      </c>
      <c r="V39" s="206">
        <v>9.52</v>
      </c>
      <c r="W39" s="206">
        <v>9.44</v>
      </c>
      <c r="X39" s="206">
        <v>9.5299999999999994</v>
      </c>
      <c r="Y39" s="206">
        <v>0</v>
      </c>
      <c r="Z39" s="206">
        <v>9.7100000000000009</v>
      </c>
      <c r="AA39" s="206">
        <v>9.48</v>
      </c>
      <c r="AB39" s="206">
        <v>9.59</v>
      </c>
      <c r="AC39" s="206">
        <v>9.3000000000000007</v>
      </c>
      <c r="AD39" s="206">
        <v>9.1199999999999992</v>
      </c>
      <c r="AE39" s="206">
        <v>7.53</v>
      </c>
      <c r="AF39" s="206">
        <v>0</v>
      </c>
      <c r="AG39" s="206">
        <v>9.5299999999999994</v>
      </c>
      <c r="AH39" s="206">
        <v>8.5</v>
      </c>
      <c r="AI39" s="206">
        <v>9.3800000000000008</v>
      </c>
      <c r="AJ39" s="206">
        <v>9.59</v>
      </c>
      <c r="AK39" s="206">
        <v>9.56</v>
      </c>
      <c r="AL39" s="206">
        <v>9.32</v>
      </c>
      <c r="AM39" s="206">
        <v>0</v>
      </c>
      <c r="AN39" s="206">
        <v>9.48</v>
      </c>
      <c r="AO39" s="206">
        <v>9.2899999999999991</v>
      </c>
      <c r="AP39" s="206">
        <v>9.42</v>
      </c>
      <c r="AQ39" s="206">
        <v>9.9</v>
      </c>
      <c r="AR39" s="206">
        <v>8.8000000000000007</v>
      </c>
      <c r="AS39" s="216" t="s">
        <v>473</v>
      </c>
      <c r="AT39" s="386">
        <v>27</v>
      </c>
      <c r="AU39" s="387">
        <v>27</v>
      </c>
      <c r="AV39" s="387">
        <v>0</v>
      </c>
      <c r="AW39" s="387">
        <v>0</v>
      </c>
      <c r="AX39" s="388">
        <v>0</v>
      </c>
      <c r="AY39" s="389">
        <v>0</v>
      </c>
      <c r="AZ39" t="s">
        <v>1623</v>
      </c>
      <c r="BA39" s="109"/>
      <c r="BB39" s="108"/>
      <c r="BC39" s="108"/>
      <c r="CX39"/>
      <c r="CY39"/>
      <c r="CZ39"/>
    </row>
    <row r="40" spans="4:104" ht="14.4" x14ac:dyDescent="0.3">
      <c r="D40" s="114"/>
      <c r="M40" s="213" t="s">
        <v>478</v>
      </c>
      <c r="N40" s="206">
        <v>8.57</v>
      </c>
      <c r="O40" s="206">
        <v>8.4600000000000009</v>
      </c>
      <c r="P40" s="206">
        <v>8.5500000000000007</v>
      </c>
      <c r="Q40" s="206">
        <v>8.59</v>
      </c>
      <c r="R40" s="206">
        <v>0</v>
      </c>
      <c r="S40" s="206">
        <v>8.43</v>
      </c>
      <c r="T40" s="206">
        <v>9.51</v>
      </c>
      <c r="U40" s="206">
        <v>9.5</v>
      </c>
      <c r="V40" s="206">
        <v>9.51</v>
      </c>
      <c r="W40" s="206">
        <v>9.48</v>
      </c>
      <c r="X40" s="206">
        <v>9.1</v>
      </c>
      <c r="Y40" s="206">
        <v>0</v>
      </c>
      <c r="Z40" s="206">
        <v>9.66</v>
      </c>
      <c r="AA40" s="206">
        <v>0</v>
      </c>
      <c r="AB40" s="206">
        <v>5.35</v>
      </c>
      <c r="AC40" s="206">
        <v>9.61</v>
      </c>
      <c r="AD40" s="206">
        <v>9.5</v>
      </c>
      <c r="AE40" s="206">
        <v>8.59</v>
      </c>
      <c r="AF40" s="206">
        <v>7.34</v>
      </c>
      <c r="AG40" s="206">
        <v>9.5399999999999991</v>
      </c>
      <c r="AH40" s="206">
        <v>8.57</v>
      </c>
      <c r="AI40" s="206">
        <v>8.66</v>
      </c>
      <c r="AJ40" s="206">
        <v>0</v>
      </c>
      <c r="AK40" s="206">
        <v>9.61</v>
      </c>
      <c r="AL40" s="206">
        <v>9.57</v>
      </c>
      <c r="AM40" s="206">
        <v>0</v>
      </c>
      <c r="AN40" s="206">
        <v>9.6300000000000008</v>
      </c>
      <c r="AO40" s="206">
        <v>15.1</v>
      </c>
      <c r="AP40" s="206">
        <v>9.57</v>
      </c>
      <c r="AQ40" s="206">
        <v>9.5399999999999991</v>
      </c>
      <c r="AR40" s="206">
        <v>9.5500000000000007</v>
      </c>
      <c r="AS40" s="213" t="s">
        <v>478</v>
      </c>
      <c r="AT40" s="386">
        <v>25.5</v>
      </c>
      <c r="AU40" s="387">
        <v>24.5</v>
      </c>
      <c r="AV40" s="387">
        <v>0</v>
      </c>
      <c r="AW40" s="387">
        <v>1</v>
      </c>
      <c r="AX40" s="388">
        <v>0</v>
      </c>
      <c r="AY40" s="389">
        <v>2.5</v>
      </c>
      <c r="AZ40" t="s">
        <v>1623</v>
      </c>
      <c r="BA40" s="109"/>
      <c r="BB40" s="108"/>
      <c r="BC40" s="108"/>
      <c r="CX40"/>
      <c r="CY40"/>
      <c r="CZ40"/>
    </row>
    <row r="41" spans="4:104" ht="14.4" x14ac:dyDescent="0.3">
      <c r="D41" s="114"/>
      <c r="M41" s="217" t="s">
        <v>481</v>
      </c>
      <c r="N41" s="206">
        <v>8.41</v>
      </c>
      <c r="O41" s="206">
        <v>6.93</v>
      </c>
      <c r="P41" s="206">
        <v>8.41</v>
      </c>
      <c r="Q41" s="206">
        <v>8.48</v>
      </c>
      <c r="R41" s="206">
        <v>0</v>
      </c>
      <c r="S41" s="206">
        <v>9.58</v>
      </c>
      <c r="T41" s="206">
        <v>9.4</v>
      </c>
      <c r="U41" s="206">
        <v>0</v>
      </c>
      <c r="V41" s="206">
        <v>9.6999999999999993</v>
      </c>
      <c r="W41" s="206">
        <v>10.6</v>
      </c>
      <c r="X41" s="206">
        <v>11.05</v>
      </c>
      <c r="Y41" s="206">
        <v>0</v>
      </c>
      <c r="Z41" s="206">
        <v>10.51</v>
      </c>
      <c r="AA41" s="206">
        <v>10.86</v>
      </c>
      <c r="AB41" s="206">
        <v>10.86</v>
      </c>
      <c r="AC41" s="206">
        <v>8.8699999999999992</v>
      </c>
      <c r="AD41" s="206">
        <v>0</v>
      </c>
      <c r="AE41" s="206">
        <v>8.84</v>
      </c>
      <c r="AF41" s="206">
        <v>7.86</v>
      </c>
      <c r="AG41" s="206">
        <v>0</v>
      </c>
      <c r="AH41" s="206">
        <v>9.49</v>
      </c>
      <c r="AI41" s="206">
        <v>9.44</v>
      </c>
      <c r="AJ41" s="206">
        <v>10.09</v>
      </c>
      <c r="AK41" s="206">
        <v>9.35</v>
      </c>
      <c r="AL41" s="206">
        <v>8.35</v>
      </c>
      <c r="AM41" s="206">
        <v>0</v>
      </c>
      <c r="AN41" s="206">
        <v>10.58</v>
      </c>
      <c r="AO41" s="206">
        <v>10.51</v>
      </c>
      <c r="AP41" s="206">
        <v>9.4600000000000009</v>
      </c>
      <c r="AQ41" s="206">
        <v>9.57</v>
      </c>
      <c r="AR41" s="206">
        <v>8.77</v>
      </c>
      <c r="AS41" s="216" t="s">
        <v>481</v>
      </c>
      <c r="AT41" s="386">
        <v>25</v>
      </c>
      <c r="AU41" s="387">
        <v>24</v>
      </c>
      <c r="AV41" s="387">
        <v>0</v>
      </c>
      <c r="AW41" s="387">
        <v>1</v>
      </c>
      <c r="AX41" s="388">
        <v>0</v>
      </c>
      <c r="AY41" s="389">
        <v>3</v>
      </c>
      <c r="AZ41" t="s">
        <v>1623</v>
      </c>
      <c r="CX41"/>
      <c r="CY41"/>
      <c r="CZ41"/>
    </row>
    <row r="42" spans="4:104" ht="14.4" x14ac:dyDescent="0.3">
      <c r="M42"/>
      <c r="AS42"/>
      <c r="CX42"/>
      <c r="CY42"/>
      <c r="CZ42"/>
    </row>
    <row r="43" spans="4:104" ht="14.4" x14ac:dyDescent="0.3">
      <c r="M43"/>
      <c r="AS43"/>
      <c r="CX43"/>
      <c r="CY43"/>
      <c r="CZ43"/>
    </row>
    <row r="44" spans="4:104" ht="14.4" x14ac:dyDescent="0.3">
      <c r="M44"/>
      <c r="AS44"/>
      <c r="CX44"/>
      <c r="CY44"/>
      <c r="CZ44"/>
    </row>
    <row r="45" spans="4:104" ht="14.4" x14ac:dyDescent="0.3">
      <c r="M45"/>
      <c r="AR45" s="148"/>
      <c r="AS45"/>
      <c r="CX45"/>
      <c r="CY45"/>
      <c r="CZ45"/>
    </row>
    <row r="46" spans="4:104" ht="14.4" x14ac:dyDescent="0.3">
      <c r="M46"/>
      <c r="AR46" s="148"/>
      <c r="AS46"/>
      <c r="CX46"/>
      <c r="CY46"/>
      <c r="CZ46"/>
    </row>
    <row r="47" spans="4:104" ht="14.4" x14ac:dyDescent="0.3">
      <c r="M47"/>
      <c r="AR47" s="148"/>
      <c r="AS47"/>
      <c r="CX47"/>
      <c r="CY47"/>
      <c r="CZ47"/>
    </row>
    <row r="48" spans="4:104" ht="14.4" x14ac:dyDescent="0.3">
      <c r="M48"/>
      <c r="AR48" s="111"/>
      <c r="AS48"/>
      <c r="CX48"/>
      <c r="CY48"/>
      <c r="CZ48"/>
    </row>
    <row r="49" spans="13:91" x14ac:dyDescent="0.3">
      <c r="M49"/>
      <c r="AR49" s="111"/>
      <c r="AS49"/>
      <c r="CM49" s="103"/>
    </row>
    <row r="50" spans="13:91" x14ac:dyDescent="0.3"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L50" s="111"/>
      <c r="AM50" s="111"/>
      <c r="AN50" s="111"/>
      <c r="AO50" s="111"/>
      <c r="AP50" s="111"/>
      <c r="AQ50" s="111"/>
      <c r="AR50" s="111"/>
    </row>
    <row r="51" spans="13:91" x14ac:dyDescent="0.3"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L51" s="111"/>
      <c r="AM51" s="111"/>
      <c r="AN51" s="111"/>
      <c r="AO51" s="111"/>
      <c r="AP51" s="111"/>
      <c r="AQ51" s="111"/>
      <c r="AR51" s="111"/>
    </row>
    <row r="52" spans="13:91" x14ac:dyDescent="0.3"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L52" s="111"/>
      <c r="AM52" s="111"/>
      <c r="AN52" s="111"/>
      <c r="AO52" s="111"/>
      <c r="AP52" s="111"/>
      <c r="AQ52" s="111"/>
      <c r="AR52" s="111"/>
    </row>
    <row r="53" spans="13:91" x14ac:dyDescent="0.3"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L53" s="111"/>
      <c r="AM53" s="111"/>
      <c r="AN53" s="111"/>
      <c r="AO53" s="111"/>
      <c r="AP53" s="111"/>
      <c r="AQ53" s="111"/>
      <c r="AR53" s="111"/>
    </row>
    <row r="54" spans="13:91" x14ac:dyDescent="0.3"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L54" s="111"/>
      <c r="AM54" s="111"/>
      <c r="AN54" s="111"/>
      <c r="AO54" s="111"/>
      <c r="AP54" s="111"/>
      <c r="AQ54" s="111"/>
      <c r="AR54" s="111"/>
    </row>
    <row r="55" spans="13:91" x14ac:dyDescent="0.3"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L55" s="111"/>
      <c r="AM55" s="111"/>
      <c r="AN55" s="111"/>
      <c r="AO55" s="111"/>
      <c r="AP55" s="111"/>
      <c r="AQ55" s="111"/>
      <c r="AR55" s="111"/>
    </row>
    <row r="63" spans="13:91" x14ac:dyDescent="0.3">
      <c r="BB63" s="110" t="s">
        <v>386</v>
      </c>
    </row>
  </sheetData>
  <mergeCells count="3">
    <mergeCell ref="N1:Q1"/>
    <mergeCell ref="AB1:AE1"/>
    <mergeCell ref="S1:W1"/>
  </mergeCells>
  <conditionalFormatting pivot="1" sqref="N4:AR41">
    <cfRule type="cellIs" dxfId="623" priority="694" operator="greaterThanOrEqual">
      <formula>5</formula>
    </cfRule>
  </conditionalFormatting>
  <conditionalFormatting pivot="1" sqref="N4:AR41">
    <cfRule type="cellIs" dxfId="622" priority="639" operator="greaterThan">
      <formula>9.5</formula>
    </cfRule>
  </conditionalFormatting>
  <conditionalFormatting pivot="1" sqref="N4:AR41">
    <cfRule type="cellIs" dxfId="621" priority="693" operator="between">
      <formula>0.5</formula>
      <formula>5</formula>
    </cfRule>
  </conditionalFormatting>
  <conditionalFormatting pivot="1" sqref="N4:AR41">
    <cfRule type="cellIs" dxfId="620" priority="695" operator="lessThan">
      <formula>0.5</formula>
    </cfRule>
  </conditionalFormatting>
  <conditionalFormatting pivot="1" sqref="N4:AR41">
    <cfRule type="cellIs" dxfId="619" priority="638" operator="greaterThan">
      <formula>10.5</formula>
    </cfRule>
  </conditionalFormatting>
  <conditionalFormatting pivot="1" sqref="N4:AR41">
    <cfRule type="expression" dxfId="618" priority="6">
      <formula>AND(_xlfn.XLOOKUP(N$3,$A$4:$A$18,$B$4:$B$18)="Paid Holiday")</formula>
    </cfRule>
  </conditionalFormatting>
  <conditionalFormatting pivot="1" sqref="N4:AR41">
    <cfRule type="expression" dxfId="617" priority="2">
      <formula>AND(_xlfn.XLOOKUP(N$3,$A$4:$A$18,$B$4:$B$18)="CompOff")</formula>
    </cfRule>
  </conditionalFormatting>
  <conditionalFormatting pivot="1" sqref="N4:AR41">
    <cfRule type="expression" dxfId="616" priority="1">
      <formula>AND(_xlfn.XLOOKUP(N$3,$A$4:$A$18,$B$4:$B$18)="Holiday")</formula>
    </cfRule>
  </conditionalFormatting>
  <pageMargins left="0.7" right="0.7" top="0.75" bottom="0.75" header="0.3" footer="0.3"/>
  <pageSetup scale="62" fitToHeight="0" orientation="landscape"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E31C-FCF6-428A-ABEE-C97ED99327F4}">
  <sheetPr codeName="Sheet1"/>
  <dimension ref="A1:R53"/>
  <sheetViews>
    <sheetView topLeftCell="C1" zoomScaleNormal="100" workbookViewId="0">
      <selection activeCell="U11" sqref="U11"/>
    </sheetView>
  </sheetViews>
  <sheetFormatPr defaultColWidth="8.77734375" defaultRowHeight="15" customHeight="1" outlineLevelCol="1" x14ac:dyDescent="0.3"/>
  <cols>
    <col min="1" max="2" width="9.44140625" hidden="1" customWidth="1"/>
    <col min="3" max="3" width="18.44140625" customWidth="1"/>
    <col min="4" max="4" width="16.44140625" hidden="1" customWidth="1"/>
    <col min="5" max="5" width="24.77734375" hidden="1" customWidth="1"/>
    <col min="6" max="6" width="14.44140625" hidden="1" customWidth="1"/>
    <col min="7" max="7" width="15" hidden="1" customWidth="1"/>
    <col min="8" max="9" width="14.44140625" hidden="1" customWidth="1"/>
    <col min="10" max="10" width="11" hidden="1" customWidth="1"/>
    <col min="11" max="11" width="10.33203125" hidden="1" customWidth="1"/>
    <col min="12" max="12" width="18.44140625" hidden="1" customWidth="1"/>
    <col min="13" max="13" width="12.44140625" customWidth="1" outlineLevel="1"/>
    <col min="14" max="14" width="12.109375" hidden="1" customWidth="1" outlineLevel="1"/>
    <col min="15" max="15" width="8.77734375" hidden="1" customWidth="1"/>
    <col min="16" max="16" width="9.33203125" hidden="1" customWidth="1"/>
    <col min="17" max="17" width="0" hidden="1" customWidth="1"/>
    <col min="18" max="18" width="20.109375" hidden="1" customWidth="1"/>
  </cols>
  <sheetData>
    <row r="1" spans="1:18" ht="15" customHeight="1" x14ac:dyDescent="0.3">
      <c r="D1" s="412" t="s">
        <v>0</v>
      </c>
      <c r="E1" s="412"/>
      <c r="F1" s="23">
        <v>26</v>
      </c>
      <c r="G1" s="23"/>
      <c r="P1" t="s">
        <v>812</v>
      </c>
    </row>
    <row r="2" spans="1:18" ht="15" customHeight="1" x14ac:dyDescent="0.3">
      <c r="D2" s="412" t="s">
        <v>1</v>
      </c>
      <c r="E2" s="412"/>
      <c r="F2" s="23">
        <v>0</v>
      </c>
      <c r="G2" s="23"/>
    </row>
    <row r="3" spans="1:18" ht="15" customHeight="1" x14ac:dyDescent="0.3">
      <c r="A3" s="414" t="s">
        <v>1628</v>
      </c>
      <c r="B3" s="414"/>
      <c r="C3" s="414"/>
      <c r="D3" s="414"/>
      <c r="E3" s="414"/>
      <c r="F3" s="414"/>
      <c r="G3" s="414"/>
      <c r="H3" s="414"/>
      <c r="I3" s="414"/>
      <c r="J3" s="414"/>
      <c r="K3" s="414"/>
      <c r="L3" s="414"/>
      <c r="M3" s="414"/>
      <c r="N3" s="414"/>
    </row>
    <row r="4" spans="1:18" s="22" customFormat="1" ht="34.950000000000003" customHeight="1" x14ac:dyDescent="0.25">
      <c r="A4" s="178" t="s">
        <v>2</v>
      </c>
      <c r="B4" s="178" t="s">
        <v>302</v>
      </c>
      <c r="C4" s="178" t="s">
        <v>3</v>
      </c>
      <c r="D4" s="178" t="s">
        <v>4</v>
      </c>
      <c r="E4" s="178" t="s">
        <v>5</v>
      </c>
      <c r="F4" s="178" t="s">
        <v>6</v>
      </c>
      <c r="G4" s="178" t="s">
        <v>7</v>
      </c>
      <c r="H4" s="178" t="s">
        <v>8</v>
      </c>
      <c r="I4" s="178" t="s">
        <v>9</v>
      </c>
      <c r="J4" s="178" t="s">
        <v>25</v>
      </c>
      <c r="K4" s="178" t="s">
        <v>301</v>
      </c>
      <c r="L4" s="178" t="s">
        <v>10</v>
      </c>
      <c r="M4" s="178" t="s">
        <v>11</v>
      </c>
      <c r="N4" s="178" t="s">
        <v>793</v>
      </c>
      <c r="O4" s="255" t="s">
        <v>803</v>
      </c>
      <c r="P4" s="223" t="s">
        <v>791</v>
      </c>
      <c r="Q4" s="223" t="s">
        <v>792</v>
      </c>
      <c r="R4" s="223" t="s">
        <v>802</v>
      </c>
    </row>
    <row r="5" spans="1:18" s="14" customFormat="1" ht="20.25" customHeight="1" x14ac:dyDescent="0.3">
      <c r="A5" s="252">
        <v>1</v>
      </c>
      <c r="B5" s="262" t="b">
        <v>1</v>
      </c>
      <c r="C5" s="263" t="s">
        <v>12</v>
      </c>
      <c r="D5" s="264">
        <f>Staff_Headcount-1</f>
        <v>6</v>
      </c>
      <c r="E5" s="265"/>
      <c r="F5" s="264">
        <f>Staff_Fixed_Salary-F6</f>
        <v>204178</v>
      </c>
      <c r="G5" s="179">
        <f>Summary[[#This Row],[Fixed Salary]]/Summary[[#This Row],[Total HeadCount]]</f>
        <v>34029.666666666664</v>
      </c>
      <c r="H5" s="179">
        <f>Staff[[#Totals],[Earned Salary]]-H6</f>
        <v>168699</v>
      </c>
      <c r="I5" s="179">
        <f>(Summary[[#This Row],[Fixed Salary]]/$F$1)*F2</f>
        <v>0</v>
      </c>
      <c r="J5" s="179">
        <f>Staff_Deductions</f>
        <v>0</v>
      </c>
      <c r="K5" s="179">
        <f>Summary[[#This Row],[Earned Salary - TillDate]]+Summary[[#This Row],[Projection for Balance Days]]</f>
        <v>168699</v>
      </c>
      <c r="L5" s="179">
        <f>Summary[[#This Row],[Earned Salary - TillDate]]+Summary[[#This Row],[Projection for Balance Days]]-Summary[[#This Row],[Deductions]]</f>
        <v>168699</v>
      </c>
      <c r="M5" s="179">
        <f>Staff[[#Totals],[EARN SALARY (After Deductions)]]-M6</f>
        <v>168299</v>
      </c>
      <c r="N5" s="179" t="e">
        <f>Operators[[#Totals],[Earned Salary]]</f>
        <v>#REF!</v>
      </c>
      <c r="O5" s="221"/>
      <c r="P5" s="222"/>
      <c r="Q5" s="222"/>
      <c r="R5" s="222"/>
    </row>
    <row r="6" spans="1:18" s="14" customFormat="1" ht="20.25" customHeight="1" x14ac:dyDescent="0.3">
      <c r="A6" s="252">
        <v>3</v>
      </c>
      <c r="B6" s="262" t="b">
        <v>1</v>
      </c>
      <c r="C6" s="263" t="s">
        <v>13</v>
      </c>
      <c r="D6" s="264">
        <v>1</v>
      </c>
      <c r="E6" s="265"/>
      <c r="F6" s="264">
        <f>Sample_Tailor_Fixed_Salary</f>
        <v>27000</v>
      </c>
      <c r="G6" s="179"/>
      <c r="H6" s="179">
        <f>Sample_Tailor_Earned_Salary</f>
        <v>21500</v>
      </c>
      <c r="I6" s="179"/>
      <c r="J6" s="179"/>
      <c r="K6" s="179">
        <f>Summary[[#This Row],[Earned Salary - TillDate]]+Summary[[#This Row],[Projection for Balance Days]]</f>
        <v>21500</v>
      </c>
      <c r="L6" s="179">
        <f>Summary[[#This Row],[Earned Salary - TillDate]]+Summary[[#This Row],[Projection for Balance Days]]-Summary[[#This Row],[Deductions]]</f>
        <v>21500</v>
      </c>
      <c r="M6" s="179">
        <f>Sample_Tailor_Earned_Salary</f>
        <v>21500</v>
      </c>
      <c r="N6" s="179" t="e">
        <f>Operators[[#Totals],[Earned Salary]]</f>
        <v>#REF!</v>
      </c>
      <c r="O6" s="222"/>
      <c r="P6" s="222"/>
      <c r="Q6" s="222"/>
      <c r="R6" s="222"/>
    </row>
    <row r="7" spans="1:18" s="14" customFormat="1" ht="31.5" customHeight="1" x14ac:dyDescent="0.3">
      <c r="A7" s="252">
        <v>4</v>
      </c>
      <c r="B7" s="262" t="b">
        <v>1</v>
      </c>
      <c r="C7" s="263" t="s">
        <v>14</v>
      </c>
      <c r="D7" s="264">
        <f>Helpers_Headcount</f>
        <v>13</v>
      </c>
      <c r="E7" s="265"/>
      <c r="F7" s="264">
        <f>Helpers_Fixed_Salary</f>
        <v>135444</v>
      </c>
      <c r="G7" s="179">
        <f>Summary[[#This Row],[Fixed Salary]]/Summary[[#This Row],[Total HeadCount]]</f>
        <v>10418.76923076923</v>
      </c>
      <c r="H7" s="179">
        <f>Helpers_Earned_Salary</f>
        <v>95382</v>
      </c>
      <c r="I7" s="179">
        <f>Summary[[#This Row],[Fixed Salary]]/$F$1*$F$2</f>
        <v>0</v>
      </c>
      <c r="J7" s="179"/>
      <c r="K7" s="179">
        <f>Summary[[#This Row],[Earned Salary - TillDate]]+Summary[[#This Row],[Projection for Balance Days]]</f>
        <v>95382</v>
      </c>
      <c r="L7" s="179">
        <f>Summary[[#This Row],[Earned Salary - TillDate]]+Summary[[#This Row],[Projection for Balance Days]]-Summary[[#This Row],[Deductions]]</f>
        <v>95382</v>
      </c>
      <c r="M7" s="179">
        <f>Helpers_Expense</f>
        <v>95382</v>
      </c>
      <c r="N7" s="179" t="e">
        <f>Operators[[#Totals],[Earned Salary]]</f>
        <v>#REF!</v>
      </c>
      <c r="O7" s="222"/>
      <c r="P7" s="222"/>
      <c r="Q7" s="222"/>
      <c r="R7" s="222"/>
    </row>
    <row r="8" spans="1:18" s="14" customFormat="1" ht="20.25" customHeight="1" x14ac:dyDescent="0.3">
      <c r="A8" s="252">
        <v>5</v>
      </c>
      <c r="B8" s="262" t="b">
        <v>1</v>
      </c>
      <c r="C8" s="263" t="s">
        <v>15</v>
      </c>
      <c r="D8" s="179">
        <f>Company_HeadCount</f>
        <v>0</v>
      </c>
      <c r="E8" s="265" t="e">
        <f>#REF!-5 &amp; " Workers," &amp; " 5 " &amp; "operators"</f>
        <v>#REF!</v>
      </c>
      <c r="F8" s="264" cm="1">
        <f t="array" ref="F8">Company_Fixed</f>
        <v>114636</v>
      </c>
      <c r="G8" s="179" t="e">
        <f>Summary[[#This Row],[Fixed Salary]]/Summary[[#This Row],[Total HeadCount]]</f>
        <v>#DIV/0!</v>
      </c>
      <c r="H8" s="179">
        <f>Company_Earning_Salary</f>
        <v>122323.57407407404</v>
      </c>
      <c r="I8" s="179">
        <f>Summary[[#This Row],[Fixed Salary]]/$F$1*$F$2</f>
        <v>0</v>
      </c>
      <c r="J8" s="179" cm="1">
        <f t="array" ref="J8">Company_Workers_Deductions</f>
        <v>13425.333472222221</v>
      </c>
      <c r="K8" s="179">
        <f>Summary[[#This Row],[Earned Salary - TillDate]]+Summary[[#This Row],[Projection for Balance Days]]</f>
        <v>122323.57407407404</v>
      </c>
      <c r="L8" s="179">
        <f>Summary[[#This Row],[Earned Salary - TillDate]]+Summary[[#This Row],[Projection for Balance Days]]-Summary[[#This Row],[Deductions]]</f>
        <v>108898.24060185182</v>
      </c>
      <c r="M8" s="179">
        <f>Workers[[#Totals],[NET]]</f>
        <v>108900</v>
      </c>
      <c r="N8" s="179" t="e">
        <f>Operators[[#Totals],[Earned Salary]]</f>
        <v>#REF!</v>
      </c>
      <c r="O8" s="222"/>
      <c r="P8" s="222"/>
      <c r="Q8" s="222"/>
      <c r="R8" s="222"/>
    </row>
    <row r="9" spans="1:18" s="14" customFormat="1" ht="20.25" customHeight="1" x14ac:dyDescent="0.3">
      <c r="A9" s="266">
        <v>7</v>
      </c>
      <c r="B9" s="267" t="b">
        <v>1</v>
      </c>
      <c r="C9" s="263" t="s">
        <v>303</v>
      </c>
      <c r="D9" s="264"/>
      <c r="E9" s="265"/>
      <c r="F9" s="264" t="e" cm="1">
        <f t="array" ref="F9">Fixed_Other_Payments_Fixed</f>
        <v>#REF!</v>
      </c>
      <c r="G9" s="179"/>
      <c r="H9" s="179" t="e">
        <f>Summary[[#This Row],[Fixed Salary]]</f>
        <v>#REF!</v>
      </c>
      <c r="I9" s="179"/>
      <c r="J9" s="179"/>
      <c r="K9" s="179" t="e">
        <f>Summary[[#This Row],[Earned Salary - TillDate]]+Summary[[#This Row],[Projection for Balance Days]]</f>
        <v>#REF!</v>
      </c>
      <c r="L9" s="179" t="e">
        <f>Summary[[#This Row],[Earned Salary - TillDate]]+Summary[[#This Row],[Projection for Balance Days]]-Summary[[#This Row],[Deductions]]</f>
        <v>#REF!</v>
      </c>
      <c r="M9" s="179">
        <f>Fixed_Payment[[#Totals],[Total Payment]]</f>
        <v>180576</v>
      </c>
      <c r="N9" s="179" t="e">
        <f>Operators[[#Totals],[Earned Salary]]</f>
        <v>#REF!</v>
      </c>
      <c r="O9" s="222"/>
      <c r="P9" s="222"/>
      <c r="Q9" s="222"/>
      <c r="R9" s="222"/>
    </row>
    <row r="10" spans="1:18" s="14" customFormat="1" ht="20.25" customHeight="1" x14ac:dyDescent="0.3">
      <c r="A10" s="252">
        <v>8</v>
      </c>
      <c r="B10" s="262" t="b">
        <v>1</v>
      </c>
      <c r="C10" s="263" t="s">
        <v>16</v>
      </c>
      <c r="D10" s="264">
        <f>I_B_Headcount</f>
        <v>3</v>
      </c>
      <c r="E10" s="265"/>
      <c r="F10" s="264">
        <f>I_B_Expense</f>
        <v>48466</v>
      </c>
      <c r="G10" s="179">
        <f>Summary[[#This Row],[Fixed Salary]]/Summary[[#This Row],[Total HeadCount]]</f>
        <v>16155.333333333334</v>
      </c>
      <c r="H10" s="179">
        <f>I_B[[#Totals],[Piece Rate Payment]]</f>
        <v>48466</v>
      </c>
      <c r="I10" s="179"/>
      <c r="J10" s="179" cm="1">
        <f t="array" ref="J10">I_B_Deductions</f>
        <v>0</v>
      </c>
      <c r="K10" s="179">
        <f>Summary[[#This Row],[Earned Salary - TillDate]]+Summary[[#This Row],[Projection for Balance Days]]</f>
        <v>48466</v>
      </c>
      <c r="L10" s="179">
        <f>Summary[[#This Row],[Earned Salary - TillDate]]+Summary[[#This Row],[Projection for Balance Days]]-Summary[[#This Row],[Deductions]]</f>
        <v>48466</v>
      </c>
      <c r="M10" s="179">
        <f>I_B_Expense</f>
        <v>48466</v>
      </c>
      <c r="N10" s="179" t="e">
        <f>Operators[[#Totals],[Earned Salary]]</f>
        <v>#REF!</v>
      </c>
      <c r="O10" s="256"/>
      <c r="P10" s="253"/>
      <c r="Q10" s="253"/>
      <c r="R10" s="252"/>
    </row>
    <row r="11" spans="1:18" s="14" customFormat="1" ht="20.25" customHeight="1" x14ac:dyDescent="0.3">
      <c r="A11" s="252">
        <v>9</v>
      </c>
      <c r="B11" s="262" t="b">
        <v>1</v>
      </c>
      <c r="C11" s="263" t="s">
        <v>17</v>
      </c>
      <c r="D11" s="264" t="e">
        <f>Op_Headcount</f>
        <v>#REF!</v>
      </c>
      <c r="E11" s="265"/>
      <c r="F11" s="179" t="e">
        <f>#REF!</f>
        <v>#REF!</v>
      </c>
      <c r="G11" s="179" t="e">
        <f>Summary[[#This Row],[Fixed Salary]]/Summary[[#This Row],[Total HeadCount]]</f>
        <v>#REF!</v>
      </c>
      <c r="H11" s="179" t="e">
        <f>#REF!</f>
        <v>#REF!</v>
      </c>
      <c r="I11" s="179" t="e">
        <f>Summary[[#This Row],[Fixed Salary]]/$F$1*$F$2</f>
        <v>#REF!</v>
      </c>
      <c r="J11" s="179" t="e" cm="1">
        <f t="array" ref="J11">Op_Deductions</f>
        <v>#REF!</v>
      </c>
      <c r="K11" s="179" t="e">
        <f>Summary[[#This Row],[Earned Salary - TillDate]]+Summary[[#This Row],[Projection for Balance Days]]</f>
        <v>#REF!</v>
      </c>
      <c r="L11" s="179" t="e">
        <f>Summary[[#This Row],[Earned Salary - TillDate]]+Summary[[#This Row],[Projection for Balance Days]]-Summary[[#This Row],[Deductions]]</f>
        <v>#REF!</v>
      </c>
      <c r="M11" s="179" t="e">
        <f>Operators[[#Totals],['#Calculated Amount]]</f>
        <v>#REF!</v>
      </c>
      <c r="N11" s="179" t="e">
        <f>Operators[[#Totals],[Earned Salary]]</f>
        <v>#REF!</v>
      </c>
      <c r="O11" s="256"/>
      <c r="P11" s="253"/>
      <c r="Q11" s="253"/>
      <c r="R11" s="252"/>
    </row>
    <row r="12" spans="1:18" s="14" customFormat="1" ht="20.25" customHeight="1" x14ac:dyDescent="0.3">
      <c r="A12" s="252"/>
      <c r="B12" s="262" t="b">
        <v>0</v>
      </c>
      <c r="C12" s="302" t="s">
        <v>811</v>
      </c>
      <c r="D12" s="303"/>
      <c r="E12" s="304"/>
      <c r="F12" s="305"/>
      <c r="G12" s="305"/>
      <c r="H12" s="305"/>
      <c r="I12" s="305"/>
      <c r="J12" s="305"/>
      <c r="K12" s="305"/>
      <c r="L12" s="305"/>
      <c r="O12" s="305" t="e">
        <f>Operators[[#Totals],[Hold salary]]</f>
        <v>#REF!</v>
      </c>
      <c r="P12" s="301"/>
      <c r="Q12" s="301"/>
      <c r="R12" s="222"/>
    </row>
    <row r="13" spans="1:18" s="14" customFormat="1" ht="21" customHeight="1" x14ac:dyDescent="0.3">
      <c r="A13" s="62" t="s">
        <v>18</v>
      </c>
      <c r="B13" s="62"/>
      <c r="C13" s="62" t="s">
        <v>1629</v>
      </c>
      <c r="D13" s="63" t="e">
        <f>SUM(D5:D11)</f>
        <v>#REF!</v>
      </c>
      <c r="E13" s="64"/>
      <c r="F13" s="65" t="e">
        <f>SUM(Summary[Fixed Salary])</f>
        <v>#REF!</v>
      </c>
      <c r="G13" s="65"/>
      <c r="H13" s="65" t="e">
        <f>SUM(Summary[Earned Salary - TillDate])</f>
        <v>#REF!</v>
      </c>
      <c r="I13" s="65" t="e">
        <f>SUM(Summary[Projection for Balance Days])</f>
        <v>#REF!</v>
      </c>
      <c r="J13" s="65"/>
      <c r="K13" s="65"/>
      <c r="L13" s="66" t="e">
        <f>SUM(Summary[Projection Total])</f>
        <v>#REF!</v>
      </c>
      <c r="M13" s="65" t="e">
        <f>SUM(Summary[Actuals])</f>
        <v>#REF!</v>
      </c>
      <c r="N13" s="65" t="e">
        <f>SUM(Summary[BANK])</f>
        <v>#REF!</v>
      </c>
    </row>
    <row r="14" spans="1:18" ht="18" hidden="1" customHeight="1" x14ac:dyDescent="0.3">
      <c r="A14" s="257"/>
      <c r="B14" s="257"/>
      <c r="C14" s="258"/>
      <c r="D14" s="259"/>
      <c r="E14" s="259"/>
      <c r="F14" s="260" t="e">
        <f>F13/100000</f>
        <v>#REF!</v>
      </c>
      <c r="G14" s="259" t="s">
        <v>19</v>
      </c>
      <c r="H14" s="259"/>
      <c r="I14" s="261"/>
      <c r="J14" s="261"/>
      <c r="K14" s="261"/>
      <c r="L14" s="260" t="e">
        <f>L13/100000</f>
        <v>#REF!</v>
      </c>
      <c r="M14" s="259"/>
      <c r="N14" s="38"/>
    </row>
    <row r="15" spans="1:18" ht="15" hidden="1" customHeight="1" x14ac:dyDescent="0.3">
      <c r="C15" s="254"/>
      <c r="R15" s="14"/>
    </row>
    <row r="32" spans="9:11" ht="15" customHeight="1" x14ac:dyDescent="0.3">
      <c r="I32" s="68"/>
      <c r="J32" s="68"/>
      <c r="K32" s="68"/>
    </row>
    <row r="35" spans="4:7" ht="15" customHeight="1" x14ac:dyDescent="0.3">
      <c r="D35" s="99" t="s">
        <v>321</v>
      </c>
      <c r="E35" s="99"/>
    </row>
    <row r="36" spans="4:7" ht="15" customHeight="1" x14ac:dyDescent="0.3">
      <c r="D36" s="72" t="s">
        <v>322</v>
      </c>
      <c r="E36" s="72" t="s">
        <v>320</v>
      </c>
    </row>
    <row r="37" spans="4:7" ht="15" customHeight="1" x14ac:dyDescent="0.3">
      <c r="D37" s="72" t="s">
        <v>34</v>
      </c>
      <c r="E37" s="72">
        <v>4000</v>
      </c>
    </row>
    <row r="38" spans="4:7" ht="15" customHeight="1" x14ac:dyDescent="0.3">
      <c r="D38" s="72" t="s">
        <v>146</v>
      </c>
      <c r="E38" s="72">
        <v>5000</v>
      </c>
    </row>
    <row r="39" spans="4:7" ht="15" customHeight="1" x14ac:dyDescent="0.3">
      <c r="D39" s="72" t="s">
        <v>323</v>
      </c>
      <c r="E39" s="72">
        <v>2600</v>
      </c>
    </row>
    <row r="40" spans="4:7" ht="15" customHeight="1" x14ac:dyDescent="0.3">
      <c r="D40" s="72" t="s">
        <v>324</v>
      </c>
      <c r="E40" s="72">
        <v>3000</v>
      </c>
    </row>
    <row r="41" spans="4:7" ht="15" customHeight="1" x14ac:dyDescent="0.3">
      <c r="D41" s="72" t="s">
        <v>140</v>
      </c>
      <c r="E41" s="72">
        <v>12264</v>
      </c>
    </row>
    <row r="42" spans="4:7" ht="15" customHeight="1" x14ac:dyDescent="0.3">
      <c r="E42" s="73">
        <f>SUM(E37:E41)</f>
        <v>26864</v>
      </c>
    </row>
    <row r="46" spans="4:7" ht="15" customHeight="1" x14ac:dyDescent="0.3">
      <c r="D46" s="74" t="s">
        <v>322</v>
      </c>
      <c r="E46" s="74" t="s">
        <v>326</v>
      </c>
      <c r="F46" s="74" t="s">
        <v>320</v>
      </c>
      <c r="G46" s="74" t="s">
        <v>329</v>
      </c>
    </row>
    <row r="47" spans="4:7" ht="15" customHeight="1" x14ac:dyDescent="0.3">
      <c r="D47" s="75" t="s">
        <v>49</v>
      </c>
      <c r="E47" s="75" t="s">
        <v>327</v>
      </c>
      <c r="F47" s="75">
        <v>4870</v>
      </c>
      <c r="G47" s="75"/>
    </row>
    <row r="48" spans="4:7" ht="15" customHeight="1" x14ac:dyDescent="0.3">
      <c r="D48" s="75" t="s">
        <v>53</v>
      </c>
      <c r="E48" s="75" t="s">
        <v>327</v>
      </c>
      <c r="F48" s="75">
        <v>3500</v>
      </c>
      <c r="G48" s="75">
        <f>F48</f>
        <v>3500</v>
      </c>
    </row>
    <row r="49" spans="4:7" ht="15" customHeight="1" x14ac:dyDescent="0.3">
      <c r="D49" s="75" t="s">
        <v>47</v>
      </c>
      <c r="E49" s="75" t="s">
        <v>327</v>
      </c>
      <c r="F49" s="75">
        <v>3450</v>
      </c>
      <c r="G49" s="75">
        <f>F49</f>
        <v>3450</v>
      </c>
    </row>
    <row r="50" spans="4:7" ht="15" customHeight="1" x14ac:dyDescent="0.3">
      <c r="D50" s="75" t="s">
        <v>48</v>
      </c>
      <c r="E50" s="75" t="s">
        <v>327</v>
      </c>
      <c r="F50" s="75">
        <v>1100</v>
      </c>
      <c r="G50" s="75">
        <f>F50</f>
        <v>1100</v>
      </c>
    </row>
    <row r="51" spans="4:7" ht="15" customHeight="1" x14ac:dyDescent="0.3">
      <c r="D51" s="75" t="s">
        <v>42</v>
      </c>
      <c r="E51" s="75" t="s">
        <v>325</v>
      </c>
      <c r="F51" s="75">
        <v>2700</v>
      </c>
      <c r="G51" s="75"/>
    </row>
    <row r="52" spans="4:7" ht="15" customHeight="1" x14ac:dyDescent="0.3">
      <c r="D52" s="76" t="s">
        <v>41</v>
      </c>
      <c r="E52" s="76" t="s">
        <v>327</v>
      </c>
      <c r="F52" s="76">
        <v>11117</v>
      </c>
      <c r="G52" s="75">
        <v>11117</v>
      </c>
    </row>
    <row r="53" spans="4:7" ht="15" customHeight="1" x14ac:dyDescent="0.35">
      <c r="D53" s="413" t="s">
        <v>328</v>
      </c>
      <c r="E53" s="413"/>
      <c r="F53" s="74">
        <f>SUM(F47:F52)</f>
        <v>26737</v>
      </c>
      <c r="G53" s="98">
        <f>G52+G50+G49+G48</f>
        <v>19167</v>
      </c>
    </row>
  </sheetData>
  <protectedRanges>
    <protectedRange sqref="F1:G1" name="Range1"/>
  </protectedRanges>
  <mergeCells count="4">
    <mergeCell ref="D1:E1"/>
    <mergeCell ref="D2:E2"/>
    <mergeCell ref="D53:E53"/>
    <mergeCell ref="A3:N3"/>
  </mergeCells>
  <phoneticPr fontId="43" type="noConversion"/>
  <conditionalFormatting sqref="D1:D2">
    <cfRule type="duplicateValues" dxfId="330" priority="1"/>
  </conditionalFormatting>
  <pageMargins left="0.7" right="0.7" top="0.75" bottom="0.75" header="0.3" footer="0.3"/>
  <pageSetup scale="92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B6A20-6425-4904-ABEA-11F469236814}">
  <sheetPr codeName="Sheet19">
    <tabColor theme="3" tint="-0.249977111117893"/>
  </sheetPr>
  <dimension ref="A1:W11"/>
  <sheetViews>
    <sheetView workbookViewId="0">
      <selection activeCell="O2" sqref="O2"/>
    </sheetView>
  </sheetViews>
  <sheetFormatPr defaultColWidth="8.77734375" defaultRowHeight="14.4" x14ac:dyDescent="0.3"/>
  <cols>
    <col min="1" max="1" width="22.77734375" bestFit="1" customWidth="1"/>
    <col min="3" max="3" width="14.33203125" bestFit="1" customWidth="1"/>
    <col min="4" max="4" width="2" bestFit="1" customWidth="1"/>
    <col min="5" max="5" width="20.109375" style="77" bestFit="1" customWidth="1"/>
    <col min="6" max="6" width="2" bestFit="1" customWidth="1"/>
    <col min="7" max="7" width="27.44140625" bestFit="1" customWidth="1"/>
    <col min="8" max="8" width="2" bestFit="1" customWidth="1"/>
    <col min="9" max="9" width="11.44140625" style="77" bestFit="1" customWidth="1"/>
    <col min="10" max="10" width="2" bestFit="1" customWidth="1"/>
    <col min="11" max="11" width="12.44140625" style="77" bestFit="1" customWidth="1"/>
    <col min="12" max="12" width="2" bestFit="1" customWidth="1"/>
    <col min="13" max="13" width="3" style="68" bestFit="1" customWidth="1"/>
    <col min="14" max="14" width="2" bestFit="1" customWidth="1"/>
    <col min="15" max="15" width="21" style="68" bestFit="1" customWidth="1"/>
    <col min="16" max="16" width="2" bestFit="1" customWidth="1"/>
    <col min="17" max="17" width="19.33203125" style="77" bestFit="1" customWidth="1"/>
    <col min="18" max="18" width="2" bestFit="1" customWidth="1"/>
    <col min="19" max="19" width="26.109375" style="77" bestFit="1" customWidth="1"/>
    <col min="20" max="20" width="2" bestFit="1" customWidth="1"/>
    <col min="21" max="21" width="2" style="68" bestFit="1" customWidth="1"/>
    <col min="22" max="22" width="2" bestFit="1" customWidth="1"/>
    <col min="23" max="23" width="23.6640625" style="77" bestFit="1" customWidth="1"/>
  </cols>
  <sheetData>
    <row r="1" spans="1:23" x14ac:dyDescent="0.3">
      <c r="A1" s="100" t="s">
        <v>351</v>
      </c>
      <c r="B1" s="100"/>
      <c r="C1" s="100" t="s">
        <v>315</v>
      </c>
      <c r="D1" s="100" t="s">
        <v>226</v>
      </c>
      <c r="E1" s="198" t="s">
        <v>316</v>
      </c>
      <c r="F1" s="100" t="s">
        <v>226</v>
      </c>
      <c r="G1" s="100" t="s">
        <v>317</v>
      </c>
      <c r="H1" s="100" t="s">
        <v>226</v>
      </c>
      <c r="I1" s="198" t="s">
        <v>30</v>
      </c>
      <c r="J1" s="100" t="s">
        <v>226</v>
      </c>
      <c r="K1" s="198" t="s">
        <v>29</v>
      </c>
      <c r="L1" s="100" t="s">
        <v>226</v>
      </c>
      <c r="M1" s="197">
        <v>10</v>
      </c>
      <c r="N1" s="100" t="s">
        <v>226</v>
      </c>
      <c r="O1" s="197" t="s">
        <v>230</v>
      </c>
      <c r="P1" s="100" t="s">
        <v>226</v>
      </c>
      <c r="Q1" s="198" t="s">
        <v>227</v>
      </c>
      <c r="R1" s="100" t="s">
        <v>226</v>
      </c>
      <c r="S1" s="198" t="s">
        <v>228</v>
      </c>
      <c r="T1" s="100" t="s">
        <v>226</v>
      </c>
      <c r="U1" s="197">
        <v>2</v>
      </c>
      <c r="V1" s="100" t="s">
        <v>226</v>
      </c>
      <c r="W1" s="198" t="s">
        <v>229</v>
      </c>
    </row>
    <row r="2" spans="1:23" x14ac:dyDescent="0.3">
      <c r="A2" s="72" t="s">
        <v>60</v>
      </c>
      <c r="B2" s="72"/>
      <c r="C2" s="72" t="s">
        <v>318</v>
      </c>
      <c r="D2" s="72" t="s">
        <v>226</v>
      </c>
      <c r="E2" s="196"/>
      <c r="F2" s="72" t="s">
        <v>226</v>
      </c>
      <c r="G2" s="72" t="s">
        <v>319</v>
      </c>
      <c r="H2" s="72" t="s">
        <v>226</v>
      </c>
      <c r="I2" s="196" t="s">
        <v>83</v>
      </c>
      <c r="J2" s="72" t="s">
        <v>226</v>
      </c>
      <c r="K2" s="196" t="s">
        <v>280</v>
      </c>
      <c r="L2" s="72" t="s">
        <v>226</v>
      </c>
      <c r="M2" s="195">
        <v>10</v>
      </c>
      <c r="N2" s="72" t="s">
        <v>226</v>
      </c>
      <c r="O2" s="195">
        <v>8500</v>
      </c>
      <c r="P2" s="72" t="s">
        <v>226</v>
      </c>
      <c r="Q2" s="196" t="s">
        <v>60</v>
      </c>
      <c r="R2" s="72" t="s">
        <v>226</v>
      </c>
      <c r="S2" s="196" t="s">
        <v>78</v>
      </c>
      <c r="T2" s="72" t="s">
        <v>226</v>
      </c>
      <c r="U2" s="195">
        <v>2</v>
      </c>
      <c r="V2" s="72" t="s">
        <v>226</v>
      </c>
      <c r="W2" s="196" t="s">
        <v>131</v>
      </c>
    </row>
    <row r="3" spans="1:23" x14ac:dyDescent="0.3">
      <c r="A3" s="72" t="s">
        <v>62</v>
      </c>
      <c r="B3" s="72"/>
      <c r="C3" s="72" t="s">
        <v>318</v>
      </c>
      <c r="D3" s="72" t="s">
        <v>226</v>
      </c>
      <c r="E3" s="196"/>
      <c r="F3" s="72" t="s">
        <v>226</v>
      </c>
      <c r="G3" s="72" t="s">
        <v>319</v>
      </c>
      <c r="H3" s="72" t="s">
        <v>226</v>
      </c>
      <c r="I3" s="196">
        <v>0</v>
      </c>
      <c r="J3" s="72" t="s">
        <v>226</v>
      </c>
      <c r="K3" s="196">
        <v>0</v>
      </c>
      <c r="L3" s="72" t="s">
        <v>226</v>
      </c>
      <c r="M3" s="195">
        <v>10</v>
      </c>
      <c r="N3" s="72" t="s">
        <v>226</v>
      </c>
      <c r="O3" s="195">
        <v>44276</v>
      </c>
      <c r="P3" s="72" t="s">
        <v>226</v>
      </c>
      <c r="Q3" s="196">
        <v>0</v>
      </c>
      <c r="R3" s="72" t="s">
        <v>226</v>
      </c>
      <c r="S3" s="196">
        <v>0</v>
      </c>
      <c r="T3" s="72" t="s">
        <v>226</v>
      </c>
      <c r="U3" s="195">
        <v>2</v>
      </c>
      <c r="V3" s="72" t="s">
        <v>226</v>
      </c>
      <c r="W3" s="196">
        <v>0</v>
      </c>
    </row>
    <row r="4" spans="1:23" x14ac:dyDescent="0.3">
      <c r="A4" s="72" t="s">
        <v>63</v>
      </c>
      <c r="B4" s="72"/>
      <c r="C4" s="72" t="s">
        <v>318</v>
      </c>
      <c r="D4" s="72" t="s">
        <v>226</v>
      </c>
      <c r="E4" s="196"/>
      <c r="F4" s="72" t="s">
        <v>226</v>
      </c>
      <c r="G4" s="72" t="s">
        <v>319</v>
      </c>
      <c r="H4" s="72" t="s">
        <v>226</v>
      </c>
      <c r="I4" s="196" t="s">
        <v>77</v>
      </c>
      <c r="J4" s="72" t="s">
        <v>226</v>
      </c>
      <c r="K4" s="196">
        <v>846786783</v>
      </c>
      <c r="L4" s="72" t="s">
        <v>226</v>
      </c>
      <c r="M4" s="195">
        <v>10</v>
      </c>
      <c r="N4" s="72" t="s">
        <v>226</v>
      </c>
      <c r="O4" s="195">
        <v>5000</v>
      </c>
      <c r="P4" s="72" t="s">
        <v>226</v>
      </c>
      <c r="Q4" s="196" t="s">
        <v>300</v>
      </c>
      <c r="R4" s="72" t="s">
        <v>226</v>
      </c>
      <c r="S4" s="196" t="s">
        <v>78</v>
      </c>
      <c r="T4" s="72" t="s">
        <v>226</v>
      </c>
      <c r="U4" s="195">
        <v>2</v>
      </c>
      <c r="V4" s="72" t="s">
        <v>226</v>
      </c>
      <c r="W4" s="196" t="s">
        <v>76</v>
      </c>
    </row>
    <row r="5" spans="1:23" x14ac:dyDescent="0.3">
      <c r="A5" s="72" t="s">
        <v>788</v>
      </c>
      <c r="B5" s="72"/>
      <c r="C5" s="72" t="s">
        <v>318</v>
      </c>
      <c r="D5" s="72" t="s">
        <v>226</v>
      </c>
      <c r="E5" s="196"/>
      <c r="F5" s="72" t="s">
        <v>226</v>
      </c>
      <c r="G5" s="72" t="s">
        <v>319</v>
      </c>
      <c r="H5" s="72" t="s">
        <v>226</v>
      </c>
      <c r="I5" s="196" t="e">
        <v>#N/A</v>
      </c>
      <c r="J5" s="72" t="s">
        <v>226</v>
      </c>
      <c r="K5" s="196" t="e">
        <v>#N/A</v>
      </c>
      <c r="L5" s="72" t="s">
        <v>226</v>
      </c>
      <c r="M5" s="195">
        <v>10</v>
      </c>
      <c r="N5" s="72" t="s">
        <v>226</v>
      </c>
      <c r="O5" s="195">
        <v>13000</v>
      </c>
      <c r="P5" s="72" t="s">
        <v>226</v>
      </c>
      <c r="Q5" s="196" t="e">
        <v>#N/A</v>
      </c>
      <c r="R5" s="72" t="s">
        <v>226</v>
      </c>
      <c r="S5" s="196" t="e">
        <v>#N/A</v>
      </c>
      <c r="T5" s="72" t="s">
        <v>226</v>
      </c>
      <c r="U5" s="195">
        <v>2</v>
      </c>
      <c r="V5" s="72" t="s">
        <v>226</v>
      </c>
      <c r="W5" s="196" t="e">
        <v>#N/A</v>
      </c>
    </row>
    <row r="6" spans="1:23" x14ac:dyDescent="0.3">
      <c r="A6" s="72" t="s">
        <v>804</v>
      </c>
      <c r="B6" s="72"/>
      <c r="C6" s="72" t="s">
        <v>318</v>
      </c>
      <c r="D6" s="72" t="s">
        <v>226</v>
      </c>
      <c r="E6" s="196"/>
      <c r="F6" s="72" t="s">
        <v>226</v>
      </c>
      <c r="G6" s="72" t="s">
        <v>319</v>
      </c>
      <c r="H6" s="72" t="s">
        <v>226</v>
      </c>
      <c r="I6" s="196" t="e">
        <v>#N/A</v>
      </c>
      <c r="J6" s="72" t="s">
        <v>226</v>
      </c>
      <c r="K6" s="196" t="e">
        <v>#N/A</v>
      </c>
      <c r="L6" s="72" t="s">
        <v>226</v>
      </c>
      <c r="M6" s="195">
        <v>10</v>
      </c>
      <c r="N6" s="72" t="s">
        <v>226</v>
      </c>
      <c r="O6" s="195">
        <v>3200</v>
      </c>
      <c r="P6" s="72" t="s">
        <v>226</v>
      </c>
      <c r="Q6" s="196" t="e">
        <v>#N/A</v>
      </c>
      <c r="R6" s="72" t="s">
        <v>226</v>
      </c>
      <c r="S6" s="196" t="e">
        <v>#N/A</v>
      </c>
      <c r="T6" s="72" t="s">
        <v>226</v>
      </c>
      <c r="U6" s="195">
        <v>2</v>
      </c>
      <c r="V6" s="72" t="s">
        <v>226</v>
      </c>
      <c r="W6" s="196" t="e">
        <v>#N/A</v>
      </c>
    </row>
    <row r="7" spans="1:23" x14ac:dyDescent="0.3">
      <c r="A7" s="72" t="s">
        <v>805</v>
      </c>
      <c r="B7" s="72"/>
      <c r="C7" s="72" t="s">
        <v>318</v>
      </c>
      <c r="D7" s="72" t="s">
        <v>226</v>
      </c>
      <c r="E7" s="196"/>
      <c r="F7" s="72" t="s">
        <v>226</v>
      </c>
      <c r="G7" s="72" t="s">
        <v>319</v>
      </c>
      <c r="H7" s="72" t="s">
        <v>226</v>
      </c>
      <c r="I7" s="196" t="e">
        <v>#N/A</v>
      </c>
      <c r="J7" s="72" t="s">
        <v>226</v>
      </c>
      <c r="K7" s="196" t="e">
        <v>#N/A</v>
      </c>
      <c r="L7" s="72" t="s">
        <v>226</v>
      </c>
      <c r="M7" s="195">
        <v>10</v>
      </c>
      <c r="N7" s="72" t="s">
        <v>226</v>
      </c>
      <c r="O7" s="195">
        <v>300</v>
      </c>
      <c r="P7" s="72" t="s">
        <v>226</v>
      </c>
      <c r="Q7" s="196" t="e">
        <v>#N/A</v>
      </c>
      <c r="R7" s="72" t="s">
        <v>226</v>
      </c>
      <c r="S7" s="196" t="e">
        <v>#N/A</v>
      </c>
      <c r="T7" s="72" t="s">
        <v>226</v>
      </c>
      <c r="U7" s="195">
        <v>2</v>
      </c>
      <c r="V7" s="72" t="s">
        <v>226</v>
      </c>
      <c r="W7" s="196" t="e">
        <v>#N/A</v>
      </c>
    </row>
    <row r="8" spans="1:23" x14ac:dyDescent="0.3">
      <c r="A8" s="72" t="s">
        <v>806</v>
      </c>
      <c r="B8" s="72"/>
      <c r="C8" s="72" t="s">
        <v>318</v>
      </c>
      <c r="D8" s="72" t="s">
        <v>226</v>
      </c>
      <c r="E8" s="196"/>
      <c r="F8" s="72" t="s">
        <v>226</v>
      </c>
      <c r="G8" s="72" t="s">
        <v>319</v>
      </c>
      <c r="H8" s="72" t="s">
        <v>226</v>
      </c>
      <c r="I8" s="196" t="e">
        <v>#N/A</v>
      </c>
      <c r="J8" s="72" t="s">
        <v>226</v>
      </c>
      <c r="K8" s="196" t="e">
        <v>#N/A</v>
      </c>
      <c r="L8" s="72" t="s">
        <v>226</v>
      </c>
      <c r="M8" s="195">
        <v>10</v>
      </c>
      <c r="N8" s="72" t="s">
        <v>226</v>
      </c>
      <c r="O8" s="195">
        <v>14000</v>
      </c>
      <c r="P8" s="72" t="s">
        <v>226</v>
      </c>
      <c r="Q8" s="196" t="e">
        <v>#N/A</v>
      </c>
      <c r="R8" s="72" t="s">
        <v>226</v>
      </c>
      <c r="S8" s="196" t="e">
        <v>#N/A</v>
      </c>
      <c r="T8" s="72" t="s">
        <v>226</v>
      </c>
      <c r="U8" s="195">
        <v>2</v>
      </c>
      <c r="V8" s="72" t="s">
        <v>226</v>
      </c>
      <c r="W8" s="196" t="e">
        <v>#N/A</v>
      </c>
    </row>
    <row r="9" spans="1:23" x14ac:dyDescent="0.3">
      <c r="A9" s="72" t="s">
        <v>807</v>
      </c>
      <c r="B9" s="72"/>
      <c r="C9" s="72" t="s">
        <v>318</v>
      </c>
      <c r="D9" s="72" t="s">
        <v>226</v>
      </c>
      <c r="E9" s="196"/>
      <c r="F9" s="72" t="s">
        <v>226</v>
      </c>
      <c r="G9" s="72" t="s">
        <v>319</v>
      </c>
      <c r="H9" s="72" t="s">
        <v>226</v>
      </c>
      <c r="I9" s="196" t="e">
        <v>#N/A</v>
      </c>
      <c r="J9" s="72" t="s">
        <v>226</v>
      </c>
      <c r="K9" s="196" t="e">
        <v>#N/A</v>
      </c>
      <c r="L9" s="72" t="s">
        <v>226</v>
      </c>
      <c r="M9" s="195">
        <v>10</v>
      </c>
      <c r="N9" s="72" t="s">
        <v>226</v>
      </c>
      <c r="O9" s="195">
        <v>10000</v>
      </c>
      <c r="P9" s="72" t="s">
        <v>226</v>
      </c>
      <c r="Q9" s="196" t="e">
        <v>#N/A</v>
      </c>
      <c r="R9" s="72" t="s">
        <v>226</v>
      </c>
      <c r="S9" s="196" t="e">
        <v>#N/A</v>
      </c>
      <c r="T9" s="72" t="s">
        <v>226</v>
      </c>
      <c r="U9" s="195">
        <v>2</v>
      </c>
      <c r="V9" s="72" t="s">
        <v>226</v>
      </c>
      <c r="W9" s="196" t="e">
        <v>#N/A</v>
      </c>
    </row>
    <row r="10" spans="1:23" x14ac:dyDescent="0.3">
      <c r="A10" s="72" t="s">
        <v>809</v>
      </c>
      <c r="B10" s="72"/>
      <c r="C10" s="72" t="s">
        <v>318</v>
      </c>
      <c r="D10" s="72" t="s">
        <v>226</v>
      </c>
      <c r="E10" s="196"/>
      <c r="F10" s="72" t="s">
        <v>226</v>
      </c>
      <c r="G10" s="72" t="s">
        <v>319</v>
      </c>
      <c r="H10" s="72" t="s">
        <v>226</v>
      </c>
      <c r="I10" s="196" t="e">
        <v>#N/A</v>
      </c>
      <c r="J10" s="72" t="s">
        <v>226</v>
      </c>
      <c r="K10" s="196" t="e">
        <v>#N/A</v>
      </c>
      <c r="L10" s="72" t="s">
        <v>226</v>
      </c>
      <c r="M10" s="195">
        <v>10</v>
      </c>
      <c r="N10" s="72" t="s">
        <v>226</v>
      </c>
      <c r="O10" s="195">
        <v>50000</v>
      </c>
      <c r="P10" s="72" t="s">
        <v>226</v>
      </c>
      <c r="Q10" s="196" t="e">
        <v>#N/A</v>
      </c>
      <c r="R10" s="72" t="s">
        <v>226</v>
      </c>
      <c r="S10" s="196" t="e">
        <v>#N/A</v>
      </c>
      <c r="T10" s="72" t="s">
        <v>226</v>
      </c>
      <c r="U10" s="195">
        <v>2</v>
      </c>
      <c r="V10" s="72" t="s">
        <v>226</v>
      </c>
      <c r="W10" s="196" t="e">
        <v>#N/A</v>
      </c>
    </row>
    <row r="11" spans="1:23" x14ac:dyDescent="0.3">
      <c r="A11" s="72" t="s">
        <v>810</v>
      </c>
      <c r="B11" s="72"/>
      <c r="C11" s="72" t="s">
        <v>318</v>
      </c>
      <c r="D11" s="72" t="s">
        <v>226</v>
      </c>
      <c r="E11" s="196"/>
      <c r="F11" s="72" t="s">
        <v>226</v>
      </c>
      <c r="G11" s="72" t="s">
        <v>319</v>
      </c>
      <c r="H11" s="72" t="s">
        <v>226</v>
      </c>
      <c r="I11" s="196" t="e">
        <v>#N/A</v>
      </c>
      <c r="J11" s="72" t="s">
        <v>226</v>
      </c>
      <c r="K11" s="196" t="e">
        <v>#N/A</v>
      </c>
      <c r="L11" s="72" t="s">
        <v>226</v>
      </c>
      <c r="M11" s="195">
        <v>10</v>
      </c>
      <c r="N11" s="72" t="s">
        <v>226</v>
      </c>
      <c r="O11" s="195">
        <v>32300</v>
      </c>
      <c r="P11" s="72" t="s">
        <v>226</v>
      </c>
      <c r="Q11" s="196" t="e">
        <v>#N/A</v>
      </c>
      <c r="R11" s="72" t="s">
        <v>226</v>
      </c>
      <c r="S11" s="196" t="e">
        <v>#N/A</v>
      </c>
      <c r="T11" s="72" t="s">
        <v>226</v>
      </c>
      <c r="U11" s="195">
        <v>2</v>
      </c>
      <c r="V11" s="72" t="s">
        <v>226</v>
      </c>
      <c r="W11" s="196" t="e">
        <v>#N/A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9A20-C331-48DB-A6CE-170FAF434A05}">
  <sheetPr codeName="Sheet7">
    <tabColor theme="3" tint="-0.249977111117893"/>
  </sheetPr>
  <dimension ref="A1:M19"/>
  <sheetViews>
    <sheetView zoomScale="140" zoomScaleNormal="140" workbookViewId="0">
      <pane xSplit="2" ySplit="2" topLeftCell="C3" activePane="bottomRight" state="frozen"/>
      <selection activeCell="E3" sqref="E3"/>
      <selection pane="topRight" activeCell="E3" sqref="E3"/>
      <selection pane="bottomLeft" activeCell="E3" sqref="E3"/>
      <selection pane="bottomRight" activeCell="B6" sqref="B6"/>
    </sheetView>
  </sheetViews>
  <sheetFormatPr defaultColWidth="9.33203125" defaultRowHeight="14.25" customHeight="1" x14ac:dyDescent="0.25"/>
  <cols>
    <col min="1" max="1" width="9" style="1" customWidth="1"/>
    <col min="2" max="2" width="24.77734375" style="1" customWidth="1"/>
    <col min="3" max="3" width="15.44140625" style="1" customWidth="1"/>
    <col min="4" max="4" width="16.6640625" style="1" customWidth="1"/>
    <col min="5" max="5" width="17.6640625" style="1" customWidth="1"/>
    <col min="6" max="6" width="17" style="1" customWidth="1"/>
    <col min="7" max="7" width="21.33203125" style="1" customWidth="1"/>
    <col min="8" max="8" width="14.44140625" style="1" bestFit="1" customWidth="1"/>
    <col min="9" max="9" width="19.109375" style="1" customWidth="1"/>
    <col min="10" max="10" width="12.33203125" style="1" bestFit="1" customWidth="1"/>
    <col min="11" max="11" width="14" style="1" bestFit="1" customWidth="1"/>
    <col min="12" max="12" width="15.33203125" style="1" bestFit="1" customWidth="1"/>
    <col min="13" max="13" width="25.109375" style="1" customWidth="1"/>
    <col min="14" max="16384" width="9.33203125" style="1"/>
  </cols>
  <sheetData>
    <row r="1" spans="1:13" ht="43.95" customHeight="1" thickBot="1" x14ac:dyDescent="0.5">
      <c r="D1" s="415"/>
      <c r="E1" s="415"/>
      <c r="F1" s="8"/>
      <c r="G1" s="47" t="s">
        <v>20</v>
      </c>
    </row>
    <row r="2" spans="1:13" ht="32.25" customHeight="1" x14ac:dyDescent="0.25">
      <c r="A2" s="25" t="s">
        <v>21</v>
      </c>
      <c r="B2" s="48" t="s">
        <v>54</v>
      </c>
      <c r="C2" s="48" t="s">
        <v>22</v>
      </c>
      <c r="D2" s="48" t="s">
        <v>57</v>
      </c>
      <c r="E2" s="48" t="s">
        <v>25</v>
      </c>
      <c r="F2" s="49" t="s">
        <v>58</v>
      </c>
      <c r="G2" s="87" t="s">
        <v>351</v>
      </c>
      <c r="H2" s="87" t="s">
        <v>30</v>
      </c>
      <c r="I2" s="87" t="s">
        <v>29</v>
      </c>
      <c r="J2" s="87" t="s">
        <v>230</v>
      </c>
      <c r="K2" s="87" t="s">
        <v>227</v>
      </c>
      <c r="L2" s="87" t="s">
        <v>228</v>
      </c>
      <c r="M2" s="87" t="s">
        <v>229</v>
      </c>
    </row>
    <row r="3" spans="1:13" ht="15.75" customHeight="1" x14ac:dyDescent="0.25">
      <c r="A3" s="287">
        <f>ROW() - ROW(Fixed_Payment[[#Headers],[S.NO]])</f>
        <v>1</v>
      </c>
      <c r="B3" s="288" t="s">
        <v>59</v>
      </c>
      <c r="C3" s="286" t="s">
        <v>60</v>
      </c>
      <c r="D3" s="289">
        <v>8500</v>
      </c>
      <c r="E3" s="286"/>
      <c r="F3" s="50">
        <f t="shared" ref="F3:F10" si="0">D3</f>
        <v>8500</v>
      </c>
      <c r="G3" s="154" t="str">
        <f>Fixed_Payment[[#This Row],[NAME]]</f>
        <v>NAGARAJ</v>
      </c>
      <c r="H3" s="154" t="str">
        <f>_xlfn.XLOOKUP(Fixed_Payment[[#This Row],[EMP NAME]],Fixed_Payment_Bank[EMP NAME],Fixed_Payment_Bank[IFSC CODE])</f>
        <v>IDIB0PLB001</v>
      </c>
      <c r="I3" s="154" t="str">
        <f>_xlfn.XLOOKUP(Fixed_Payment[[#This Row],[EMP NAME]],Fixed_Payment_Bank[EMP NAME],Fixed_Payment_Bank[ACCOUNT NO])</f>
        <v>10026087525</v>
      </c>
      <c r="J3" s="156">
        <f>Fixed_Payment[[#This Row],[Total Payment]]</f>
        <v>8500</v>
      </c>
      <c r="K3" s="154" t="str">
        <f>_xlfn.XLOOKUP(Fixed_Payment[[#This Row],[EMP NAME]],Fixed_Payment_Bank[EMP NAME],Fixed_Payment_Bank[ACCOUNT NAME])</f>
        <v>NAGARAJ</v>
      </c>
      <c r="L3" s="154" t="str">
        <f>_xlfn.XLOOKUP(Fixed_Payment[[#This Row],[EMP NAME]],Fixed_Payment_Bank[EMP NAME],Fixed_Payment_Bank[Branch])</f>
        <v>SHOOLAGIRI</v>
      </c>
      <c r="M3" s="154" t="str">
        <f>_xlfn.XLOOKUP(Fixed_Payment[[#This Row],[EMP NAME]],Fixed_Payment_Bank[EMP NAME],Fixed_Payment_Bank[BANK NAME])</f>
        <v>TAMILNADU GRAMA BANK</v>
      </c>
    </row>
    <row r="4" spans="1:13" ht="15.75" customHeight="1" x14ac:dyDescent="0.25">
      <c r="A4" s="287">
        <f>ROW() - ROW(Fixed_Payment[[#Headers],[S.NO]])</f>
        <v>2</v>
      </c>
      <c r="B4" s="288" t="s">
        <v>61</v>
      </c>
      <c r="C4" s="286" t="s">
        <v>62</v>
      </c>
      <c r="D4" s="289">
        <v>44276</v>
      </c>
      <c r="E4" s="286"/>
      <c r="F4" s="50">
        <f t="shared" si="0"/>
        <v>44276</v>
      </c>
      <c r="G4" s="154" t="str">
        <f>Fixed_Payment[[#This Row],[NAME]]</f>
        <v>DEFENDER</v>
      </c>
      <c r="H4" s="154">
        <f>_xlfn.XLOOKUP(Fixed_Payment[[#This Row],[EMP NAME]],Fixed_Payment_Bank[EMP NAME],Fixed_Payment_Bank[IFSC CODE])</f>
        <v>0</v>
      </c>
      <c r="I4" s="154">
        <f>_xlfn.XLOOKUP(Fixed_Payment[[#This Row],[EMP NAME]],Fixed_Payment_Bank[EMP NAME],Fixed_Payment_Bank[ACCOUNT NO])</f>
        <v>0</v>
      </c>
      <c r="J4" s="156">
        <f>Fixed_Payment[[#This Row],[Total Payment]]</f>
        <v>44276</v>
      </c>
      <c r="K4" s="154">
        <f>_xlfn.XLOOKUP(Fixed_Payment[[#This Row],[EMP NAME]],Fixed_Payment_Bank[EMP NAME],Fixed_Payment_Bank[ACCOUNT NAME])</f>
        <v>0</v>
      </c>
      <c r="L4" s="154">
        <f>_xlfn.XLOOKUP(Fixed_Payment[[#This Row],[EMP NAME]],Fixed_Payment_Bank[EMP NAME],Fixed_Payment_Bank[Branch])</f>
        <v>0</v>
      </c>
      <c r="M4" s="154">
        <f>_xlfn.XLOOKUP(Fixed_Payment[[#This Row],[EMP NAME]],Fixed_Payment_Bank[EMP NAME],Fixed_Payment_Bank[BANK NAME])</f>
        <v>0</v>
      </c>
    </row>
    <row r="5" spans="1:13" ht="19.5" customHeight="1" x14ac:dyDescent="0.25">
      <c r="A5" s="287">
        <f>ROW() - ROW(Fixed_Payment[[#Headers],[S.NO]])</f>
        <v>3</v>
      </c>
      <c r="B5" s="290" t="s">
        <v>63</v>
      </c>
      <c r="C5" s="290" t="s">
        <v>63</v>
      </c>
      <c r="D5" s="291">
        <v>5000</v>
      </c>
      <c r="E5" s="292"/>
      <c r="F5" s="50">
        <f t="shared" si="0"/>
        <v>5000</v>
      </c>
      <c r="G5" s="177" t="str">
        <f>Fixed_Payment[[#This Row],[NAME]]</f>
        <v xml:space="preserve">Magik </v>
      </c>
      <c r="H5" s="154" t="str">
        <f>_xlfn.XLOOKUP(Fixed_Payment[[#This Row],[EMP NAME]],Fixed_Payment_Bank[EMP NAME],Fixed_Payment_Bank[IFSC CODE])</f>
        <v>IDIB000S023</v>
      </c>
      <c r="I5" s="154">
        <f>_xlfn.XLOOKUP(Fixed_Payment[[#This Row],[EMP NAME]],Fixed_Payment_Bank[EMP NAME],Fixed_Payment_Bank[ACCOUNT NO])</f>
        <v>846786783</v>
      </c>
      <c r="J5" s="156">
        <f>Fixed_Payment[[#This Row],[Total Payment]]</f>
        <v>5000</v>
      </c>
      <c r="K5" s="177" t="str">
        <f>_xlfn.XLOOKUP(Fixed_Payment[[#This Row],[EMP NAME]],Fixed_Payment_Bank[EMP NAME],Fixed_Payment_Bank[ACCOUNT NAME])</f>
        <v>RANGANATHAN</v>
      </c>
      <c r="L5" s="154" t="str">
        <f>_xlfn.XLOOKUP(Fixed_Payment[[#This Row],[EMP NAME]],Fixed_Payment_Bank[EMP NAME],Fixed_Payment_Bank[Branch])</f>
        <v>SHOOLAGIRI</v>
      </c>
      <c r="M5" s="154" t="str">
        <f>_xlfn.XLOOKUP(Fixed_Payment[[#This Row],[EMP NAME]],Fixed_Payment_Bank[EMP NAME],Fixed_Payment_Bank[BANK NAME])</f>
        <v>INDIAN BANK</v>
      </c>
    </row>
    <row r="6" spans="1:13" ht="19.5" customHeight="1" x14ac:dyDescent="0.25">
      <c r="A6" s="287">
        <f>ROW() - ROW(Fixed_Payment[[#Headers],[S.NO]])</f>
        <v>4</v>
      </c>
      <c r="B6" s="286" t="s">
        <v>789</v>
      </c>
      <c r="C6" s="288" t="s">
        <v>788</v>
      </c>
      <c r="D6" s="289">
        <v>13000</v>
      </c>
      <c r="E6" s="293"/>
      <c r="F6" s="50">
        <f t="shared" si="0"/>
        <v>13000</v>
      </c>
      <c r="G6" s="249" t="str">
        <f>Fixed_Payment[[#This Row],[NAME]]</f>
        <v>PT &amp; PROPERTY</v>
      </c>
      <c r="H6" s="250" t="e">
        <f>_xlfn.XLOOKUP(Fixed_Payment[[#This Row],[EMP NAME]],Fixed_Payment_Bank[EMP NAME],Fixed_Payment_Bank[IFSC CODE])</f>
        <v>#N/A</v>
      </c>
      <c r="I6" s="250" t="e">
        <f>_xlfn.XLOOKUP(Fixed_Payment[[#This Row],[EMP NAME]],Fixed_Payment_Bank[EMP NAME],Fixed_Payment_Bank[ACCOUNT NO])</f>
        <v>#N/A</v>
      </c>
      <c r="J6" s="251">
        <f>Fixed_Payment[[#This Row],[Total Payment]]</f>
        <v>13000</v>
      </c>
      <c r="K6" s="250" t="e">
        <f>_xlfn.XLOOKUP(Fixed_Payment[[#This Row],[EMP NAME]],Fixed_Payment_Bank[EMP NAME],Fixed_Payment_Bank[ACCOUNT NAME])</f>
        <v>#N/A</v>
      </c>
      <c r="L6" s="250" t="e">
        <f>_xlfn.XLOOKUP(Fixed_Payment[[#This Row],[EMP NAME]],Fixed_Payment_Bank[EMP NAME],Fixed_Payment_Bank[Branch])</f>
        <v>#N/A</v>
      </c>
      <c r="M6" s="250" t="e">
        <f>_xlfn.XLOOKUP(Fixed_Payment[[#This Row],[EMP NAME]],Fixed_Payment_Bank[EMP NAME],Fixed_Payment_Bank[BANK NAME])</f>
        <v>#N/A</v>
      </c>
    </row>
    <row r="7" spans="1:13" ht="19.5" customHeight="1" x14ac:dyDescent="0.25">
      <c r="A7" s="287">
        <f>ROW() - ROW(Fixed_Payment[[#Headers],[S.NO]])</f>
        <v>5</v>
      </c>
      <c r="B7" s="286" t="s">
        <v>808</v>
      </c>
      <c r="C7" s="288" t="s">
        <v>804</v>
      </c>
      <c r="D7" s="289">
        <v>3200</v>
      </c>
      <c r="E7" s="293"/>
      <c r="F7" s="50">
        <f t="shared" si="0"/>
        <v>3200</v>
      </c>
      <c r="G7" s="249" t="str">
        <f>Fixed_Payment[[#This Row],[NAME]]</f>
        <v>Internet AirFiber</v>
      </c>
      <c r="H7" s="250" t="e">
        <f>_xlfn.XLOOKUP(Fixed_Payment[[#This Row],[EMP NAME]],Fixed_Payment_Bank[EMP NAME],Fixed_Payment_Bank[IFSC CODE])</f>
        <v>#N/A</v>
      </c>
      <c r="I7" s="250" t="e">
        <f>_xlfn.XLOOKUP(Fixed_Payment[[#This Row],[EMP NAME]],Fixed_Payment_Bank[EMP NAME],Fixed_Payment_Bank[ACCOUNT NO])</f>
        <v>#N/A</v>
      </c>
      <c r="J7" s="251">
        <f>Fixed_Payment[[#This Row],[Total Payment]]</f>
        <v>3200</v>
      </c>
      <c r="K7" s="250" t="e">
        <f>_xlfn.XLOOKUP(Fixed_Payment[[#This Row],[EMP NAME]],Fixed_Payment_Bank[EMP NAME],Fixed_Payment_Bank[ACCOUNT NAME])</f>
        <v>#N/A</v>
      </c>
      <c r="L7" s="250" t="e">
        <f>_xlfn.XLOOKUP(Fixed_Payment[[#This Row],[EMP NAME]],Fixed_Payment_Bank[EMP NAME],Fixed_Payment_Bank[Branch])</f>
        <v>#N/A</v>
      </c>
      <c r="M7" s="250" t="e">
        <f>_xlfn.XLOOKUP(Fixed_Payment[[#This Row],[EMP NAME]],Fixed_Payment_Bank[EMP NAME],Fixed_Payment_Bank[BANK NAME])</f>
        <v>#N/A</v>
      </c>
    </row>
    <row r="8" spans="1:13" ht="19.5" customHeight="1" x14ac:dyDescent="0.25">
      <c r="A8" s="287">
        <f>ROW() - ROW(Fixed_Payment[[#Headers],[S.NO]])</f>
        <v>6</v>
      </c>
      <c r="B8" s="286" t="s">
        <v>808</v>
      </c>
      <c r="C8" s="288" t="s">
        <v>805</v>
      </c>
      <c r="D8" s="289">
        <v>300</v>
      </c>
      <c r="E8" s="293"/>
      <c r="F8" s="50">
        <f t="shared" si="0"/>
        <v>300</v>
      </c>
      <c r="G8" s="249" t="str">
        <f>Fixed_Payment[[#This Row],[NAME]]</f>
        <v>Internet Tick Fiber</v>
      </c>
      <c r="H8" s="250" t="e">
        <f>_xlfn.XLOOKUP(Fixed_Payment[[#This Row],[EMP NAME]],Fixed_Payment_Bank[EMP NAME],Fixed_Payment_Bank[IFSC CODE])</f>
        <v>#N/A</v>
      </c>
      <c r="I8" s="250" t="e">
        <f>_xlfn.XLOOKUP(Fixed_Payment[[#This Row],[EMP NAME]],Fixed_Payment_Bank[EMP NAME],Fixed_Payment_Bank[ACCOUNT NO])</f>
        <v>#N/A</v>
      </c>
      <c r="J8" s="251">
        <f>Fixed_Payment[[#This Row],[Total Payment]]</f>
        <v>300</v>
      </c>
      <c r="K8" s="250" t="e">
        <f>_xlfn.XLOOKUP(Fixed_Payment[[#This Row],[EMP NAME]],Fixed_Payment_Bank[EMP NAME],Fixed_Payment_Bank[ACCOUNT NAME])</f>
        <v>#N/A</v>
      </c>
      <c r="L8" s="250" t="e">
        <f>_xlfn.XLOOKUP(Fixed_Payment[[#This Row],[EMP NAME]],Fixed_Payment_Bank[EMP NAME],Fixed_Payment_Bank[Branch])</f>
        <v>#N/A</v>
      </c>
      <c r="M8" s="250" t="e">
        <f>_xlfn.XLOOKUP(Fixed_Payment[[#This Row],[EMP NAME]],Fixed_Payment_Bank[EMP NAME],Fixed_Payment_Bank[BANK NAME])</f>
        <v>#N/A</v>
      </c>
    </row>
    <row r="9" spans="1:13" ht="19.5" customHeight="1" x14ac:dyDescent="0.25">
      <c r="A9" s="287">
        <f>ROW() - ROW(Fixed_Payment[[#Headers],[S.NO]])</f>
        <v>7</v>
      </c>
      <c r="B9" s="286" t="s">
        <v>808</v>
      </c>
      <c r="C9" s="288" t="s">
        <v>806</v>
      </c>
      <c r="D9" s="289">
        <f>4 * 3500</f>
        <v>14000</v>
      </c>
      <c r="E9" s="293"/>
      <c r="F9" s="50">
        <f t="shared" si="0"/>
        <v>14000</v>
      </c>
      <c r="G9" s="249" t="str">
        <f>Fixed_Payment[[#This Row],[NAME]]</f>
        <v>Diesel @ 3500 perweek</v>
      </c>
      <c r="H9" s="250" t="e">
        <f>_xlfn.XLOOKUP(Fixed_Payment[[#This Row],[EMP NAME]],Fixed_Payment_Bank[EMP NAME],Fixed_Payment_Bank[IFSC CODE])</f>
        <v>#N/A</v>
      </c>
      <c r="I9" s="250" t="e">
        <f>_xlfn.XLOOKUP(Fixed_Payment[[#This Row],[EMP NAME]],Fixed_Payment_Bank[EMP NAME],Fixed_Payment_Bank[ACCOUNT NO])</f>
        <v>#N/A</v>
      </c>
      <c r="J9" s="251">
        <f>Fixed_Payment[[#This Row],[Total Payment]]</f>
        <v>14000</v>
      </c>
      <c r="K9" s="250" t="e">
        <f>_xlfn.XLOOKUP(Fixed_Payment[[#This Row],[EMP NAME]],Fixed_Payment_Bank[EMP NAME],Fixed_Payment_Bank[ACCOUNT NAME])</f>
        <v>#N/A</v>
      </c>
      <c r="L9" s="250" t="e">
        <f>_xlfn.XLOOKUP(Fixed_Payment[[#This Row],[EMP NAME]],Fixed_Payment_Bank[EMP NAME],Fixed_Payment_Bank[Branch])</f>
        <v>#N/A</v>
      </c>
      <c r="M9" s="250" t="e">
        <f>_xlfn.XLOOKUP(Fixed_Payment[[#This Row],[EMP NAME]],Fixed_Payment_Bank[EMP NAME],Fixed_Payment_Bank[BANK NAME])</f>
        <v>#N/A</v>
      </c>
    </row>
    <row r="10" spans="1:13" ht="19.5" customHeight="1" x14ac:dyDescent="0.25">
      <c r="A10" s="287">
        <f>ROW() - ROW(Fixed_Payment[[#Headers],[S.NO]])</f>
        <v>8</v>
      </c>
      <c r="B10" s="286" t="s">
        <v>808</v>
      </c>
      <c r="C10" s="288" t="s">
        <v>807</v>
      </c>
      <c r="D10" s="289">
        <v>10000</v>
      </c>
      <c r="E10" s="293"/>
      <c r="F10" s="50">
        <f t="shared" si="0"/>
        <v>10000</v>
      </c>
      <c r="G10" s="249" t="str">
        <f>Fixed_Payment[[#This Row],[NAME]]</f>
        <v>Consumales + Running Exp</v>
      </c>
      <c r="H10" s="250" t="e">
        <f>_xlfn.XLOOKUP(Fixed_Payment[[#This Row],[EMP NAME]],Fixed_Payment_Bank[EMP NAME],Fixed_Payment_Bank[IFSC CODE])</f>
        <v>#N/A</v>
      </c>
      <c r="I10" s="250" t="e">
        <f>_xlfn.XLOOKUP(Fixed_Payment[[#This Row],[EMP NAME]],Fixed_Payment_Bank[EMP NAME],Fixed_Payment_Bank[ACCOUNT NO])</f>
        <v>#N/A</v>
      </c>
      <c r="J10" s="251">
        <f>Fixed_Payment[[#This Row],[Total Payment]]</f>
        <v>10000</v>
      </c>
      <c r="K10" s="250" t="e">
        <f>_xlfn.XLOOKUP(Fixed_Payment[[#This Row],[EMP NAME]],Fixed_Payment_Bank[EMP NAME],Fixed_Payment_Bank[ACCOUNT NAME])</f>
        <v>#N/A</v>
      </c>
      <c r="L10" s="250" t="e">
        <f>_xlfn.XLOOKUP(Fixed_Payment[[#This Row],[EMP NAME]],Fixed_Payment_Bank[EMP NAME],Fixed_Payment_Bank[Branch])</f>
        <v>#N/A</v>
      </c>
      <c r="M10" s="250" t="e">
        <f>_xlfn.XLOOKUP(Fixed_Payment[[#This Row],[EMP NAME]],Fixed_Payment_Bank[EMP NAME],Fixed_Payment_Bank[BANK NAME])</f>
        <v>#N/A</v>
      </c>
    </row>
    <row r="11" spans="1:13" ht="19.5" customHeight="1" x14ac:dyDescent="0.25">
      <c r="A11" s="287">
        <f>ROW() - ROW(Fixed_Payment[[#Headers],[S.NO]])</f>
        <v>9</v>
      </c>
      <c r="B11" s="286" t="s">
        <v>808</v>
      </c>
      <c r="C11" s="288" t="s">
        <v>809</v>
      </c>
      <c r="D11" s="289">
        <v>50000</v>
      </c>
      <c r="E11" s="293"/>
      <c r="F11" s="50">
        <f>D11</f>
        <v>50000</v>
      </c>
      <c r="G11" s="249" t="str">
        <f>Fixed_Payment[[#This Row],[NAME]]</f>
        <v>Electricty</v>
      </c>
      <c r="H11" s="250" t="e">
        <f>_xlfn.XLOOKUP(Fixed_Payment[[#This Row],[EMP NAME]],Fixed_Payment_Bank[EMP NAME],Fixed_Payment_Bank[IFSC CODE])</f>
        <v>#N/A</v>
      </c>
      <c r="I11" s="250" t="e">
        <f>_xlfn.XLOOKUP(Fixed_Payment[[#This Row],[EMP NAME]],Fixed_Payment_Bank[EMP NAME],Fixed_Payment_Bank[ACCOUNT NO])</f>
        <v>#N/A</v>
      </c>
      <c r="J11" s="251">
        <f>Fixed_Payment[[#This Row],[Total Payment]]</f>
        <v>50000</v>
      </c>
      <c r="K11" s="250" t="e">
        <f>_xlfn.XLOOKUP(Fixed_Payment[[#This Row],[EMP NAME]],Fixed_Payment_Bank[EMP NAME],Fixed_Payment_Bank[ACCOUNT NAME])</f>
        <v>#N/A</v>
      </c>
      <c r="L11" s="250" t="e">
        <f>_xlfn.XLOOKUP(Fixed_Payment[[#This Row],[EMP NAME]],Fixed_Payment_Bank[EMP NAME],Fixed_Payment_Bank[Branch])</f>
        <v>#N/A</v>
      </c>
      <c r="M11" s="250" t="e">
        <f>_xlfn.XLOOKUP(Fixed_Payment[[#This Row],[EMP NAME]],Fixed_Payment_Bank[EMP NAME],Fixed_Payment_Bank[BANK NAME])</f>
        <v>#N/A</v>
      </c>
    </row>
    <row r="12" spans="1:13" ht="19.5" customHeight="1" x14ac:dyDescent="0.25">
      <c r="A12" s="294">
        <f>ROW() - ROW(Fixed_Payment[[#Headers],[S.NO]])</f>
        <v>10</v>
      </c>
      <c r="B12" s="286" t="s">
        <v>789</v>
      </c>
      <c r="C12" s="51" t="s">
        <v>810</v>
      </c>
      <c r="D12" s="295">
        <v>32300</v>
      </c>
      <c r="E12" s="296"/>
      <c r="F12" s="297">
        <f>D12</f>
        <v>32300</v>
      </c>
      <c r="G12" s="298" t="str">
        <f>Fixed_Payment[[#This Row],[NAME]]</f>
        <v>pressure vessel</v>
      </c>
      <c r="H12" s="250" t="e">
        <f>_xlfn.XLOOKUP(Fixed_Payment[[#This Row],[EMP NAME]],Fixed_Payment_Bank[EMP NAME],Fixed_Payment_Bank[IFSC CODE])</f>
        <v>#N/A</v>
      </c>
      <c r="I12" s="250" t="e">
        <f>_xlfn.XLOOKUP(Fixed_Payment[[#This Row],[EMP NAME]],Fixed_Payment_Bank[EMP NAME],Fixed_Payment_Bank[ACCOUNT NO])</f>
        <v>#N/A</v>
      </c>
      <c r="J12" s="251">
        <f>Fixed_Payment[[#This Row],[Total Payment]]</f>
        <v>32300</v>
      </c>
      <c r="K12" s="250" t="e">
        <f>_xlfn.XLOOKUP(Fixed_Payment[[#This Row],[EMP NAME]],Fixed_Payment_Bank[EMP NAME],Fixed_Payment_Bank[ACCOUNT NAME])</f>
        <v>#N/A</v>
      </c>
      <c r="L12" s="250" t="e">
        <f>_xlfn.XLOOKUP(Fixed_Payment[[#This Row],[EMP NAME]],Fixed_Payment_Bank[EMP NAME],Fixed_Payment_Bank[Branch])</f>
        <v>#N/A</v>
      </c>
      <c r="M12" s="250" t="e">
        <f>_xlfn.XLOOKUP(Fixed_Payment[[#This Row],[EMP NAME]],Fixed_Payment_Bank[EMP NAME],Fixed_Payment_Bank[BANK NAME])</f>
        <v>#N/A</v>
      </c>
    </row>
    <row r="13" spans="1:13" ht="17.25" customHeight="1" x14ac:dyDescent="0.25">
      <c r="A13" s="26">
        <f>COUNT(Fixed_Payment[S.NO])</f>
        <v>10</v>
      </c>
      <c r="B13" s="51"/>
      <c r="C13" s="24"/>
      <c r="D13" s="52">
        <f>SUM(D3:D12)</f>
        <v>180576</v>
      </c>
      <c r="E13" s="53">
        <f>SUM(E3:E12)</f>
        <v>0</v>
      </c>
      <c r="F13" s="53">
        <f>SUM(F3:F12)</f>
        <v>180576</v>
      </c>
      <c r="G13" s="24"/>
      <c r="H13" s="155"/>
      <c r="I13" s="155"/>
      <c r="J13" s="155"/>
      <c r="K13" s="155"/>
      <c r="L13" s="155"/>
      <c r="M13" s="155"/>
    </row>
    <row r="15" spans="1:13" ht="18" customHeight="1" x14ac:dyDescent="0.45">
      <c r="D15" s="415"/>
      <c r="E15" s="415"/>
      <c r="F15" s="8"/>
    </row>
    <row r="17" ht="13.8" x14ac:dyDescent="0.25"/>
    <row r="18" ht="13.8" x14ac:dyDescent="0.25"/>
    <row r="19" ht="13.8" x14ac:dyDescent="0.25"/>
  </sheetData>
  <protectedRanges>
    <protectedRange sqref="G13:G1048576 D1:E1048576 C22:C1048576 C1:C20 A1:B1048576" name="Range1"/>
  </protectedRanges>
  <mergeCells count="2">
    <mergeCell ref="D1:E1"/>
    <mergeCell ref="D15:E15"/>
  </mergeCells>
  <phoneticPr fontId="43" type="noConversion"/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ED2D0-C164-4C4A-B909-FF92B3A248F4}">
  <sheetPr codeName="Sheet11">
    <tabColor theme="5" tint="0.59999389629810485"/>
    <pageSetUpPr fitToPage="1"/>
  </sheetPr>
  <dimension ref="A1:W14"/>
  <sheetViews>
    <sheetView workbookViewId="0">
      <selection activeCell="G16" sqref="G16"/>
    </sheetView>
  </sheetViews>
  <sheetFormatPr defaultColWidth="8.77734375" defaultRowHeight="14.4" x14ac:dyDescent="0.3"/>
  <cols>
    <col min="1" max="1" width="14.44140625" bestFit="1" customWidth="1"/>
    <col min="2" max="2" width="4.77734375" bestFit="1" customWidth="1"/>
    <col min="3" max="3" width="14.33203125" bestFit="1" customWidth="1"/>
    <col min="4" max="4" width="2" bestFit="1" customWidth="1"/>
    <col min="5" max="5" width="20.109375" style="77" bestFit="1" customWidth="1"/>
    <col min="6" max="6" width="2" bestFit="1" customWidth="1"/>
    <col min="7" max="7" width="27.44140625" bestFit="1" customWidth="1"/>
    <col min="8" max="8" width="2" bestFit="1" customWidth="1"/>
    <col min="9" max="9" width="12.109375" style="77" bestFit="1" customWidth="1"/>
    <col min="10" max="10" width="2" bestFit="1" customWidth="1"/>
    <col min="11" max="11" width="17.109375" style="77" bestFit="1" customWidth="1"/>
    <col min="12" max="12" width="2" bestFit="1" customWidth="1"/>
    <col min="13" max="13" width="3" style="68" bestFit="1" customWidth="1"/>
    <col min="14" max="14" width="2" bestFit="1" customWidth="1"/>
    <col min="15" max="15" width="21" style="68" bestFit="1" customWidth="1"/>
    <col min="16" max="16" width="2" bestFit="1" customWidth="1"/>
    <col min="17" max="17" width="19.33203125" style="77" bestFit="1" customWidth="1"/>
    <col min="18" max="18" width="2" bestFit="1" customWidth="1"/>
    <col min="19" max="19" width="26.109375" style="77" bestFit="1" customWidth="1"/>
    <col min="20" max="20" width="2" bestFit="1" customWidth="1"/>
    <col min="21" max="21" width="2" style="68" bestFit="1" customWidth="1"/>
    <col min="22" max="22" width="2" bestFit="1" customWidth="1"/>
    <col min="23" max="23" width="23.6640625" style="77" bestFit="1" customWidth="1"/>
  </cols>
  <sheetData>
    <row r="1" spans="1:23" x14ac:dyDescent="0.3">
      <c r="A1" s="100" t="s">
        <v>351</v>
      </c>
      <c r="B1" s="100"/>
      <c r="C1" s="100" t="s">
        <v>315</v>
      </c>
      <c r="D1" s="100" t="s">
        <v>226</v>
      </c>
      <c r="E1" s="198" t="s">
        <v>316</v>
      </c>
      <c r="F1" s="100" t="s">
        <v>226</v>
      </c>
      <c r="G1" s="100" t="s">
        <v>317</v>
      </c>
      <c r="H1" s="100" t="s">
        <v>226</v>
      </c>
      <c r="I1" s="198" t="s">
        <v>30</v>
      </c>
      <c r="J1" s="100" t="s">
        <v>226</v>
      </c>
      <c r="K1" s="198" t="s">
        <v>29</v>
      </c>
      <c r="L1" s="100" t="s">
        <v>226</v>
      </c>
      <c r="M1" s="197">
        <v>10</v>
      </c>
      <c r="N1" s="100" t="s">
        <v>226</v>
      </c>
      <c r="O1" s="197" t="s">
        <v>230</v>
      </c>
      <c r="P1" s="100" t="s">
        <v>226</v>
      </c>
      <c r="Q1" s="198" t="s">
        <v>227</v>
      </c>
      <c r="R1" s="100" t="s">
        <v>226</v>
      </c>
      <c r="S1" s="198" t="s">
        <v>228</v>
      </c>
      <c r="T1" s="100" t="s">
        <v>226</v>
      </c>
      <c r="U1" s="197">
        <v>2</v>
      </c>
      <c r="V1" s="100" t="s">
        <v>226</v>
      </c>
      <c r="W1" s="198" t="s">
        <v>229</v>
      </c>
    </row>
    <row r="2" spans="1:23" x14ac:dyDescent="0.3">
      <c r="A2" s="72" t="s">
        <v>352</v>
      </c>
      <c r="B2" s="72"/>
      <c r="C2" s="72" t="s">
        <v>318</v>
      </c>
      <c r="D2" s="72" t="s">
        <v>226</v>
      </c>
      <c r="E2" s="196"/>
      <c r="F2" s="72" t="s">
        <v>226</v>
      </c>
      <c r="G2" s="72" t="s">
        <v>319</v>
      </c>
      <c r="H2" s="72" t="s">
        <v>226</v>
      </c>
      <c r="I2" s="196" t="s">
        <v>77</v>
      </c>
      <c r="J2" s="72" t="s">
        <v>226</v>
      </c>
      <c r="K2" s="196" t="s">
        <v>281</v>
      </c>
      <c r="L2" s="72" t="s">
        <v>226</v>
      </c>
      <c r="M2" s="195">
        <v>10</v>
      </c>
      <c r="N2" s="72" t="s">
        <v>226</v>
      </c>
      <c r="O2" s="195">
        <v>2472</v>
      </c>
      <c r="P2" s="72" t="s">
        <v>226</v>
      </c>
      <c r="Q2" s="196" t="s">
        <v>344</v>
      </c>
      <c r="R2" s="72" t="s">
        <v>226</v>
      </c>
      <c r="S2" s="196" t="s">
        <v>78</v>
      </c>
      <c r="T2" s="72" t="s">
        <v>226</v>
      </c>
      <c r="U2" s="195">
        <v>2</v>
      </c>
      <c r="V2" s="72" t="s">
        <v>226</v>
      </c>
      <c r="W2" s="196" t="s">
        <v>76</v>
      </c>
    </row>
    <row r="3" spans="1:23" x14ac:dyDescent="0.3">
      <c r="A3" s="72" t="s">
        <v>69</v>
      </c>
      <c r="B3" s="72"/>
      <c r="C3" s="72" t="s">
        <v>318</v>
      </c>
      <c r="D3" s="72" t="s">
        <v>226</v>
      </c>
      <c r="E3" s="196"/>
      <c r="F3" s="72" t="s">
        <v>226</v>
      </c>
      <c r="G3" s="72" t="s">
        <v>319</v>
      </c>
      <c r="H3" s="72" t="s">
        <v>226</v>
      </c>
      <c r="I3" s="196" t="s">
        <v>80</v>
      </c>
      <c r="J3" s="72" t="s">
        <v>226</v>
      </c>
      <c r="K3" s="196" t="s">
        <v>282</v>
      </c>
      <c r="L3" s="72" t="s">
        <v>226</v>
      </c>
      <c r="M3" s="195">
        <v>10</v>
      </c>
      <c r="N3" s="72" t="s">
        <v>226</v>
      </c>
      <c r="O3" s="195">
        <v>11353</v>
      </c>
      <c r="P3" s="72" t="s">
        <v>226</v>
      </c>
      <c r="Q3" s="196" t="s">
        <v>69</v>
      </c>
      <c r="R3" s="72" t="s">
        <v>226</v>
      </c>
      <c r="S3" s="196" t="s">
        <v>78</v>
      </c>
      <c r="T3" s="72" t="s">
        <v>226</v>
      </c>
      <c r="U3" s="195">
        <v>2</v>
      </c>
      <c r="V3" s="72" t="s">
        <v>226</v>
      </c>
      <c r="W3" s="196" t="s">
        <v>79</v>
      </c>
    </row>
    <row r="4" spans="1:23" x14ac:dyDescent="0.3">
      <c r="A4" s="72" t="s">
        <v>71</v>
      </c>
      <c r="B4" s="72"/>
      <c r="C4" s="72" t="s">
        <v>318</v>
      </c>
      <c r="D4" s="72" t="s">
        <v>226</v>
      </c>
      <c r="E4" s="196"/>
      <c r="F4" s="72" t="s">
        <v>226</v>
      </c>
      <c r="G4" s="72" t="s">
        <v>319</v>
      </c>
      <c r="H4" s="72" t="s">
        <v>226</v>
      </c>
      <c r="I4" s="196" t="s">
        <v>77</v>
      </c>
      <c r="J4" s="72" t="s">
        <v>226</v>
      </c>
      <c r="K4" s="196" t="s">
        <v>284</v>
      </c>
      <c r="L4" s="72" t="s">
        <v>226</v>
      </c>
      <c r="M4" s="195">
        <v>10</v>
      </c>
      <c r="N4" s="72" t="s">
        <v>226</v>
      </c>
      <c r="O4" s="195">
        <v>9192</v>
      </c>
      <c r="P4" s="72" t="s">
        <v>226</v>
      </c>
      <c r="Q4" s="196" t="s">
        <v>168</v>
      </c>
      <c r="R4" s="72" t="s">
        <v>226</v>
      </c>
      <c r="S4" s="196" t="s">
        <v>78</v>
      </c>
      <c r="T4" s="72" t="s">
        <v>226</v>
      </c>
      <c r="U4" s="195">
        <v>2</v>
      </c>
      <c r="V4" s="72" t="s">
        <v>226</v>
      </c>
      <c r="W4" s="196" t="s">
        <v>76</v>
      </c>
    </row>
    <row r="5" spans="1:23" x14ac:dyDescent="0.3">
      <c r="A5" s="72" t="s">
        <v>75</v>
      </c>
      <c r="B5" s="72"/>
      <c r="C5" s="72" t="s">
        <v>318</v>
      </c>
      <c r="D5" s="72" t="s">
        <v>226</v>
      </c>
      <c r="E5" s="196"/>
      <c r="F5" s="72" t="s">
        <v>226</v>
      </c>
      <c r="G5" s="72" t="s">
        <v>319</v>
      </c>
      <c r="H5" s="72" t="s">
        <v>226</v>
      </c>
      <c r="I5" s="196" t="s">
        <v>85</v>
      </c>
      <c r="J5" s="72" t="s">
        <v>226</v>
      </c>
      <c r="K5" s="196" t="s">
        <v>286</v>
      </c>
      <c r="L5" s="72" t="s">
        <v>226</v>
      </c>
      <c r="M5" s="195">
        <v>10</v>
      </c>
      <c r="N5" s="72" t="s">
        <v>226</v>
      </c>
      <c r="O5" s="195">
        <v>12000</v>
      </c>
      <c r="P5" s="72" t="s">
        <v>226</v>
      </c>
      <c r="Q5" s="196" t="s">
        <v>75</v>
      </c>
      <c r="R5" s="72" t="s">
        <v>226</v>
      </c>
      <c r="S5" s="196" t="s">
        <v>86</v>
      </c>
      <c r="T5" s="72" t="s">
        <v>226</v>
      </c>
      <c r="U5" s="195">
        <v>2</v>
      </c>
      <c r="V5" s="72" t="s">
        <v>226</v>
      </c>
      <c r="W5" s="196" t="s">
        <v>84</v>
      </c>
    </row>
    <row r="6" spans="1:23" x14ac:dyDescent="0.3">
      <c r="A6" s="72" t="s">
        <v>477</v>
      </c>
      <c r="B6" s="72"/>
      <c r="C6" s="72" t="s">
        <v>318</v>
      </c>
      <c r="D6" s="72" t="s">
        <v>226</v>
      </c>
      <c r="E6" s="196"/>
      <c r="F6" s="72" t="s">
        <v>226</v>
      </c>
      <c r="G6" s="72" t="s">
        <v>319</v>
      </c>
      <c r="H6" s="72" t="s">
        <v>226</v>
      </c>
      <c r="I6" s="196" t="s">
        <v>77</v>
      </c>
      <c r="J6" s="72" t="s">
        <v>226</v>
      </c>
      <c r="K6" s="196" t="s">
        <v>287</v>
      </c>
      <c r="L6" s="72" t="s">
        <v>226</v>
      </c>
      <c r="M6" s="195">
        <v>10</v>
      </c>
      <c r="N6" s="72" t="s">
        <v>226</v>
      </c>
      <c r="O6" s="195">
        <v>9528</v>
      </c>
      <c r="P6" s="72" t="s">
        <v>226</v>
      </c>
      <c r="Q6" s="196" t="s">
        <v>162</v>
      </c>
      <c r="R6" s="72" t="s">
        <v>226</v>
      </c>
      <c r="S6" s="196" t="s">
        <v>78</v>
      </c>
      <c r="T6" s="72" t="s">
        <v>226</v>
      </c>
      <c r="U6" s="195">
        <v>2</v>
      </c>
      <c r="V6" s="72" t="s">
        <v>226</v>
      </c>
      <c r="W6" s="196" t="s">
        <v>76</v>
      </c>
    </row>
    <row r="7" spans="1:23" x14ac:dyDescent="0.3">
      <c r="A7" s="72" t="s">
        <v>345</v>
      </c>
      <c r="B7" s="72"/>
      <c r="C7" s="72" t="s">
        <v>318</v>
      </c>
      <c r="D7" s="72" t="s">
        <v>226</v>
      </c>
      <c r="E7" s="196"/>
      <c r="F7" s="72" t="s">
        <v>226</v>
      </c>
      <c r="G7" s="72" t="s">
        <v>319</v>
      </c>
      <c r="H7" s="72" t="s">
        <v>226</v>
      </c>
      <c r="I7" s="196" t="s">
        <v>136</v>
      </c>
      <c r="J7" s="72" t="s">
        <v>226</v>
      </c>
      <c r="K7" s="196">
        <v>7553609625</v>
      </c>
      <c r="L7" s="72" t="s">
        <v>226</v>
      </c>
      <c r="M7" s="195">
        <v>10</v>
      </c>
      <c r="N7" s="72" t="s">
        <v>226</v>
      </c>
      <c r="O7" s="195">
        <v>8171</v>
      </c>
      <c r="P7" s="72" t="s">
        <v>226</v>
      </c>
      <c r="Q7" s="196" t="s">
        <v>345</v>
      </c>
      <c r="R7" s="72" t="s">
        <v>226</v>
      </c>
      <c r="S7" s="196" t="s">
        <v>159</v>
      </c>
      <c r="T7" s="72" t="s">
        <v>226</v>
      </c>
      <c r="U7" s="195">
        <v>2</v>
      </c>
      <c r="V7" s="72" t="s">
        <v>226</v>
      </c>
      <c r="W7" s="196" t="s">
        <v>76</v>
      </c>
    </row>
    <row r="8" spans="1:23" x14ac:dyDescent="0.3">
      <c r="A8" s="72" t="s">
        <v>152</v>
      </c>
      <c r="B8" s="72"/>
      <c r="C8" s="72" t="s">
        <v>318</v>
      </c>
      <c r="D8" s="72" t="s">
        <v>226</v>
      </c>
      <c r="E8" s="196"/>
      <c r="F8" s="72" t="s">
        <v>226</v>
      </c>
      <c r="G8" s="72" t="s">
        <v>319</v>
      </c>
      <c r="H8" s="72" t="s">
        <v>226</v>
      </c>
      <c r="I8" s="196" t="s">
        <v>83</v>
      </c>
      <c r="J8" s="72" t="s">
        <v>226</v>
      </c>
      <c r="K8" s="196" t="s">
        <v>298</v>
      </c>
      <c r="L8" s="72" t="s">
        <v>226</v>
      </c>
      <c r="M8" s="195">
        <v>10</v>
      </c>
      <c r="N8" s="72" t="s">
        <v>226</v>
      </c>
      <c r="O8" s="195">
        <v>9192</v>
      </c>
      <c r="P8" s="72" t="s">
        <v>226</v>
      </c>
      <c r="Q8" s="196" t="s">
        <v>152</v>
      </c>
      <c r="R8" s="72" t="s">
        <v>226</v>
      </c>
      <c r="S8" s="196" t="s">
        <v>144</v>
      </c>
      <c r="T8" s="72" t="s">
        <v>226</v>
      </c>
      <c r="U8" s="195">
        <v>2</v>
      </c>
      <c r="V8" s="72" t="s">
        <v>226</v>
      </c>
      <c r="W8" s="196" t="s">
        <v>124</v>
      </c>
    </row>
    <row r="9" spans="1:23" x14ac:dyDescent="0.3">
      <c r="A9" s="72" t="s">
        <v>308</v>
      </c>
      <c r="B9" s="72"/>
      <c r="C9" s="72" t="s">
        <v>318</v>
      </c>
      <c r="D9" s="72" t="s">
        <v>226</v>
      </c>
      <c r="E9" s="196"/>
      <c r="F9" s="72" t="s">
        <v>226</v>
      </c>
      <c r="G9" s="72" t="s">
        <v>319</v>
      </c>
      <c r="H9" s="72" t="s">
        <v>226</v>
      </c>
      <c r="I9" s="196" t="s">
        <v>83</v>
      </c>
      <c r="J9" s="72" t="s">
        <v>226</v>
      </c>
      <c r="K9" s="196">
        <v>10023329183</v>
      </c>
      <c r="L9" s="72" t="s">
        <v>226</v>
      </c>
      <c r="M9" s="195">
        <v>10</v>
      </c>
      <c r="N9" s="72" t="s">
        <v>226</v>
      </c>
      <c r="O9" s="195">
        <v>10000</v>
      </c>
      <c r="P9" s="72" t="s">
        <v>226</v>
      </c>
      <c r="Q9" s="196" t="s">
        <v>308</v>
      </c>
      <c r="R9" s="72" t="s">
        <v>226</v>
      </c>
      <c r="S9" s="196" t="s">
        <v>78</v>
      </c>
      <c r="T9" s="72" t="s">
        <v>226</v>
      </c>
      <c r="U9" s="195">
        <v>2</v>
      </c>
      <c r="V9" s="72" t="s">
        <v>226</v>
      </c>
      <c r="W9" s="196" t="s">
        <v>82</v>
      </c>
    </row>
    <row r="10" spans="1:23" x14ac:dyDescent="0.3">
      <c r="A10" s="72" t="s">
        <v>527</v>
      </c>
      <c r="B10" s="72"/>
      <c r="C10" s="72" t="s">
        <v>318</v>
      </c>
      <c r="D10" s="72" t="s">
        <v>226</v>
      </c>
      <c r="E10" s="196"/>
      <c r="F10" s="72" t="s">
        <v>226</v>
      </c>
      <c r="G10" s="72" t="s">
        <v>319</v>
      </c>
      <c r="H10" s="72" t="s">
        <v>226</v>
      </c>
      <c r="I10" s="196" t="s">
        <v>77</v>
      </c>
      <c r="J10" s="72" t="s">
        <v>226</v>
      </c>
      <c r="K10" s="196" t="s">
        <v>790</v>
      </c>
      <c r="L10" s="72" t="s">
        <v>226</v>
      </c>
      <c r="M10" s="195">
        <v>10</v>
      </c>
      <c r="N10" s="72" t="s">
        <v>226</v>
      </c>
      <c r="O10" s="195">
        <v>8341</v>
      </c>
      <c r="P10" s="72" t="s">
        <v>226</v>
      </c>
      <c r="Q10" s="196" t="s">
        <v>527</v>
      </c>
      <c r="R10" s="72" t="s">
        <v>226</v>
      </c>
      <c r="S10" s="196" t="s">
        <v>78</v>
      </c>
      <c r="T10" s="72" t="s">
        <v>226</v>
      </c>
      <c r="U10" s="195">
        <v>2</v>
      </c>
      <c r="V10" s="72" t="s">
        <v>226</v>
      </c>
      <c r="W10" s="196" t="s">
        <v>1624</v>
      </c>
    </row>
    <row r="11" spans="1:23" x14ac:dyDescent="0.3">
      <c r="A11" s="72" t="s">
        <v>163</v>
      </c>
      <c r="B11" s="72"/>
      <c r="C11" s="72" t="s">
        <v>318</v>
      </c>
      <c r="D11" s="72" t="s">
        <v>226</v>
      </c>
      <c r="E11" s="196"/>
      <c r="F11" s="72" t="s">
        <v>226</v>
      </c>
      <c r="G11" s="72" t="s">
        <v>319</v>
      </c>
      <c r="H11" s="72" t="s">
        <v>226</v>
      </c>
      <c r="I11" s="196" t="s">
        <v>77</v>
      </c>
      <c r="J11" s="72" t="s">
        <v>226</v>
      </c>
      <c r="K11" s="196" t="s">
        <v>291</v>
      </c>
      <c r="L11" s="72" t="s">
        <v>226</v>
      </c>
      <c r="M11" s="195">
        <v>10</v>
      </c>
      <c r="N11" s="72" t="s">
        <v>226</v>
      </c>
      <c r="O11" s="195">
        <v>8511</v>
      </c>
      <c r="P11" s="72" t="s">
        <v>226</v>
      </c>
      <c r="Q11" s="196" t="s">
        <v>163</v>
      </c>
      <c r="R11" s="72" t="s">
        <v>226</v>
      </c>
      <c r="S11" s="196" t="s">
        <v>78</v>
      </c>
      <c r="T11" s="72" t="s">
        <v>226</v>
      </c>
      <c r="U11" s="195">
        <v>2</v>
      </c>
      <c r="V11" s="72" t="s">
        <v>226</v>
      </c>
      <c r="W11" s="196" t="s">
        <v>76</v>
      </c>
    </row>
    <row r="12" spans="1:23" x14ac:dyDescent="0.3">
      <c r="A12" s="72" t="s">
        <v>1611</v>
      </c>
      <c r="B12" s="72"/>
      <c r="C12" s="72" t="s">
        <v>318</v>
      </c>
      <c r="D12" s="72" t="s">
        <v>226</v>
      </c>
      <c r="E12" s="196"/>
      <c r="F12" s="72" t="s">
        <v>226</v>
      </c>
      <c r="G12" s="72" t="s">
        <v>319</v>
      </c>
      <c r="H12" s="72" t="s">
        <v>226</v>
      </c>
      <c r="I12" s="196" t="s">
        <v>77</v>
      </c>
      <c r="J12" s="72" t="s">
        <v>226</v>
      </c>
      <c r="K12" s="196" t="s">
        <v>1610</v>
      </c>
      <c r="L12" s="72" t="s">
        <v>226</v>
      </c>
      <c r="M12" s="195">
        <v>10</v>
      </c>
      <c r="N12" s="72" t="s">
        <v>226</v>
      </c>
      <c r="O12" s="195">
        <v>2800</v>
      </c>
      <c r="P12" s="72" t="s">
        <v>226</v>
      </c>
      <c r="Q12" s="196" t="s">
        <v>1611</v>
      </c>
      <c r="R12" s="72" t="s">
        <v>226</v>
      </c>
      <c r="S12" s="196" t="s">
        <v>78</v>
      </c>
      <c r="T12" s="72" t="s">
        <v>226</v>
      </c>
      <c r="U12" s="195">
        <v>2</v>
      </c>
      <c r="V12" s="72" t="s">
        <v>226</v>
      </c>
      <c r="W12" s="196" t="s">
        <v>76</v>
      </c>
    </row>
    <row r="13" spans="1:23" x14ac:dyDescent="0.3">
      <c r="A13" s="72" t="s">
        <v>307</v>
      </c>
      <c r="B13" s="72"/>
      <c r="C13" s="72" t="s">
        <v>318</v>
      </c>
      <c r="D13" s="72" t="s">
        <v>226</v>
      </c>
      <c r="E13" s="196"/>
      <c r="F13" s="72" t="s">
        <v>226</v>
      </c>
      <c r="G13" s="72" t="s">
        <v>319</v>
      </c>
      <c r="H13" s="72" t="s">
        <v>226</v>
      </c>
      <c r="I13" s="196" t="s">
        <v>77</v>
      </c>
      <c r="J13" s="72" t="s">
        <v>226</v>
      </c>
      <c r="K13" s="196">
        <v>6643363266</v>
      </c>
      <c r="L13" s="72" t="s">
        <v>226</v>
      </c>
      <c r="M13" s="195">
        <v>10</v>
      </c>
      <c r="N13" s="72" t="s">
        <v>226</v>
      </c>
      <c r="O13" s="195">
        <v>1600</v>
      </c>
      <c r="P13" s="72" t="s">
        <v>226</v>
      </c>
      <c r="Q13" s="196" t="s">
        <v>307</v>
      </c>
      <c r="R13" s="72" t="s">
        <v>226</v>
      </c>
      <c r="S13" s="196" t="s">
        <v>78</v>
      </c>
      <c r="T13" s="72" t="s">
        <v>226</v>
      </c>
      <c r="U13" s="195">
        <v>2</v>
      </c>
      <c r="V13" s="72" t="s">
        <v>226</v>
      </c>
      <c r="W13" s="196" t="s">
        <v>76</v>
      </c>
    </row>
    <row r="14" spans="1:23" x14ac:dyDescent="0.3">
      <c r="A14" s="72" t="s">
        <v>819</v>
      </c>
      <c r="B14" s="72"/>
      <c r="C14" s="72" t="s">
        <v>318</v>
      </c>
      <c r="D14" s="72" t="s">
        <v>226</v>
      </c>
      <c r="E14" s="196"/>
      <c r="F14" s="72" t="s">
        <v>226</v>
      </c>
      <c r="G14" s="72" t="s">
        <v>319</v>
      </c>
      <c r="H14" s="72" t="s">
        <v>226</v>
      </c>
      <c r="I14" s="196" t="s">
        <v>83</v>
      </c>
      <c r="J14" s="72" t="s">
        <v>226</v>
      </c>
      <c r="K14" s="196">
        <v>10023798928</v>
      </c>
      <c r="L14" s="72" t="s">
        <v>226</v>
      </c>
      <c r="M14" s="195">
        <v>10</v>
      </c>
      <c r="N14" s="72" t="s">
        <v>226</v>
      </c>
      <c r="O14" s="195">
        <v>2222</v>
      </c>
      <c r="P14" s="72" t="s">
        <v>226</v>
      </c>
      <c r="Q14" s="196" t="s">
        <v>819</v>
      </c>
      <c r="R14" s="72" t="s">
        <v>226</v>
      </c>
      <c r="S14" s="196" t="s">
        <v>78</v>
      </c>
      <c r="T14" s="72" t="s">
        <v>226</v>
      </c>
      <c r="U14" s="195">
        <v>2</v>
      </c>
      <c r="V14" s="72" t="s">
        <v>226</v>
      </c>
      <c r="W14" s="196" t="s">
        <v>124</v>
      </c>
    </row>
  </sheetData>
  <sheetProtection sheet="1" objects="1" scenarios="1"/>
  <phoneticPr fontId="43" type="noConversion"/>
  <pageMargins left="0.7" right="0.7" top="0.75" bottom="0.75" header="0.3" footer="0.3"/>
  <pageSetup scale="54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0A6E3-FB03-4D5D-86CD-19A25BF54F8E}">
  <sheetPr codeName="Sheet8">
    <tabColor theme="0"/>
    <pageSetUpPr fitToPage="1"/>
  </sheetPr>
  <dimension ref="A1:V24"/>
  <sheetViews>
    <sheetView zoomScaleNormal="100" zoomScaleSheetLayoutView="80" workbookViewId="0">
      <pane xSplit="3" ySplit="2" topLeftCell="D7" activePane="bottomRight" state="frozen"/>
      <selection activeCell="E3" sqref="E3"/>
      <selection pane="topRight" activeCell="E3" sqref="E3"/>
      <selection pane="bottomLeft" activeCell="E3" sqref="E3"/>
      <selection pane="bottomRight" activeCell="C17" sqref="C17"/>
    </sheetView>
  </sheetViews>
  <sheetFormatPr defaultColWidth="9.33203125" defaultRowHeight="13.8" outlineLevelCol="1" x14ac:dyDescent="0.25"/>
  <cols>
    <col min="1" max="1" width="3.6640625" style="1" bestFit="1" customWidth="1"/>
    <col min="2" max="2" width="6.44140625" style="1" bestFit="1" customWidth="1"/>
    <col min="3" max="3" width="21.44140625" style="1" customWidth="1"/>
    <col min="4" max="4" width="15.33203125" style="1" bestFit="1" customWidth="1"/>
    <col min="5" max="5" width="7.33203125" style="1" bestFit="1" customWidth="1"/>
    <col min="6" max="6" width="7.6640625" style="1" bestFit="1" customWidth="1"/>
    <col min="7" max="7" width="11.33203125" style="44" customWidth="1"/>
    <col min="8" max="8" width="9.77734375" style="1" customWidth="1"/>
    <col min="9" max="9" width="8.6640625" style="1" customWidth="1"/>
    <col min="10" max="10" width="6.6640625" style="1" customWidth="1"/>
    <col min="11" max="11" width="10.109375" style="1" bestFit="1" customWidth="1"/>
    <col min="12" max="12" width="8.33203125" style="1" bestFit="1" customWidth="1"/>
    <col min="13" max="13" width="10.6640625" style="1" customWidth="1"/>
    <col min="14" max="14" width="9.6640625" style="1" bestFit="1" customWidth="1"/>
    <col min="15" max="15" width="15.33203125" style="1" customWidth="1"/>
    <col min="16" max="16" width="22.6640625" style="1" customWidth="1"/>
    <col min="17" max="17" width="16" style="1" customWidth="1" outlineLevel="1"/>
    <col min="18" max="18" width="23.109375" style="1" bestFit="1" customWidth="1" outlineLevel="1"/>
    <col min="19" max="19" width="12.44140625" style="1" customWidth="1" outlineLevel="1"/>
    <col min="20" max="20" width="18.33203125" style="1" customWidth="1" outlineLevel="1"/>
    <col min="21" max="21" width="21.33203125" style="1" customWidth="1" outlineLevel="1"/>
    <col min="22" max="22" width="33.6640625" style="1" customWidth="1" outlineLevel="1"/>
    <col min="23" max="16384" width="9.33203125" style="1"/>
  </cols>
  <sheetData>
    <row r="1" spans="1:22" ht="46.95" customHeight="1" x14ac:dyDescent="0.3">
      <c r="D1" s="97" t="s">
        <v>0</v>
      </c>
      <c r="E1" s="119">
        <v>27</v>
      </c>
      <c r="F1" s="5"/>
      <c r="G1" s="55"/>
      <c r="P1" s="244" t="s">
        <v>88</v>
      </c>
      <c r="Q1" s="244"/>
      <c r="R1" s="244"/>
      <c r="S1" s="244"/>
      <c r="T1" s="244"/>
      <c r="U1" s="244"/>
      <c r="V1" s="244"/>
    </row>
    <row r="2" spans="1:22" ht="32.25" customHeight="1" x14ac:dyDescent="0.25">
      <c r="A2" s="329" t="s">
        <v>21</v>
      </c>
      <c r="B2" s="330" t="s">
        <v>64</v>
      </c>
      <c r="C2" s="330" t="s">
        <v>22</v>
      </c>
      <c r="D2" s="330" t="s">
        <v>65</v>
      </c>
      <c r="E2" s="330" t="s">
        <v>66</v>
      </c>
      <c r="F2" s="330" t="s">
        <v>306</v>
      </c>
      <c r="G2" s="330" t="s">
        <v>388</v>
      </c>
      <c r="H2" s="330" t="s">
        <v>390</v>
      </c>
      <c r="I2" s="331" t="s">
        <v>395</v>
      </c>
      <c r="J2" s="332" t="s">
        <v>224</v>
      </c>
      <c r="K2" s="333" t="s">
        <v>181</v>
      </c>
      <c r="L2" s="331" t="s">
        <v>367</v>
      </c>
      <c r="M2" s="330" t="s">
        <v>67</v>
      </c>
      <c r="N2" s="331" t="s">
        <v>25</v>
      </c>
      <c r="O2" s="334" t="s">
        <v>26</v>
      </c>
      <c r="P2" s="245" t="s">
        <v>351</v>
      </c>
      <c r="Q2" s="245" t="s">
        <v>30</v>
      </c>
      <c r="R2" s="309" t="s">
        <v>29</v>
      </c>
      <c r="S2" s="245" t="s">
        <v>230</v>
      </c>
      <c r="T2" s="245" t="s">
        <v>227</v>
      </c>
      <c r="U2" s="245" t="s">
        <v>228</v>
      </c>
      <c r="V2" s="310" t="s">
        <v>229</v>
      </c>
    </row>
    <row r="3" spans="1:22" ht="20.25" customHeight="1" x14ac:dyDescent="0.25">
      <c r="A3" s="335">
        <v>1</v>
      </c>
      <c r="B3" s="117">
        <v>1021</v>
      </c>
      <c r="C3" s="117" t="s">
        <v>102</v>
      </c>
      <c r="D3" s="117" t="s">
        <v>68</v>
      </c>
      <c r="E3" s="311">
        <f>$E$1</f>
        <v>27</v>
      </c>
      <c r="F3" s="336">
        <f>IFERROR(GETPIVOTDATA("Working Day",Month_Attendance!$E$3,"Employee Code",Helpers[[#This Row],[EMP NO]]),0)</f>
        <v>6</v>
      </c>
      <c r="G3" s="337">
        <f>IFERROR(GETPIVOTDATA("Paid Holiday",Month_Attendance!$E$3,"Employee Code",Helpers[[#This Row],[EMP NO]]),0)</f>
        <v>0</v>
      </c>
      <c r="H3" s="338">
        <f>IFERROR(GETPIVOTDATA("Comp Off",Month_Attendance!$E$3,"Employee Code",Helpers[[#This Row],[EMP NO]]),0)</f>
        <v>0</v>
      </c>
      <c r="I3" s="339">
        <f>GETPIVOTDATA("Personal Leave",Month_Attendance!$E$3,"Employee Code",Helpers[[#This Row],[EMP NO]])</f>
        <v>21</v>
      </c>
      <c r="J3" s="312"/>
      <c r="K3" s="158">
        <f>Helpers[[#This Row],[Working Days]]+Helpers[[#This Row],[Paid Holiday]]+Helpers[[#This Row],[Comp Off]]+Helpers[[#This Row],[Adjust Days]]</f>
        <v>6</v>
      </c>
      <c r="L3" s="339">
        <f>GETPIVOTDATA("Full OT",Month_Attendance!$E$3,"Employee Code",Helpers[[#This Row],[EMP NO]])</f>
        <v>0</v>
      </c>
      <c r="M3" s="340">
        <v>11123</v>
      </c>
      <c r="N3" s="313">
        <v>0</v>
      </c>
      <c r="O3" s="341">
        <f>ROUND((Helpers[[#This Row],[FIXED SALARY]]/Helpers[[#This Row],[TOTAL DAYS]]*Helpers[[#This Row],[Total Paid Days]]) -Helpers[[#This Row],[Deductions]],0)</f>
        <v>2472</v>
      </c>
      <c r="P3" s="186" t="str">
        <f>'Bank Details'!A85</f>
        <v>SIVARANJANI N</v>
      </c>
      <c r="Q3" s="186" t="str">
        <f>_xlfn.XLOOKUP(Helpers[[#This Row],[EMP NAME]],Helpers_Bank[EMP NAME],Helpers_Bank[IFSC CODE])</f>
        <v>IDIB000S023</v>
      </c>
      <c r="R3" s="186" t="str">
        <f>_xlfn.XLOOKUP(Helpers[[#This Row],[EMP NAME]],Helpers_Bank[EMP NAME],Helpers_Bank[ACCOUNT NO])</f>
        <v>997316191</v>
      </c>
      <c r="S3" s="243">
        <f>Helpers[[#This Row],[EARN SALARY]]</f>
        <v>2472</v>
      </c>
      <c r="T3" s="186" t="str">
        <f>_xlfn.XLOOKUP(Helpers[[#This Row],[EMP NAME]],Helpers_Bank[EMP NAME],Helpers_Bank[Account Name])</f>
        <v>N SIVARANJANI</v>
      </c>
      <c r="U3" s="186" t="str">
        <f>_xlfn.XLOOKUP(Helpers[[#This Row],[EMP NAME]],Helpers_Bank[EMP NAME],Helpers_Bank[Branch])</f>
        <v>SHOOLAGIRI</v>
      </c>
      <c r="V3" s="314" t="str">
        <f>_xlfn.XLOOKUP(Helpers[[#This Row],[EMP NAME]],Helpers_Bank[EMP NAME],Helpers_Bank[BANK NAME])</f>
        <v>INDIAN BANK</v>
      </c>
    </row>
    <row r="4" spans="1:22" ht="20.25" customHeight="1" x14ac:dyDescent="0.25">
      <c r="A4" s="335">
        <f>A3+1</f>
        <v>2</v>
      </c>
      <c r="B4" s="117">
        <v>1025</v>
      </c>
      <c r="C4" s="117" t="s">
        <v>69</v>
      </c>
      <c r="D4" s="117" t="s">
        <v>70</v>
      </c>
      <c r="E4" s="311">
        <f t="shared" ref="E4:E10" si="0">$E$1</f>
        <v>27</v>
      </c>
      <c r="F4" s="336">
        <f>IFERROR(GETPIVOTDATA("Working Day",Month_Attendance!$E$3,"Employee Code",Helpers[[#This Row],[EMP NO]]),0)</f>
        <v>25</v>
      </c>
      <c r="G4" s="337">
        <f>IFERROR(GETPIVOTDATA("Paid Holiday",Month_Attendance!$E$3,"Employee Code",Helpers[[#This Row],[EMP NO]]),0)</f>
        <v>0</v>
      </c>
      <c r="H4" s="338">
        <f>IFERROR(GETPIVOTDATA("Comp Off",Month_Attendance!$E$3,"Employee Code",Helpers[[#This Row],[EMP NO]]),0)</f>
        <v>0</v>
      </c>
      <c r="I4" s="339">
        <f>GETPIVOTDATA("Personal Leave",Month_Attendance!$E$3,"Employee Code",Helpers[[#This Row],[EMP NO]])</f>
        <v>2</v>
      </c>
      <c r="J4" s="312"/>
      <c r="K4" s="158">
        <f>Helpers[[#This Row],[Working Days]]+Helpers[[#This Row],[Paid Holiday]]+Helpers[[#This Row],[Comp Off]]+Helpers[[#This Row],[Adjust Days]]</f>
        <v>25</v>
      </c>
      <c r="L4" s="339">
        <f>GETPIVOTDATA("Full OT",Month_Attendance!$E$3,"Employee Code",Helpers[[#This Row],[EMP NO]])</f>
        <v>0</v>
      </c>
      <c r="M4" s="117">
        <v>12261</v>
      </c>
      <c r="N4" s="313">
        <v>0</v>
      </c>
      <c r="O4" s="341">
        <f>ROUND((Helpers[[#This Row],[FIXED SALARY]]/Helpers[[#This Row],[TOTAL DAYS]]*Helpers[[#This Row],[Total Paid Days]]) -Helpers[[#This Row],[Deductions]],0)</f>
        <v>11353</v>
      </c>
      <c r="P4" s="186" t="str">
        <f>Helpers[[#This Row],[NAME]]</f>
        <v>NITHYA SRI</v>
      </c>
      <c r="Q4" s="186" t="str">
        <f>_xlfn.XLOOKUP(Helpers[[#This Row],[EMP NAME]],Helpers_Bank[EMP NAME],Helpers_Bank[IFSC CODE])</f>
        <v>KVBL0001607</v>
      </c>
      <c r="R4" s="186" t="str">
        <f>_xlfn.XLOOKUP(Helpers[[#This Row],[EMP NAME]],Helpers_Bank[EMP NAME],Helpers_Bank[ACCOUNT NO])</f>
        <v>1607155000109941</v>
      </c>
      <c r="S4" s="243">
        <f>Helpers[[#This Row],[EARN SALARY]]</f>
        <v>11353</v>
      </c>
      <c r="T4" s="186" t="str">
        <f>_xlfn.XLOOKUP(Helpers[[#This Row],[EMP NAME]],Helpers_Bank[EMP NAME],Helpers_Bank[Account Name])</f>
        <v>NITHYA SRI</v>
      </c>
      <c r="U4" s="186" t="str">
        <f>_xlfn.XLOOKUP(Helpers[[#This Row],[EMP NAME]],Helpers_Bank[EMP NAME],Helpers_Bank[Branch])</f>
        <v>SHOOLAGIRI</v>
      </c>
      <c r="V4" s="314" t="str">
        <f>_xlfn.XLOOKUP(Helpers[[#This Row],[EMP NAME]],Helpers_Bank[EMP NAME],Helpers_Bank[BANK NAME])</f>
        <v>KARUR VYSYA BANK</v>
      </c>
    </row>
    <row r="5" spans="1:22" ht="20.25" customHeight="1" x14ac:dyDescent="0.25">
      <c r="A5" s="335">
        <f t="shared" ref="A5:A12" si="1">A4+1</f>
        <v>3</v>
      </c>
      <c r="B5" s="117">
        <v>5002</v>
      </c>
      <c r="C5" s="117" t="s">
        <v>71</v>
      </c>
      <c r="D5" s="117" t="s">
        <v>72</v>
      </c>
      <c r="E5" s="311">
        <f t="shared" si="0"/>
        <v>27</v>
      </c>
      <c r="F5" s="336">
        <f>IFERROR(GETPIVOTDATA("Working Day",Month_Attendance!$E$3,"Employee Code",Helpers[[#This Row],[EMP NO]]),0)</f>
        <v>27</v>
      </c>
      <c r="G5" s="337">
        <f>IFERROR(GETPIVOTDATA("Paid Holiday",Month_Attendance!$E$3,"Employee Code",Helpers[[#This Row],[EMP NO]]),0)</f>
        <v>0</v>
      </c>
      <c r="H5" s="338">
        <f>IFERROR(GETPIVOTDATA("Comp Off",Month_Attendance!$E$3,"Employee Code",Helpers[[#This Row],[EMP NO]]),0)</f>
        <v>0</v>
      </c>
      <c r="I5" s="339">
        <f>GETPIVOTDATA("Personal Leave",Month_Attendance!$E$3,"Employee Code",Helpers[[#This Row],[EMP NO]])</f>
        <v>0</v>
      </c>
      <c r="J5" s="312"/>
      <c r="K5" s="158">
        <f>Helpers[[#This Row],[Working Days]]+Helpers[[#This Row],[Paid Holiday]]+Helpers[[#This Row],[Comp Off]]+Helpers[[#This Row],[Adjust Days]]</f>
        <v>27</v>
      </c>
      <c r="L5" s="339">
        <f>GETPIVOTDATA("Full OT",Month_Attendance!$E$3,"Employee Code",Helpers[[#This Row],[EMP NO]])</f>
        <v>2.5</v>
      </c>
      <c r="M5" s="117">
        <v>9192</v>
      </c>
      <c r="N5" s="313">
        <v>0</v>
      </c>
      <c r="O5" s="341">
        <f>ROUND((Helpers[[#This Row],[FIXED SALARY]]/Helpers[[#This Row],[TOTAL DAYS]]*Helpers[[#This Row],[Total Paid Days]]) -Helpers[[#This Row],[Deductions]],0)</f>
        <v>9192</v>
      </c>
      <c r="P5" s="186" t="str">
        <f>Helpers[[#This Row],[NAME]]</f>
        <v>YELLAPPA</v>
      </c>
      <c r="Q5" s="186" t="str">
        <f>_xlfn.XLOOKUP(Helpers[[#This Row],[EMP NAME]],Helpers_Bank[EMP NAME],Helpers_Bank[IFSC CODE])</f>
        <v>IDIB000S023</v>
      </c>
      <c r="R5" s="186" t="str">
        <f>_xlfn.XLOOKUP(Helpers[[#This Row],[EMP NAME]],Helpers_Bank[EMP NAME],Helpers_Bank[ACCOUNT NO])</f>
        <v>6628874973</v>
      </c>
      <c r="S5" s="243">
        <f>Helpers[[#This Row],[EARN SALARY]]</f>
        <v>9192</v>
      </c>
      <c r="T5" s="186" t="str">
        <f>_xlfn.XLOOKUP(Helpers[[#This Row],[EMP NAME]],Helpers_Bank[EMP NAME],Helpers_Bank[Account Name])</f>
        <v>SIVA KUMAR</v>
      </c>
      <c r="U5" s="186" t="str">
        <f>_xlfn.XLOOKUP(Helpers[[#This Row],[EMP NAME]],Helpers_Bank[EMP NAME],Helpers_Bank[Branch])</f>
        <v>SHOOLAGIRI</v>
      </c>
      <c r="V5" s="314" t="str">
        <f>_xlfn.XLOOKUP(Helpers[[#This Row],[EMP NAME]],Helpers_Bank[EMP NAME],Helpers_Bank[BANK NAME])</f>
        <v>INDIAN BANK</v>
      </c>
    </row>
    <row r="6" spans="1:22" ht="20.25" customHeight="1" x14ac:dyDescent="0.25">
      <c r="A6" s="335">
        <f t="shared" si="1"/>
        <v>4</v>
      </c>
      <c r="B6" s="118">
        <v>5080</v>
      </c>
      <c r="C6" s="91" t="s">
        <v>75</v>
      </c>
      <c r="D6" s="118" t="s">
        <v>72</v>
      </c>
      <c r="E6" s="311">
        <f t="shared" si="0"/>
        <v>27</v>
      </c>
      <c r="F6" s="336">
        <f>IFERROR(GETPIVOTDATA("Working Day",Month_Attendance!$E$3,"Employee Code",Helpers[[#This Row],[EMP NO]]),0)</f>
        <v>27</v>
      </c>
      <c r="G6" s="337">
        <f>IFERROR(GETPIVOTDATA("Paid Holiday",Month_Attendance!$E$3,"Employee Code",Helpers[[#This Row],[EMP NO]]),0)</f>
        <v>0</v>
      </c>
      <c r="H6" s="338">
        <f>IFERROR(GETPIVOTDATA("Comp Off",Month_Attendance!$E$3,"Employee Code",Helpers[[#This Row],[EMP NO]]),0)</f>
        <v>0</v>
      </c>
      <c r="I6" s="339">
        <f>GETPIVOTDATA("Personal Leave",Month_Attendance!$E$3,"Employee Code",Helpers[[#This Row],[EMP NO]])</f>
        <v>0</v>
      </c>
      <c r="J6" s="312"/>
      <c r="K6" s="158">
        <f>Helpers[[#This Row],[Working Days]]+Helpers[[#This Row],[Paid Holiday]]+Helpers[[#This Row],[Comp Off]]+Helpers[[#This Row],[Adjust Days]]</f>
        <v>27</v>
      </c>
      <c r="L6" s="339">
        <f>GETPIVOTDATA("Full OT",Month_Attendance!$E$3,"Employee Code",Helpers[[#This Row],[EMP NO]])</f>
        <v>2.5</v>
      </c>
      <c r="M6" s="117">
        <v>12000</v>
      </c>
      <c r="N6" s="313">
        <v>0</v>
      </c>
      <c r="O6" s="341">
        <f>ROUND((Helpers[[#This Row],[FIXED SALARY]]/Helpers[[#This Row],[TOTAL DAYS]]*Helpers[[#This Row],[Total Paid Days]]) -Helpers[[#This Row],[Deductions]],0)</f>
        <v>12000</v>
      </c>
      <c r="P6" s="186" t="str">
        <f>Helpers[[#This Row],[NAME]]</f>
        <v>YESHVANTH</v>
      </c>
      <c r="Q6" s="186" t="str">
        <f>_xlfn.XLOOKUP(Helpers[[#This Row],[EMP NAME]],Helpers_Bank[EMP NAME],Helpers_Bank[IFSC CODE])</f>
        <v>ICIC0000686</v>
      </c>
      <c r="R6" s="186" t="str">
        <f>_xlfn.XLOOKUP(Helpers[[#This Row],[EMP NAME]],Helpers_Bank[EMP NAME],Helpers_Bank[ACCOUNT NO])</f>
        <v>068601003613</v>
      </c>
      <c r="S6" s="243">
        <f>Helpers[[#This Row],[EARN SALARY]]</f>
        <v>12000</v>
      </c>
      <c r="T6" s="186" t="str">
        <f>_xlfn.XLOOKUP(Helpers[[#This Row],[EMP NAME]],Helpers_Bank[EMP NAME],Helpers_Bank[Account Name])</f>
        <v>YESHVANTH</v>
      </c>
      <c r="U6" s="186" t="str">
        <f>_xlfn.XLOOKUP(Helpers[[#This Row],[EMP NAME]],Helpers_Bank[EMP NAME],Helpers_Bank[Branch])</f>
        <v>KANCHIKACHARLA</v>
      </c>
      <c r="V6" s="314" t="str">
        <f>_xlfn.XLOOKUP(Helpers[[#This Row],[EMP NAME]],Helpers_Bank[EMP NAME],Helpers_Bank[BANK NAME])</f>
        <v>ICICI BANK</v>
      </c>
    </row>
    <row r="7" spans="1:22" ht="20.25" customHeight="1" x14ac:dyDescent="0.25">
      <c r="A7" s="335">
        <f t="shared" si="1"/>
        <v>5</v>
      </c>
      <c r="B7" s="186">
        <v>5055</v>
      </c>
      <c r="C7" s="186" t="s">
        <v>477</v>
      </c>
      <c r="D7" s="186" t="s">
        <v>72</v>
      </c>
      <c r="E7" s="315">
        <f t="shared" si="0"/>
        <v>27</v>
      </c>
      <c r="F7" s="336">
        <f>IFERROR(GETPIVOTDATA("Working Day",Month_Attendance!$E$3,"Employee Code",Helpers[[#This Row],[EMP NO]]),0)</f>
        <v>24.5</v>
      </c>
      <c r="G7" s="337">
        <f>IFERROR(GETPIVOTDATA("Paid Holiday",Month_Attendance!$E$3,"Employee Code",Helpers[[#This Row],[EMP NO]]),0)</f>
        <v>0</v>
      </c>
      <c r="H7" s="338">
        <f>IFERROR(GETPIVOTDATA("Comp Off",Month_Attendance!$E$3,"Employee Code",Helpers[[#This Row],[EMP NO]]),0)</f>
        <v>0</v>
      </c>
      <c r="I7" s="339">
        <f>GETPIVOTDATA("Personal Leave",Month_Attendance!$E$3,"Employee Code",Helpers[[#This Row],[EMP NO]])</f>
        <v>2.5</v>
      </c>
      <c r="J7" s="312"/>
      <c r="K7" s="158">
        <f>Helpers[[#This Row],[Working Days]]+Helpers[[#This Row],[Paid Holiday]]+Helpers[[#This Row],[Comp Off]]+Helpers[[#This Row],[Adjust Days]]</f>
        <v>24.5</v>
      </c>
      <c r="L7" s="339">
        <f>GETPIVOTDATA("Full OT",Month_Attendance!$E$3,"Employee Code",Helpers[[#This Row],[EMP NO]])</f>
        <v>1</v>
      </c>
      <c r="M7" s="117">
        <v>10500</v>
      </c>
      <c r="N7" s="313">
        <v>0</v>
      </c>
      <c r="O7" s="341">
        <f>ROUND((Helpers[[#This Row],[FIXED SALARY]]/Helpers[[#This Row],[TOTAL DAYS]]*Helpers[[#This Row],[Total Paid Days]]) -Helpers[[#This Row],[Deductions]],0)</f>
        <v>9528</v>
      </c>
      <c r="P7" s="186" t="str">
        <f>Helpers[[#This Row],[NAME]]</f>
        <v>ROOPA</v>
      </c>
      <c r="Q7" s="186" t="str">
        <f>_xlfn.XLOOKUP(Helpers[[#This Row],[EMP NAME]],Helpers_Bank[EMP NAME],Helpers_Bank[IFSC CODE])</f>
        <v>IDIB000S023</v>
      </c>
      <c r="R7" s="186" t="str">
        <f>_xlfn.XLOOKUP(Helpers[[#This Row],[EMP NAME]],Helpers_Bank[EMP NAME],Helpers_Bank[ACCOUNT NO])</f>
        <v>6150643344</v>
      </c>
      <c r="S7" s="243">
        <f>Helpers[[#This Row],[EARN SALARY]]</f>
        <v>9528</v>
      </c>
      <c r="T7" s="186" t="str">
        <f>_xlfn.XLOOKUP(Helpers[[#This Row],[EMP NAME]],Helpers_Bank[EMP NAME],Helpers_Bank[Account Name])</f>
        <v>RUPA</v>
      </c>
      <c r="U7" s="186" t="str">
        <f>_xlfn.XLOOKUP(Helpers[[#This Row],[EMP NAME]],Helpers_Bank[EMP NAME],Helpers_Bank[Branch])</f>
        <v>SHOOLAGIRI</v>
      </c>
      <c r="V7" s="314" t="str">
        <f>_xlfn.XLOOKUP(Helpers[[#This Row],[EMP NAME]],Helpers_Bank[EMP NAME],Helpers_Bank[BANK NAME])</f>
        <v>INDIAN BANK</v>
      </c>
    </row>
    <row r="8" spans="1:22" ht="20.25" customHeight="1" x14ac:dyDescent="0.25">
      <c r="A8" s="335">
        <f t="shared" si="1"/>
        <v>6</v>
      </c>
      <c r="B8" s="186">
        <v>5082</v>
      </c>
      <c r="C8" s="342" t="s">
        <v>345</v>
      </c>
      <c r="D8" s="186" t="s">
        <v>205</v>
      </c>
      <c r="E8" s="315">
        <f t="shared" si="0"/>
        <v>27</v>
      </c>
      <c r="F8" s="336">
        <f>IFERROR(GETPIVOTDATA("Working Day",Month_Attendance!$E$3,"Employee Code",Helpers[[#This Row],[EMP NO]]),0)</f>
        <v>24</v>
      </c>
      <c r="G8" s="337">
        <f>IFERROR(GETPIVOTDATA("Paid Holiday",Month_Attendance!$E$3,"Employee Code",Helpers[[#This Row],[EMP NO]]),0)</f>
        <v>0</v>
      </c>
      <c r="H8" s="338">
        <f>IFERROR(GETPIVOTDATA("Comp Off",Month_Attendance!$E$3,"Employee Code",Helpers[[#This Row],[EMP NO]]),0)</f>
        <v>0</v>
      </c>
      <c r="I8" s="339">
        <f>GETPIVOTDATA("Personal Leave",Month_Attendance!$E$3,"Employee Code",Helpers[[#This Row],[EMP NO]])</f>
        <v>3</v>
      </c>
      <c r="J8" s="312"/>
      <c r="K8" s="158">
        <f>Helpers[[#This Row],[Working Days]]+Helpers[[#This Row],[Paid Holiday]]+Helpers[[#This Row],[Comp Off]]+Helpers[[#This Row],[Adjust Days]]</f>
        <v>24</v>
      </c>
      <c r="L8" s="339">
        <f>GETPIVOTDATA("Full OT",Month_Attendance!$E$3,"Employee Code",Helpers[[#This Row],[EMP NO]])</f>
        <v>1</v>
      </c>
      <c r="M8" s="117">
        <v>9192</v>
      </c>
      <c r="N8" s="316">
        <v>0</v>
      </c>
      <c r="O8" s="341">
        <f>ROUND((Helpers[[#This Row],[FIXED SALARY]]/Helpers[[#This Row],[TOTAL DAYS]]*Helpers[[#This Row],[Total Paid Days]]) -Helpers[[#This Row],[Deductions]],0)</f>
        <v>8171</v>
      </c>
      <c r="P8" s="186" t="str">
        <f>Helpers[[#This Row],[NAME]]</f>
        <v>MANJULA V M</v>
      </c>
      <c r="Q8" s="186" t="str">
        <f>_xlfn.XLOOKUP(Helpers[[#This Row],[EMP NAME]],Helpers_Bank[EMP NAME],Helpers_Bank[IFSC CODE])</f>
        <v>IDIB000N174</v>
      </c>
      <c r="R8" s="186">
        <f>_xlfn.XLOOKUP(Helpers[[#This Row],[EMP NAME]],Helpers_Bank[EMP NAME],Helpers_Bank[ACCOUNT NO])</f>
        <v>7553609625</v>
      </c>
      <c r="S8" s="243">
        <f>Helpers[[#This Row],[EARN SALARY]]</f>
        <v>8171</v>
      </c>
      <c r="T8" s="186" t="str">
        <f>_xlfn.XLOOKUP(Helpers[[#This Row],[EMP NAME]],Helpers_Bank[EMP NAME],Helpers_Bank[Account Name])</f>
        <v>MANJULA V M</v>
      </c>
      <c r="U8" s="186" t="str">
        <f>_xlfn.XLOOKUP(Helpers[[#This Row],[EMP NAME]],Helpers_Bank[EMP NAME],Helpers_Bank[Branch])</f>
        <v>NACHIKUPPAM</v>
      </c>
      <c r="V8" s="314" t="str">
        <f>_xlfn.XLOOKUP(Helpers[[#This Row],[EMP NAME]],Helpers_Bank[EMP NAME],Helpers_Bank[BANK NAME])</f>
        <v>INDIAN BANK</v>
      </c>
    </row>
    <row r="9" spans="1:22" ht="20.25" customHeight="1" x14ac:dyDescent="0.25">
      <c r="A9" s="335">
        <f t="shared" si="1"/>
        <v>7</v>
      </c>
      <c r="B9" s="186">
        <v>1092</v>
      </c>
      <c r="C9" s="342" t="s">
        <v>152</v>
      </c>
      <c r="D9" s="186" t="s">
        <v>72</v>
      </c>
      <c r="E9" s="315">
        <f t="shared" si="0"/>
        <v>27</v>
      </c>
      <c r="F9" s="336">
        <f>IFERROR(GETPIVOTDATA("Working Day",Month_Attendance!$E$3,"Employee Code",Helpers[[#This Row],[EMP NO]]),0)</f>
        <v>27</v>
      </c>
      <c r="G9" s="337">
        <f>IFERROR(GETPIVOTDATA("Paid Holiday",Month_Attendance!$E$3,"Employee Code",Helpers[[#This Row],[EMP NO]]),0)</f>
        <v>0</v>
      </c>
      <c r="H9" s="338">
        <f>IFERROR(GETPIVOTDATA("Comp Off",Month_Attendance!$E$3,"Employee Code",Helpers[[#This Row],[EMP NO]]),0)</f>
        <v>0</v>
      </c>
      <c r="I9" s="339">
        <f>GETPIVOTDATA("Personal Leave",Month_Attendance!$E$3,"Employee Code",Helpers[[#This Row],[EMP NO]])</f>
        <v>0</v>
      </c>
      <c r="J9" s="312"/>
      <c r="K9" s="158">
        <f>Helpers[[#This Row],[Working Days]]+Helpers[[#This Row],[Paid Holiday]]+Helpers[[#This Row],[Comp Off]]+Helpers[[#This Row],[Adjust Days]]</f>
        <v>27</v>
      </c>
      <c r="L9" s="339">
        <f>GETPIVOTDATA("Full OT",Month_Attendance!$E$3,"Employee Code",Helpers[[#This Row],[EMP NO]])</f>
        <v>0</v>
      </c>
      <c r="M9" s="117">
        <v>9192</v>
      </c>
      <c r="N9" s="313">
        <v>0</v>
      </c>
      <c r="O9" s="341">
        <f>ROUND((Helpers[[#This Row],[FIXED SALARY]]/Helpers[[#This Row],[TOTAL DAYS]]*Helpers[[#This Row],[Total Paid Days]]) -Helpers[[#This Row],[Deductions]],0)</f>
        <v>9192</v>
      </c>
      <c r="P9" s="186" t="str">
        <f>Helpers[[#This Row],[NAME]]</f>
        <v>SAVITHA</v>
      </c>
      <c r="Q9" s="186" t="str">
        <f>_xlfn.XLOOKUP(Helpers[[#This Row],[EMP NAME]],Helpers_Bank[EMP NAME],Helpers_Bank[IFSC CODE])</f>
        <v>IDIB0PLB001</v>
      </c>
      <c r="R9" s="186" t="str">
        <f>_xlfn.XLOOKUP(Helpers[[#This Row],[EMP NAME]],Helpers_Bank[EMP NAME],Helpers_Bank[ACCOUNT NO])</f>
        <v>95216781</v>
      </c>
      <c r="S9" s="243">
        <f>Helpers[[#This Row],[EARN SALARY]]</f>
        <v>9192</v>
      </c>
      <c r="T9" s="186" t="str">
        <f>_xlfn.XLOOKUP(Helpers[[#This Row],[EMP NAME]],Helpers_Bank[EMP NAME],Helpers_Bank[Account Name])</f>
        <v>SAVITHA</v>
      </c>
      <c r="U9" s="186" t="str">
        <f>_xlfn.XLOOKUP(Helpers[[#This Row],[EMP NAME]],Helpers_Bank[EMP NAME],Helpers_Bank[Branch])</f>
        <v>CHINNAR</v>
      </c>
      <c r="V9" s="314" t="str">
        <f>_xlfn.XLOOKUP(Helpers[[#This Row],[EMP NAME]],Helpers_Bank[EMP NAME],Helpers_Bank[BANK NAME])</f>
        <v>TAMIL NADU GRAMA BANK</v>
      </c>
    </row>
    <row r="10" spans="1:22" ht="22.2" customHeight="1" x14ac:dyDescent="0.25">
      <c r="A10" s="335">
        <f t="shared" si="1"/>
        <v>8</v>
      </c>
      <c r="B10" s="187">
        <v>5086</v>
      </c>
      <c r="C10" s="187" t="s">
        <v>308</v>
      </c>
      <c r="D10" s="186" t="s">
        <v>72</v>
      </c>
      <c r="E10" s="315">
        <f t="shared" si="0"/>
        <v>27</v>
      </c>
      <c r="F10" s="336">
        <f>IFERROR(GETPIVOTDATA("Working Day",Month_Attendance!$E$3,"Employee Code",Helpers[[#This Row],[EMP NO]]),0)</f>
        <v>27</v>
      </c>
      <c r="G10" s="337">
        <f>IFERROR(GETPIVOTDATA("Paid Holiday",Month_Attendance!$E$3,"Employee Code",Helpers[[#This Row],[EMP NO]]),0)</f>
        <v>0</v>
      </c>
      <c r="H10" s="338">
        <f>IFERROR(GETPIVOTDATA("Comp Off",Month_Attendance!$E$3,"Employee Code",Helpers[[#This Row],[EMP NO]]),0)</f>
        <v>0</v>
      </c>
      <c r="I10" s="339">
        <f>GETPIVOTDATA("Personal Leave",Month_Attendance!$E$3,"Employee Code",Helpers[[#This Row],[EMP NO]])</f>
        <v>0</v>
      </c>
      <c r="J10" s="312"/>
      <c r="K10" s="158">
        <f>Helpers[[#This Row],[Working Days]]+Helpers[[#This Row],[Paid Holiday]]+Helpers[[#This Row],[Comp Off]]+Helpers[[#This Row],[Adjust Days]]</f>
        <v>27</v>
      </c>
      <c r="L10" s="339">
        <f>GETPIVOTDATA("Full OT",Month_Attendance!$E$3,"Employee Code",Helpers[[#This Row],[EMP NO]])</f>
        <v>1</v>
      </c>
      <c r="M10" s="317">
        <v>10000</v>
      </c>
      <c r="N10" s="313">
        <v>0</v>
      </c>
      <c r="O10" s="341">
        <f>ROUND((Helpers[[#This Row],[FIXED SALARY]]/Helpers[[#This Row],[TOTAL DAYS]]*Helpers[[#This Row],[Total Paid Days]]) -Helpers[[#This Row],[Deductions]],0)</f>
        <v>10000</v>
      </c>
      <c r="P10" s="186" t="str">
        <f>Helpers[[#This Row],[NAME]]</f>
        <v>KAVITHA</v>
      </c>
      <c r="Q10" s="186" t="str">
        <f>_xlfn.XLOOKUP(Helpers[[#This Row],[EMP NAME]],Helpers_Bank[EMP NAME],Helpers_Bank[IFSC CODE])</f>
        <v>IDIB0PLB001</v>
      </c>
      <c r="R10" s="186">
        <f>_xlfn.XLOOKUP(Helpers[[#This Row],[EMP NAME]],Helpers_Bank[EMP NAME],Helpers_Bank[ACCOUNT NO])</f>
        <v>10023329183</v>
      </c>
      <c r="S10" s="243">
        <f>Helpers[[#This Row],[EARN SALARY]]</f>
        <v>10000</v>
      </c>
      <c r="T10" s="186" t="str">
        <f>_xlfn.XLOOKUP(Helpers[[#This Row],[EMP NAME]],Helpers_Bank[EMP NAME],Helpers_Bank[Account Name])</f>
        <v>KAVITHA</v>
      </c>
      <c r="U10" s="186" t="str">
        <f>_xlfn.XLOOKUP(Helpers[[#This Row],[EMP NAME]],Helpers_Bank[EMP NAME],Helpers_Bank[Branch])</f>
        <v>SHOOLAGIRI</v>
      </c>
      <c r="V10" s="314" t="str">
        <f>_xlfn.XLOOKUP(Helpers[[#This Row],[EMP NAME]],Helpers_Bank[EMP NAME],Helpers_Bank[BANK NAME])</f>
        <v>PALLAVAN GRAMA BANK</v>
      </c>
    </row>
    <row r="11" spans="1:22" ht="22.2" customHeight="1" x14ac:dyDescent="0.25">
      <c r="A11" s="335">
        <f t="shared" si="1"/>
        <v>9</v>
      </c>
      <c r="B11" s="317">
        <v>5089</v>
      </c>
      <c r="C11" s="117" t="s">
        <v>527</v>
      </c>
      <c r="D11" s="118" t="s">
        <v>72</v>
      </c>
      <c r="E11" s="311">
        <f>$E$1</f>
        <v>27</v>
      </c>
      <c r="F11" s="336">
        <f>IFERROR(GETPIVOTDATA("Working Day",Month_Attendance!$E$3,"Employee Code",Helpers[[#This Row],[EMP NO]]),0)</f>
        <v>24.5</v>
      </c>
      <c r="G11" s="337">
        <f>IFERROR(GETPIVOTDATA("Paid Holiday",Month_Attendance!$E$3,"Employee Code",Helpers[[#This Row],[EMP NO]]),0)</f>
        <v>0</v>
      </c>
      <c r="H11" s="338">
        <f>IFERROR(GETPIVOTDATA("Comp Off",Month_Attendance!$E$3,"Employee Code",Helpers[[#This Row],[EMP NO]]),0)</f>
        <v>0</v>
      </c>
      <c r="I11" s="339">
        <f>GETPIVOTDATA("Personal Leave",Month_Attendance!$E$3,"Employee Code",Helpers[[#This Row],[EMP NO]])</f>
        <v>2.5</v>
      </c>
      <c r="J11" s="312"/>
      <c r="K11" s="158">
        <f>Helpers[[#This Row],[Working Days]]+Helpers[[#This Row],[Paid Holiday]]+Helpers[[#This Row],[Comp Off]]+Helpers[[#This Row],[Adjust Days]]</f>
        <v>24.5</v>
      </c>
      <c r="L11" s="339">
        <f>GETPIVOTDATA("Full OT",Month_Attendance!$E$3,"Employee Code",Helpers[[#This Row],[EMP NO]])</f>
        <v>1.5</v>
      </c>
      <c r="M11" s="317">
        <v>9192</v>
      </c>
      <c r="N11" s="313">
        <v>0</v>
      </c>
      <c r="O11" s="341">
        <f>ROUND((Helpers[[#This Row],[FIXED SALARY]]/Helpers[[#This Row],[TOTAL DAYS]]*Helpers[[#This Row],[Total Paid Days]]) -Helpers[[#This Row],[Deductions]],0)</f>
        <v>8341</v>
      </c>
      <c r="P11" s="186" t="str">
        <f>Helpers[[#This Row],[NAME]]</f>
        <v>PAVAN KUMAR</v>
      </c>
      <c r="Q11" s="186" t="str">
        <f>_xlfn.XLOOKUP(Helpers[[#This Row],[EMP NAME]],Helpers_Bank[EMP NAME],Helpers_Bank[IFSC CODE])</f>
        <v>IDIB000S023</v>
      </c>
      <c r="R11" s="186" t="str">
        <f>_xlfn.XLOOKUP(Helpers[[#This Row],[EMP NAME]],Helpers_Bank[EMP NAME],Helpers_Bank[ACCOUNT NO])</f>
        <v>6462168862</v>
      </c>
      <c r="S11" s="243">
        <f>Helpers[[#This Row],[EARN SALARY]]</f>
        <v>8341</v>
      </c>
      <c r="T11" s="186" t="str">
        <f>_xlfn.XLOOKUP(Helpers[[#This Row],[EMP NAME]],Helpers_Bank[EMP NAME],Helpers_Bank[Account Name])</f>
        <v>PAVAN KUMAR</v>
      </c>
      <c r="U11" s="186" t="str">
        <f>_xlfn.XLOOKUP(Helpers[[#This Row],[EMP NAME]],Helpers_Bank[EMP NAME],Helpers_Bank[Branch])</f>
        <v>SHOOLAGIRI</v>
      </c>
      <c r="V11" s="314" t="str">
        <f>_xlfn.XLOOKUP(Helpers[[#This Row],[EMP NAME]],Helpers_Bank[EMP NAME],Helpers_Bank[BANK NAME])</f>
        <v>PANNAKEDIRAN</v>
      </c>
    </row>
    <row r="12" spans="1:22" ht="22.2" customHeight="1" x14ac:dyDescent="0.25">
      <c r="A12" s="335">
        <f t="shared" si="1"/>
        <v>10</v>
      </c>
      <c r="B12" s="117">
        <v>5088</v>
      </c>
      <c r="C12" s="117" t="s">
        <v>163</v>
      </c>
      <c r="D12" s="118" t="s">
        <v>72</v>
      </c>
      <c r="E12" s="311">
        <f>$E$1</f>
        <v>27</v>
      </c>
      <c r="F12" s="336">
        <f>IFERROR(GETPIVOTDATA("Working Day",Month_Attendance!$E$3,"Employee Code",Helpers[[#This Row],[EMP NO]]),0)</f>
        <v>25</v>
      </c>
      <c r="G12" s="337">
        <f>IFERROR(GETPIVOTDATA("Paid Holiday",Month_Attendance!$E$3,"Employee Code",Helpers[[#This Row],[EMP NO]]),0)</f>
        <v>0</v>
      </c>
      <c r="H12" s="338">
        <f>IFERROR(GETPIVOTDATA("Comp Off",Month_Attendance!$E$3,"Employee Code",Helpers[[#This Row],[EMP NO]]),0)</f>
        <v>0</v>
      </c>
      <c r="I12" s="339">
        <f>GETPIVOTDATA("Personal Leave",Month_Attendance!$E$3,"Employee Code",Helpers[[#This Row],[EMP NO]])</f>
        <v>2</v>
      </c>
      <c r="J12" s="312"/>
      <c r="K12" s="158">
        <f>Helpers[[#This Row],[Working Days]]+Helpers[[#This Row],[Paid Holiday]]+Helpers[[#This Row],[Comp Off]]+Helpers[[#This Row],[Adjust Days]]</f>
        <v>25</v>
      </c>
      <c r="L12" s="339">
        <f>GETPIVOTDATA("Full OT",Month_Attendance!$E$3,"Employee Code",Helpers[[#This Row],[EMP NO]])</f>
        <v>0</v>
      </c>
      <c r="M12" s="317">
        <v>9192</v>
      </c>
      <c r="N12" s="313">
        <v>0</v>
      </c>
      <c r="O12" s="341">
        <f>ROUND((Helpers[[#This Row],[FIXED SALARY]]/Helpers[[#This Row],[TOTAL DAYS]]*Helpers[[#This Row],[Total Paid Days]]) -Helpers[[#This Row],[Deductions]],0)</f>
        <v>8511</v>
      </c>
      <c r="P12" s="186" t="str">
        <f>Helpers[[#This Row],[NAME]]</f>
        <v>MUTHUVEDI</v>
      </c>
      <c r="Q12" s="186" t="str">
        <f>_xlfn.XLOOKUP(Helpers[[#This Row],[EMP NAME]],Helpers_Bank[EMP NAME],Helpers_Bank[IFSC CODE])</f>
        <v>IDIB000S023</v>
      </c>
      <c r="R12" s="186" t="str">
        <f>_xlfn.XLOOKUP(Helpers[[#This Row],[EMP NAME]],Helpers_Bank[EMP NAME],Helpers_Bank[ACCOUNT NO])</f>
        <v>6302147018</v>
      </c>
      <c r="S12" s="243">
        <f>Helpers[[#This Row],[EARN SALARY]]</f>
        <v>8511</v>
      </c>
      <c r="T12" s="186" t="str">
        <f>_xlfn.XLOOKUP(Helpers[[#This Row],[EMP NAME]],Helpers_Bank[EMP NAME],Helpers_Bank[Account Name])</f>
        <v>MUTHUVEDI</v>
      </c>
      <c r="U12" s="186" t="str">
        <f>_xlfn.XLOOKUP(Helpers[[#This Row],[EMP NAME]],Helpers_Bank[EMP NAME],Helpers_Bank[Branch])</f>
        <v>SHOOLAGIRI</v>
      </c>
      <c r="V12" s="314" t="str">
        <f>_xlfn.XLOOKUP(Helpers[[#This Row],[EMP NAME]],Helpers_Bank[EMP NAME],Helpers_Bank[BANK NAME])</f>
        <v>INDIAN BANK</v>
      </c>
    </row>
    <row r="13" spans="1:22" ht="22.2" customHeight="1" x14ac:dyDescent="0.25">
      <c r="A13" s="335">
        <v>11</v>
      </c>
      <c r="B13" s="117">
        <v>5093</v>
      </c>
      <c r="C13" s="186" t="s">
        <v>1611</v>
      </c>
      <c r="D13" s="118" t="s">
        <v>72</v>
      </c>
      <c r="E13" s="311">
        <f>$E$1</f>
        <v>27</v>
      </c>
      <c r="F13" s="336">
        <f>IFERROR(GETPIVOTDATA("Working Day",Month_Attendance!$E$3,"Employee Code",Helpers[[#This Row],[EMP NO]]),0)</f>
        <v>7</v>
      </c>
      <c r="G13" s="337">
        <f>IFERROR(GETPIVOTDATA("Paid Holiday",Month_Attendance!$E$3,"Employee Code",Helpers[[#This Row],[EMP NO]]),0)</f>
        <v>0</v>
      </c>
      <c r="H13" s="338">
        <f>IFERROR(GETPIVOTDATA("Comp Off",Month_Attendance!$E$3,"Employee Code",Helpers[[#This Row],[EMP NO]]),0)</f>
        <v>0</v>
      </c>
      <c r="I13" s="339">
        <f>GETPIVOTDATA("Personal Leave",Month_Attendance!$E$3,"Employee Code",Helpers[[#This Row],[EMP NO]])</f>
        <v>20</v>
      </c>
      <c r="J13" s="312"/>
      <c r="K13" s="158">
        <f>Helpers[[#This Row],[Working Days]]+Helpers[[#This Row],[Paid Holiday]]+Helpers[[#This Row],[Comp Off]]+Helpers[[#This Row],[Adjust Days]]</f>
        <v>7</v>
      </c>
      <c r="L13" s="339">
        <f>GETPIVOTDATA("Full OT",Month_Attendance!$E$3,"Employee Code",Helpers[[#This Row],[EMP NO]])</f>
        <v>0</v>
      </c>
      <c r="M13" s="117">
        <f>27*400</f>
        <v>10800</v>
      </c>
      <c r="N13" s="313">
        <v>0</v>
      </c>
      <c r="O13" s="341">
        <f>ROUND((Helpers[[#This Row],[FIXED SALARY]]/Helpers[[#This Row],[TOTAL DAYS]]*Helpers[[#This Row],[Total Paid Days]]) -Helpers[[#This Row],[Deductions]],0)</f>
        <v>2800</v>
      </c>
      <c r="P13" s="186" t="str">
        <f>Helpers[[#This Row],[NAME]]</f>
        <v>POSANA KUMAR</v>
      </c>
      <c r="Q13" s="186" t="str">
        <f>_xlfn.XLOOKUP(Helpers[[#This Row],[EMP NAME]],Helpers_Bank[EMP NAME],Helpers_Bank[IFSC CODE])</f>
        <v>IDIB000S023</v>
      </c>
      <c r="R13" s="186" t="str">
        <f>_xlfn.XLOOKUP(Helpers[[#This Row],[EMP NAME]],Helpers_Bank[EMP NAME],Helpers_Bank[ACCOUNT NO])</f>
        <v>6610722113</v>
      </c>
      <c r="S13" s="243">
        <f>Helpers[[#This Row],[EARN SALARY]]</f>
        <v>2800</v>
      </c>
      <c r="T13" s="186" t="str">
        <f>_xlfn.XLOOKUP(Helpers[[#This Row],[EMP NAME]],Helpers_Bank[EMP NAME],Helpers_Bank[Account Name])</f>
        <v>POSANA KUMAR</v>
      </c>
      <c r="U13" s="186" t="str">
        <f>_xlfn.XLOOKUP(Helpers[[#This Row],[EMP NAME]],Helpers_Bank[EMP NAME],Helpers_Bank[Branch])</f>
        <v>SHOOLAGIRI</v>
      </c>
      <c r="V13" s="314" t="str">
        <f>_xlfn.XLOOKUP(Helpers[[#This Row],[EMP NAME]],Helpers_Bank[EMP NAME],Helpers_Bank[BANK NAME])</f>
        <v>INDIAN BANK</v>
      </c>
    </row>
    <row r="14" spans="1:22" ht="22.2" customHeight="1" x14ac:dyDescent="0.25">
      <c r="A14" s="335">
        <v>12</v>
      </c>
      <c r="B14" s="117">
        <v>5090</v>
      </c>
      <c r="C14" s="117" t="s">
        <v>307</v>
      </c>
      <c r="D14" s="118" t="s">
        <v>72</v>
      </c>
      <c r="E14" s="311">
        <f>$E$1</f>
        <v>27</v>
      </c>
      <c r="F14" s="336">
        <f>IFERROR(GETPIVOTDATA("Working Day",Month_Attendance!$E$3,"Employee Code",Helpers[[#This Row],[EMP NO]]),0)</f>
        <v>4</v>
      </c>
      <c r="G14" s="337">
        <f>IFERROR(GETPIVOTDATA("Paid Holiday",Month_Attendance!$E$3,"Employee Code",Helpers[[#This Row],[EMP NO]]),0)</f>
        <v>0</v>
      </c>
      <c r="H14" s="338">
        <f>IFERROR(GETPIVOTDATA("Comp Off",Month_Attendance!$E$3,"Employee Code",Helpers[[#This Row],[EMP NO]]),0)</f>
        <v>0</v>
      </c>
      <c r="I14" s="339">
        <f>GETPIVOTDATA("Personal Leave",Month_Attendance!$E$3,"Employee Code",Helpers[[#This Row],[EMP NO]])</f>
        <v>23</v>
      </c>
      <c r="J14" s="312"/>
      <c r="K14" s="158">
        <f>Helpers[[#This Row],[Working Days]]+Helpers[[#This Row],[Paid Holiday]]+Helpers[[#This Row],[Comp Off]]+Helpers[[#This Row],[Adjust Days]]</f>
        <v>4</v>
      </c>
      <c r="L14" s="339">
        <f>GETPIVOTDATA("Full OT",Month_Attendance!$E$3,"Employee Code",Helpers[[#This Row],[EMP NO]])</f>
        <v>0</v>
      </c>
      <c r="M14" s="117">
        <v>10800</v>
      </c>
      <c r="N14" s="313">
        <v>0</v>
      </c>
      <c r="O14" s="341">
        <f>ROUND((Helpers[[#This Row],[FIXED SALARY]]/Helpers[[#This Row],[TOTAL DAYS]]*Helpers[[#This Row],[Total Paid Days]]) -Helpers[[#This Row],[Deductions]],0)</f>
        <v>1600</v>
      </c>
      <c r="P14" s="186" t="str">
        <f>'Bank Details'!A94</f>
        <v>MEENA</v>
      </c>
      <c r="Q14" s="186" t="str">
        <f>_xlfn.XLOOKUP(Helpers[[#This Row],[EMP NAME]],Helpers_Bank[EMP NAME],Helpers_Bank[IFSC CODE])</f>
        <v>IDIB000S023</v>
      </c>
      <c r="R14" s="186">
        <f>_xlfn.XLOOKUP(Helpers[[#This Row],[EMP NAME]],Helpers_Bank[EMP NAME],Helpers_Bank[ACCOUNT NO])</f>
        <v>6643363266</v>
      </c>
      <c r="S14" s="243">
        <f>Helpers[[#This Row],[EARN SALARY]]</f>
        <v>1600</v>
      </c>
      <c r="T14" s="186" t="str">
        <f>_xlfn.XLOOKUP(Helpers[[#This Row],[EMP NAME]],Helpers_Bank[EMP NAME],Helpers_Bank[Account Name])</f>
        <v>MEENA</v>
      </c>
      <c r="U14" s="186" t="str">
        <f>_xlfn.XLOOKUP(Helpers[[#This Row],[EMP NAME]],Helpers_Bank[EMP NAME],Helpers_Bank[Branch])</f>
        <v>SHOOLAGIRI</v>
      </c>
      <c r="V14" s="314" t="str">
        <f>_xlfn.XLOOKUP(Helpers[[#This Row],[EMP NAME]],Helpers_Bank[EMP NAME],Helpers_Bank[BANK NAME])</f>
        <v>INDIAN BANK</v>
      </c>
    </row>
    <row r="15" spans="1:22" ht="22.2" customHeight="1" x14ac:dyDescent="0.25">
      <c r="A15" s="343">
        <v>13</v>
      </c>
      <c r="B15" s="184">
        <v>5092</v>
      </c>
      <c r="C15" s="184" t="s">
        <v>819</v>
      </c>
      <c r="D15" s="184" t="s">
        <v>72</v>
      </c>
      <c r="E15" s="318">
        <f>$E$1</f>
        <v>27</v>
      </c>
      <c r="F15" s="336">
        <f>IFERROR(GETPIVOTDATA("Working Day",Month_Attendance!$E$3,"Employee Code",Helpers[[#This Row],[EMP NO]]),0)</f>
        <v>5</v>
      </c>
      <c r="G15" s="337">
        <f>IFERROR(GETPIVOTDATA("Paid Holiday",Month_Attendance!$E$3,"Employee Code",Helpers[[#This Row],[EMP NO]]),0)</f>
        <v>0</v>
      </c>
      <c r="H15" s="338">
        <f>IFERROR(GETPIVOTDATA("Comp Off",Month_Attendance!$E$3,"Employee Code",Helpers[[#This Row],[EMP NO]]),0)</f>
        <v>0</v>
      </c>
      <c r="I15" s="339">
        <f>GETPIVOTDATA("Personal Leave",Month_Attendance!$E$3,"Employee Code",Helpers[[#This Row],[EMP NO]])</f>
        <v>22</v>
      </c>
      <c r="J15" s="319"/>
      <c r="K15" s="158">
        <f>Helpers[[#This Row],[Working Days]]+Helpers[[#This Row],[Paid Holiday]]+Helpers[[#This Row],[Comp Off]]+Helpers[[#This Row],[Adjust Days]]</f>
        <v>5</v>
      </c>
      <c r="L15" s="339">
        <f>GETPIVOTDATA("Full OT",Month_Attendance!$E$3,"Employee Code",Helpers[[#This Row],[EMP NO]])</f>
        <v>0</v>
      </c>
      <c r="M15" s="184">
        <v>12000</v>
      </c>
      <c r="N15" s="320">
        <v>0</v>
      </c>
      <c r="O15" s="341">
        <f>ROUND((Helpers[[#This Row],[FIXED SALARY]]/Helpers[[#This Row],[TOTAL DAYS]]*Helpers[[#This Row],[Total Paid Days]]) -Helpers[[#This Row],[Deductions]],0)</f>
        <v>2222</v>
      </c>
      <c r="P15" s="236" t="str">
        <f>'Bank Details'!A99</f>
        <v>VALLI B</v>
      </c>
      <c r="Q15" s="236" t="str">
        <f>_xlfn.XLOOKUP(Helpers[[#This Row],[EMP NAME]],Helpers_Bank[EMP NAME],Helpers_Bank[IFSC CODE])</f>
        <v>IDIB0PLB001</v>
      </c>
      <c r="R15" s="186">
        <f>_xlfn.XLOOKUP(Helpers[[#This Row],[EMP NAME]],Helpers_Bank[EMP NAME],Helpers_Bank[ACCOUNT NO])</f>
        <v>10023798928</v>
      </c>
      <c r="S15" s="321">
        <f>Helpers[[#This Row],[EARN SALARY]]</f>
        <v>2222</v>
      </c>
      <c r="T15" s="186" t="str">
        <f>_xlfn.XLOOKUP(Helpers[[#This Row],[EMP NAME]],Helpers_Bank[EMP NAME],Helpers_Bank[Account Name])</f>
        <v>VALLI B</v>
      </c>
      <c r="U15" s="236" t="str">
        <f>_xlfn.XLOOKUP(Helpers[[#This Row],[EMP NAME]],Helpers_Bank[EMP NAME],Helpers_Bank[Branch])</f>
        <v>SHOOLAGIRI</v>
      </c>
      <c r="V15" s="322" t="str">
        <f>_xlfn.XLOOKUP(Helpers[[#This Row],[EMP NAME]],Helpers_Bank[EMP NAME],Helpers_Bank[BANK NAME])</f>
        <v>TAMIL NADU GRAMA BANK</v>
      </c>
    </row>
    <row r="16" spans="1:22" x14ac:dyDescent="0.25">
      <c r="A16" s="344">
        <f>COUNT(Helpers[S.NO])</f>
        <v>13</v>
      </c>
      <c r="B16" s="15"/>
      <c r="C16" s="15"/>
      <c r="D16" s="15"/>
      <c r="E16" s="16"/>
      <c r="F16" s="16"/>
      <c r="G16" s="56"/>
      <c r="H16" s="16"/>
      <c r="I16" s="16"/>
      <c r="J16" s="15"/>
      <c r="K16" s="15"/>
      <c r="L16" s="15"/>
      <c r="M16" s="345">
        <f>SUM(Helpers[FIXED SALARY])</f>
        <v>135444</v>
      </c>
      <c r="N16" s="345"/>
      <c r="O16" s="346">
        <f>SUM(Helpers[EARN SALARY])</f>
        <v>95382</v>
      </c>
      <c r="P16" s="247"/>
      <c r="Q16" s="246"/>
      <c r="R16" s="246"/>
      <c r="S16" s="17">
        <f>SUM(Helpers[EARN SALARY])</f>
        <v>95382</v>
      </c>
      <c r="T16" s="248"/>
      <c r="U16" s="248"/>
      <c r="V16" s="248"/>
    </row>
    <row r="20" spans="8:18" x14ac:dyDescent="0.25">
      <c r="R20" s="19"/>
    </row>
    <row r="21" spans="8:18" x14ac:dyDescent="0.25">
      <c r="R21" s="18"/>
    </row>
    <row r="22" spans="8:18" x14ac:dyDescent="0.25">
      <c r="R22" s="18"/>
    </row>
    <row r="23" spans="8:18" x14ac:dyDescent="0.25">
      <c r="H23" s="7"/>
      <c r="R23" s="18"/>
    </row>
    <row r="24" spans="8:18" x14ac:dyDescent="0.25">
      <c r="L24" s="20"/>
      <c r="M24" s="20"/>
      <c r="N24" s="20"/>
      <c r="O24" s="20"/>
      <c r="P24" s="20"/>
      <c r="Q24" s="18"/>
      <c r="R24" s="19"/>
    </row>
  </sheetData>
  <sheetProtection formatCells="0" formatColumns="0" sort="0" autoFilter="0" pivotTables="0"/>
  <protectedRanges>
    <protectedRange sqref="G16:G22 J3:J15" name="Range2"/>
    <protectedRange sqref="E1" name="Range1"/>
    <protectedRange sqref="N3:N15" name="Range3"/>
  </protectedRanges>
  <phoneticPr fontId="43" type="noConversion"/>
  <conditionalFormatting sqref="C6">
    <cfRule type="duplicateValues" dxfId="276" priority="4"/>
  </conditionalFormatting>
  <conditionalFormatting sqref="L3:L15 F3:I15">
    <cfRule type="cellIs" dxfId="275" priority="472" operator="greaterThan">
      <formula>$J3+$E3</formula>
    </cfRule>
  </conditionalFormatting>
  <conditionalFormatting sqref="P3:V15">
    <cfRule type="expression" dxfId="274" priority="2">
      <formula>ISNA(P3)</formula>
    </cfRule>
  </conditionalFormatting>
  <conditionalFormatting sqref="C8:C12 C14:C15">
    <cfRule type="duplicateValues" dxfId="273" priority="716"/>
  </conditionalFormatting>
  <conditionalFormatting sqref="P3:P15">
    <cfRule type="duplicateValues" dxfId="272" priority="717"/>
  </conditionalFormatting>
  <conditionalFormatting sqref="C13">
    <cfRule type="expression" dxfId="271" priority="1">
      <formula>ISNA(C13)</formula>
    </cfRule>
  </conditionalFormatting>
  <pageMargins left="0.25" right="0.25" top="0.75" bottom="0.75" header="0.3" footer="0.3"/>
  <pageSetup scale="44" fitToHeight="0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68D0C-1E3A-4C0E-BCD2-B6C982C4FFBC}">
  <sheetPr codeName="Sheet13">
    <tabColor theme="9" tint="0.59999389629810485"/>
    <pageSetUpPr fitToPage="1"/>
  </sheetPr>
  <dimension ref="A1:AN27"/>
  <sheetViews>
    <sheetView zoomScale="95" zoomScaleNormal="95" workbookViewId="0">
      <pane xSplit="3" ySplit="3" topLeftCell="I12" activePane="bottomRight" state="frozen"/>
      <selection activeCell="G13" sqref="G13"/>
      <selection pane="topRight" activeCell="G13" sqref="G13"/>
      <selection pane="bottomLeft" activeCell="G13" sqref="G13"/>
      <selection pane="bottomRight" activeCell="N23" sqref="N23"/>
    </sheetView>
  </sheetViews>
  <sheetFormatPr defaultColWidth="8.6640625" defaultRowHeight="15.75" customHeight="1" outlineLevelRow="1" outlineLevelCol="1" x14ac:dyDescent="0.2"/>
  <cols>
    <col min="1" max="1" width="7" style="33" bestFit="1" customWidth="1"/>
    <col min="2" max="2" width="8.33203125" style="33" customWidth="1"/>
    <col min="3" max="3" width="14.6640625" style="33" bestFit="1" customWidth="1"/>
    <col min="4" max="4" width="16.6640625" style="33" customWidth="1"/>
    <col min="5" max="5" width="15" style="33" hidden="1" customWidth="1" outlineLevel="1"/>
    <col min="6" max="6" width="12.6640625" style="33" hidden="1" customWidth="1" outlineLevel="1"/>
    <col min="7" max="7" width="6" style="33" customWidth="1" collapsed="1"/>
    <col min="8" max="8" width="14.77734375" style="33" customWidth="1"/>
    <col min="9" max="9" width="8.33203125" style="33" customWidth="1"/>
    <col min="10" max="10" width="7.33203125" style="33" customWidth="1"/>
    <col min="11" max="11" width="10.6640625" style="33" customWidth="1"/>
    <col min="12" max="13" width="7.6640625" style="33" customWidth="1"/>
    <col min="14" max="14" width="9.109375" style="33" customWidth="1"/>
    <col min="15" max="15" width="7.6640625" style="33" customWidth="1" outlineLevel="1"/>
    <col min="16" max="16" width="7.109375" style="33" customWidth="1" outlineLevel="1"/>
    <col min="17" max="17" width="11.44140625" style="33" customWidth="1" outlineLevel="1"/>
    <col min="18" max="18" width="7.6640625" style="33" customWidth="1" outlineLevel="1"/>
    <col min="19" max="19" width="5.6640625" style="33" customWidth="1" outlineLevel="1"/>
    <col min="20" max="20" width="11.77734375" style="33" customWidth="1"/>
    <col min="21" max="21" width="10.44140625" style="33" customWidth="1"/>
    <col min="22" max="22" width="7.6640625" style="33" customWidth="1"/>
    <col min="23" max="23" width="5.109375" style="33" customWidth="1"/>
    <col min="24" max="24" width="11.33203125" style="33" customWidth="1"/>
    <col min="25" max="25" width="7.33203125" style="33" customWidth="1" outlineLevel="1"/>
    <col min="26" max="26" width="7.44140625" style="33" customWidth="1" outlineLevel="1"/>
    <col min="27" max="27" width="9.77734375" style="33" customWidth="1" outlineLevel="1"/>
    <col min="28" max="28" width="9" style="33" customWidth="1" outlineLevel="1"/>
    <col min="29" max="31" width="7.33203125" style="33" customWidth="1"/>
    <col min="32" max="32" width="14.33203125" style="33" customWidth="1"/>
    <col min="33" max="33" width="6.33203125" style="33" hidden="1" customWidth="1" outlineLevel="1"/>
    <col min="34" max="34" width="18.109375" style="33" customWidth="1" collapsed="1"/>
    <col min="35" max="35" width="15.6640625" style="33" customWidth="1" outlineLevel="1"/>
    <col min="36" max="36" width="21.109375" style="33" customWidth="1" outlineLevel="1"/>
    <col min="37" max="37" width="11" style="33" customWidth="1" outlineLevel="1"/>
    <col min="38" max="38" width="15.6640625" style="33" customWidth="1" outlineLevel="1"/>
    <col min="39" max="39" width="14.6640625" style="33" customWidth="1" outlineLevel="1"/>
    <col min="40" max="40" width="28.6640625" style="33" customWidth="1" outlineLevel="1"/>
    <col min="41" max="16384" width="8.6640625" style="33"/>
  </cols>
  <sheetData>
    <row r="1" spans="1:40" s="58" customFormat="1" ht="36" customHeight="1" x14ac:dyDescent="0.3">
      <c r="D1" s="401" t="s">
        <v>1609</v>
      </c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  <c r="X1" s="401"/>
    </row>
    <row r="2" spans="1:40" s="123" customFormat="1" ht="24" customHeight="1" x14ac:dyDescent="0.2">
      <c r="A2" s="59"/>
      <c r="B2" s="59"/>
      <c r="C2" s="59"/>
      <c r="D2" s="407" t="s">
        <v>0</v>
      </c>
      <c r="E2" s="407"/>
      <c r="F2" s="407"/>
      <c r="G2" s="121">
        <v>27</v>
      </c>
      <c r="H2" s="59"/>
      <c r="I2" s="59"/>
      <c r="J2" s="59"/>
      <c r="K2" s="59"/>
      <c r="L2" s="408" t="s">
        <v>67</v>
      </c>
      <c r="M2" s="408"/>
      <c r="N2" s="408"/>
      <c r="O2" s="408"/>
      <c r="P2" s="408"/>
      <c r="Q2" s="408"/>
      <c r="R2" s="404" t="s">
        <v>174</v>
      </c>
      <c r="S2" s="405"/>
      <c r="T2" s="405"/>
      <c r="U2" s="405"/>
      <c r="V2" s="405"/>
      <c r="W2" s="405"/>
      <c r="X2" s="406"/>
      <c r="Y2" s="404" t="s">
        <v>402</v>
      </c>
      <c r="Z2" s="405"/>
      <c r="AA2" s="405"/>
      <c r="AB2" s="406"/>
      <c r="AC2" s="404" t="s">
        <v>175</v>
      </c>
      <c r="AD2" s="405"/>
      <c r="AE2" s="405"/>
      <c r="AF2" s="122" t="s">
        <v>348</v>
      </c>
      <c r="AH2" s="402" t="s">
        <v>20</v>
      </c>
      <c r="AI2" s="403"/>
      <c r="AJ2" s="403"/>
      <c r="AK2" s="403"/>
      <c r="AL2" s="403"/>
      <c r="AM2" s="403"/>
      <c r="AN2" s="403"/>
    </row>
    <row r="3" spans="1:40" s="123" customFormat="1" ht="57" customHeight="1" x14ac:dyDescent="0.2">
      <c r="A3" s="60" t="s">
        <v>213</v>
      </c>
      <c r="B3" s="60" t="s">
        <v>176</v>
      </c>
      <c r="C3" s="60" t="s">
        <v>22</v>
      </c>
      <c r="D3" s="60" t="s">
        <v>177</v>
      </c>
      <c r="E3" s="60" t="s">
        <v>178</v>
      </c>
      <c r="F3" s="60" t="s">
        <v>179</v>
      </c>
      <c r="G3" s="60" t="s">
        <v>180</v>
      </c>
      <c r="H3" s="54" t="s">
        <v>306</v>
      </c>
      <c r="I3" s="54" t="s">
        <v>388</v>
      </c>
      <c r="J3" s="54" t="s">
        <v>390</v>
      </c>
      <c r="K3" s="129" t="s">
        <v>395</v>
      </c>
      <c r="L3" s="54" t="s">
        <v>224</v>
      </c>
      <c r="M3" s="128" t="s">
        <v>181</v>
      </c>
      <c r="N3" s="131" t="s">
        <v>367</v>
      </c>
      <c r="O3" s="60" t="s">
        <v>182</v>
      </c>
      <c r="P3" s="60" t="s">
        <v>183</v>
      </c>
      <c r="Q3" s="60" t="s">
        <v>184</v>
      </c>
      <c r="R3" s="60" t="s">
        <v>185</v>
      </c>
      <c r="S3" s="60" t="s">
        <v>186</v>
      </c>
      <c r="T3" s="60" t="s">
        <v>187</v>
      </c>
      <c r="U3" s="60" t="s">
        <v>398</v>
      </c>
      <c r="V3" s="60" t="s">
        <v>399</v>
      </c>
      <c r="W3" s="60" t="s">
        <v>400</v>
      </c>
      <c r="X3" s="60" t="s">
        <v>401</v>
      </c>
      <c r="Y3" s="60" t="s">
        <v>188</v>
      </c>
      <c r="Z3" s="124" t="s">
        <v>304</v>
      </c>
      <c r="AA3" s="60" t="s">
        <v>189</v>
      </c>
      <c r="AB3" s="124" t="s">
        <v>305</v>
      </c>
      <c r="AC3" s="130" t="s">
        <v>25</v>
      </c>
      <c r="AD3" s="130" t="s">
        <v>536</v>
      </c>
      <c r="AE3" s="60" t="s">
        <v>190</v>
      </c>
      <c r="AF3" s="128" t="s">
        <v>191</v>
      </c>
      <c r="AG3" s="60" t="s">
        <v>192</v>
      </c>
      <c r="AH3" s="204" t="s">
        <v>351</v>
      </c>
      <c r="AI3" s="205" t="s">
        <v>30</v>
      </c>
      <c r="AJ3" s="205" t="s">
        <v>29</v>
      </c>
      <c r="AK3" s="46" t="s">
        <v>230</v>
      </c>
      <c r="AL3" s="46" t="s">
        <v>227</v>
      </c>
      <c r="AM3" s="46" t="s">
        <v>228</v>
      </c>
      <c r="AN3" s="46" t="s">
        <v>229</v>
      </c>
    </row>
    <row r="4" spans="1:40" ht="20.25" customHeight="1" x14ac:dyDescent="0.2">
      <c r="A4" s="27">
        <v>1</v>
      </c>
      <c r="B4" s="28">
        <v>1002</v>
      </c>
      <c r="C4" s="29" t="s">
        <v>346</v>
      </c>
      <c r="D4" s="306" t="s">
        <v>68</v>
      </c>
      <c r="E4" s="31" t="s">
        <v>193</v>
      </c>
      <c r="F4" s="30">
        <v>6382106584</v>
      </c>
      <c r="G4" s="32">
        <f>Working_Days</f>
        <v>27</v>
      </c>
      <c r="H4" s="159">
        <f>GETPIVOTDATA("Working Day",Month_Attendance!$E$3,"Employee Code",Workers[[#This Row],[EMP.NO]])</f>
        <v>25</v>
      </c>
      <c r="I4" s="160">
        <f>GETPIVOTDATA("Paid Holiday",Month_Attendance!$E$3,"Employee Code",Workers[[#This Row],[EMP.NO]])</f>
        <v>0</v>
      </c>
      <c r="J4" s="160">
        <f>GETPIVOTDATA("Comp Off",Month_Attendance!$E$3,"Employee Code",Workers[[#This Row],[EMP.NO]])</f>
        <v>0</v>
      </c>
      <c r="K4" s="116">
        <f>GETPIVOTDATA("Personal Leave",Month_Attendance!$E$3,"Employee Code",Workers[[#This Row],[EMP.NO]])</f>
        <v>2</v>
      </c>
      <c r="L4" s="161"/>
      <c r="M4" s="158">
        <f>Workers[[#This Row],[Working Days]]+Workers[[#This Row],[Paid Holiday]]+Workers[[#This Row],[Comp Off]]+Workers[[#This Row],[Adjust Days]]</f>
        <v>25</v>
      </c>
      <c r="N4" s="116">
        <f>GETPIVOTDATA("Full OT",Month_Attendance!$E$3,"Employee Code",Workers[[#This Row],[EMP.NO]])</f>
        <v>0</v>
      </c>
      <c r="O4" s="96">
        <v>5000</v>
      </c>
      <c r="P4" s="96">
        <v>5496</v>
      </c>
      <c r="Q4" s="96">
        <f t="shared" ref="Q4:Q15" si="0">SUM(O4:P4)</f>
        <v>10496</v>
      </c>
      <c r="R4" s="96">
        <v>2787</v>
      </c>
      <c r="S4" s="95">
        <v>0</v>
      </c>
      <c r="T4" s="96">
        <f t="shared" ref="T4:T15" si="1">SUM(Q4:S4)</f>
        <v>13283</v>
      </c>
      <c r="U4" s="96">
        <f t="shared" ref="U4:U15" si="2">Q4/G4*M4</f>
        <v>9718.5185185185182</v>
      </c>
      <c r="V4" s="96">
        <f t="shared" ref="V4:V15" si="3">R4/G4*M4</f>
        <v>2580.5555555555557</v>
      </c>
      <c r="W4" s="96">
        <f t="shared" ref="W4:W15" si="4">S4/G4*M4</f>
        <v>0</v>
      </c>
      <c r="X4" s="125">
        <f t="shared" ref="X4:X15" si="5">SUM(U4:W4)</f>
        <v>12299.074074074073</v>
      </c>
      <c r="Y4" s="96">
        <f t="shared" ref="Y4:Y15" si="6">U4*12%</f>
        <v>1166.2222222222222</v>
      </c>
      <c r="Z4" s="126">
        <f t="shared" ref="Z4:Z15" si="7">X4*(12+6)%</f>
        <v>2213.833333333333</v>
      </c>
      <c r="AA4" s="96">
        <f t="shared" ref="AA4:AA15" si="8">X4*0.75%</f>
        <v>92.243055555555543</v>
      </c>
      <c r="AB4" s="126">
        <f t="shared" ref="AB4:AB15" si="9">X4*(3.25)%</f>
        <v>399.71990740740739</v>
      </c>
      <c r="AC4" s="132"/>
      <c r="AD4" s="132"/>
      <c r="AE4" s="125">
        <f>Workers[[#This Row],[PF]]+Workers[[#This Row],[ESI]]+Workers[[#This Row],[Deductions]]+Workers[[#This Row],[Professiona tax]]</f>
        <v>1258.4652777777778</v>
      </c>
      <c r="AF4" s="120">
        <f t="shared" ref="AF4:AF15" si="10">ROUND(X4-AE4,0)</f>
        <v>11041</v>
      </c>
      <c r="AG4" s="32"/>
      <c r="AH4" s="236" t="str">
        <f>Workers[[#This Row],[NAME]]</f>
        <v>K VALLI</v>
      </c>
      <c r="AI4" s="236" t="str">
        <f>_xlfn.XLOOKUP(Workers[[#This Row],[EMP NAME]],Company_Workers_Bank[EMP NAME],Company_Workers_Bank[IFSC CODE])</f>
        <v>IDIB000S023</v>
      </c>
      <c r="AJ4" s="236" t="str">
        <f>_xlfn.XLOOKUP(Workers[[#This Row],[EMP NAME]],Company_Workers_Bank[EMP NAME],Company_Workers_Bank[ACCOUNT NO])</f>
        <v>816802566</v>
      </c>
      <c r="AK4" s="237">
        <f>Workers[[#This Row],[NET]]</f>
        <v>11041</v>
      </c>
      <c r="AL4" s="236" t="str">
        <f>_xlfn.XLOOKUP(Workers[[#This Row],[EMP NAME]],Company_Workers_Bank[EMP NAME],Company_Workers_Bank[Account Name])</f>
        <v>K VALLI</v>
      </c>
      <c r="AM4" s="236" t="str">
        <f>_xlfn.XLOOKUP(Workers[[#This Row],[EMP NAME]],Company_Workers_Bank[EMP NAME],Company_Workers_Bank[Branch])</f>
        <v>SHOOLAGIRI</v>
      </c>
      <c r="AN4" s="236" t="str">
        <f>_xlfn.XLOOKUP(Workers[[#This Row],[EMP NAME]],Company_Workers_Bank[EMP NAME],Company_Workers_Bank[BANK NAME])</f>
        <v>INDIAN BANK</v>
      </c>
    </row>
    <row r="5" spans="1:40" ht="20.25" customHeight="1" x14ac:dyDescent="0.2">
      <c r="A5" s="27">
        <f>A4+1</f>
        <v>2</v>
      </c>
      <c r="B5" s="30">
        <v>1013</v>
      </c>
      <c r="C5" s="29" t="s">
        <v>81</v>
      </c>
      <c r="D5" s="30" t="s">
        <v>68</v>
      </c>
      <c r="E5" s="31" t="s">
        <v>194</v>
      </c>
      <c r="F5" s="30">
        <v>6382106677</v>
      </c>
      <c r="G5" s="32">
        <f t="shared" ref="G5:G15" si="11">Working_Days</f>
        <v>27</v>
      </c>
      <c r="H5" s="159">
        <f>GETPIVOTDATA("Working Day",Month_Attendance!$E$3,"Employee Code",Workers[[#This Row],[EMP.NO]])</f>
        <v>24.5</v>
      </c>
      <c r="I5" s="160">
        <f>GETPIVOTDATA("Paid Holiday",Month_Attendance!$E$3,"Employee Code",Workers[[#This Row],[EMP.NO]])</f>
        <v>0</v>
      </c>
      <c r="J5" s="160">
        <f>GETPIVOTDATA("Comp Off",Month_Attendance!$E$3,"Employee Code",Workers[[#This Row],[EMP.NO]])</f>
        <v>0</v>
      </c>
      <c r="K5" s="116">
        <f>GETPIVOTDATA("Personal Leave",Month_Attendance!$E$3,"Employee Code",Workers[[#This Row],[EMP.NO]])</f>
        <v>2.5</v>
      </c>
      <c r="L5" s="161"/>
      <c r="M5" s="158">
        <f>Workers[[#This Row],[Working Days]]+Workers[[#This Row],[Paid Holiday]]+Workers[[#This Row],[Comp Off]]+Workers[[#This Row],[Adjust Days]]</f>
        <v>24.5</v>
      </c>
      <c r="N5" s="116">
        <f>GETPIVOTDATA("Full OT",Month_Attendance!$E$3,"Employee Code",Workers[[#This Row],[EMP.NO]])</f>
        <v>0</v>
      </c>
      <c r="O5" s="96">
        <v>5000</v>
      </c>
      <c r="P5" s="96">
        <v>5496</v>
      </c>
      <c r="Q5" s="96">
        <f t="shared" si="0"/>
        <v>10496</v>
      </c>
      <c r="R5" s="96">
        <v>2787</v>
      </c>
      <c r="S5" s="95">
        <v>0</v>
      </c>
      <c r="T5" s="96">
        <f t="shared" si="1"/>
        <v>13283</v>
      </c>
      <c r="U5" s="96">
        <f t="shared" si="2"/>
        <v>9524.1481481481478</v>
      </c>
      <c r="V5" s="96">
        <f t="shared" si="3"/>
        <v>2528.9444444444448</v>
      </c>
      <c r="W5" s="96">
        <f t="shared" si="4"/>
        <v>0</v>
      </c>
      <c r="X5" s="125">
        <f t="shared" si="5"/>
        <v>12053.092592592593</v>
      </c>
      <c r="Y5" s="96">
        <f t="shared" si="6"/>
        <v>1142.8977777777777</v>
      </c>
      <c r="Z5" s="126">
        <f t="shared" si="7"/>
        <v>2169.5566666666668</v>
      </c>
      <c r="AA5" s="96">
        <f t="shared" si="8"/>
        <v>90.398194444444442</v>
      </c>
      <c r="AB5" s="127">
        <f t="shared" si="9"/>
        <v>391.7255092592593</v>
      </c>
      <c r="AC5" s="132"/>
      <c r="AD5" s="132"/>
      <c r="AE5" s="125">
        <f>Workers[[#This Row],[PF]]+Workers[[#This Row],[ESI]]+Workers[[#This Row],[Deductions]]+Workers[[#This Row],[Professiona tax]]</f>
        <v>1233.2959722222222</v>
      </c>
      <c r="AF5" s="120">
        <f t="shared" si="10"/>
        <v>10820</v>
      </c>
      <c r="AG5" s="32"/>
      <c r="AH5" s="236" t="str">
        <f>Workers[[#This Row],[NAME]]</f>
        <v>RAJESHWARI</v>
      </c>
      <c r="AI5" s="236" t="str">
        <f>_xlfn.XLOOKUP(Workers[[#This Row],[EMP NAME]],Company_Workers_Bank[EMP NAME],Company_Workers_Bank[IFSC CODE])</f>
        <v>IDIB000S023</v>
      </c>
      <c r="AJ5" s="236" t="str">
        <f>_xlfn.XLOOKUP(Workers[[#This Row],[EMP NAME]],Company_Workers_Bank[EMP NAME],Company_Workers_Bank[ACCOUNT NO])</f>
        <v>839884521</v>
      </c>
      <c r="AK5" s="237">
        <f>Workers[[#This Row],[NET]]</f>
        <v>10820</v>
      </c>
      <c r="AL5" s="236" t="str">
        <f>_xlfn.XLOOKUP(Workers[[#This Row],[EMP NAME]],Company_Workers_Bank[EMP NAME],Company_Workers_Bank[Account Name])</f>
        <v>RAJESHWARI</v>
      </c>
      <c r="AM5" s="236" t="str">
        <f>_xlfn.XLOOKUP(Workers[[#This Row],[EMP NAME]],Company_Workers_Bank[EMP NAME],Company_Workers_Bank[Branch])</f>
        <v>SHOOLAGIRI</v>
      </c>
      <c r="AN5" s="236" t="str">
        <f>_xlfn.XLOOKUP(Workers[[#This Row],[EMP NAME]],Company_Workers_Bank[EMP NAME],Company_Workers_Bank[BANK NAME])</f>
        <v>INDIAN BANK</v>
      </c>
    </row>
    <row r="6" spans="1:40" ht="20.25" customHeight="1" x14ac:dyDescent="0.2">
      <c r="A6" s="27">
        <f>A5+1</f>
        <v>3</v>
      </c>
      <c r="B6" s="30">
        <v>1014</v>
      </c>
      <c r="C6" s="29" t="s">
        <v>164</v>
      </c>
      <c r="D6" s="30" t="s">
        <v>68</v>
      </c>
      <c r="E6" s="31" t="s">
        <v>195</v>
      </c>
      <c r="F6" s="30">
        <v>6382106688</v>
      </c>
      <c r="G6" s="32">
        <f t="shared" si="11"/>
        <v>27</v>
      </c>
      <c r="H6" s="159">
        <f>GETPIVOTDATA("Working Day",Month_Attendance!$E$3,"Employee Code",Workers[[#This Row],[EMP.NO]])</f>
        <v>25.5</v>
      </c>
      <c r="I6" s="160">
        <f>GETPIVOTDATA("Paid Holiday",Month_Attendance!$E$3,"Employee Code",Workers[[#This Row],[EMP.NO]])</f>
        <v>0</v>
      </c>
      <c r="J6" s="160">
        <f>GETPIVOTDATA("Comp Off",Month_Attendance!$E$3,"Employee Code",Workers[[#This Row],[EMP.NO]])</f>
        <v>0</v>
      </c>
      <c r="K6" s="116">
        <f>GETPIVOTDATA("Personal Leave",Month_Attendance!$E$3,"Employee Code",Workers[[#This Row],[EMP.NO]])</f>
        <v>1.5</v>
      </c>
      <c r="L6" s="161"/>
      <c r="M6" s="158">
        <f>Workers[[#This Row],[Working Days]]+Workers[[#This Row],[Paid Holiday]]+Workers[[#This Row],[Comp Off]]+Workers[[#This Row],[Adjust Days]]</f>
        <v>25.5</v>
      </c>
      <c r="N6" s="116">
        <f>GETPIVOTDATA("Full OT",Month_Attendance!$E$3,"Employee Code",Workers[[#This Row],[EMP.NO]])</f>
        <v>0</v>
      </c>
      <c r="O6" s="96">
        <v>5000</v>
      </c>
      <c r="P6" s="96">
        <v>5496</v>
      </c>
      <c r="Q6" s="96">
        <f t="shared" si="0"/>
        <v>10496</v>
      </c>
      <c r="R6" s="96">
        <v>1694</v>
      </c>
      <c r="S6" s="95">
        <v>0</v>
      </c>
      <c r="T6" s="96">
        <f t="shared" si="1"/>
        <v>12190</v>
      </c>
      <c r="U6" s="96">
        <f t="shared" si="2"/>
        <v>9912.8888888888887</v>
      </c>
      <c r="V6" s="96">
        <f t="shared" si="3"/>
        <v>1599.8888888888889</v>
      </c>
      <c r="W6" s="96">
        <f t="shared" si="4"/>
        <v>0</v>
      </c>
      <c r="X6" s="125">
        <f t="shared" si="5"/>
        <v>11512.777777777777</v>
      </c>
      <c r="Y6" s="96">
        <f t="shared" si="6"/>
        <v>1189.5466666666666</v>
      </c>
      <c r="Z6" s="126">
        <f t="shared" si="7"/>
        <v>2072.2999999999997</v>
      </c>
      <c r="AA6" s="96">
        <f t="shared" si="8"/>
        <v>86.345833333333331</v>
      </c>
      <c r="AB6" s="127">
        <f t="shared" si="9"/>
        <v>374.16527777777776</v>
      </c>
      <c r="AC6" s="132"/>
      <c r="AD6" s="132"/>
      <c r="AE6" s="125">
        <f>Workers[[#This Row],[PF]]+Workers[[#This Row],[ESI]]+Workers[[#This Row],[Deductions]]+Workers[[#This Row],[Professiona tax]]</f>
        <v>1275.8924999999999</v>
      </c>
      <c r="AF6" s="120">
        <f t="shared" si="10"/>
        <v>10237</v>
      </c>
      <c r="AG6" s="32"/>
      <c r="AH6" s="236" t="str">
        <f>Workers[[#This Row],[NAME]]</f>
        <v>NETHRAVATHI</v>
      </c>
      <c r="AI6" s="236" t="str">
        <f>_xlfn.XLOOKUP(Workers[[#This Row],[EMP NAME]],Company_Workers_Bank[EMP NAME],Company_Workers_Bank[IFSC CODE])</f>
        <v>IDIB000S023</v>
      </c>
      <c r="AJ6" s="236" t="str">
        <f>_xlfn.XLOOKUP(Workers[[#This Row],[EMP NAME]],Company_Workers_Bank[EMP NAME],Company_Workers_Bank[ACCOUNT NO])</f>
        <v>6659926450</v>
      </c>
      <c r="AK6" s="237">
        <f>Workers[[#This Row],[NET]]</f>
        <v>10237</v>
      </c>
      <c r="AL6" s="236" t="str">
        <f>_xlfn.XLOOKUP(Workers[[#This Row],[EMP NAME]],Company_Workers_Bank[EMP NAME],Company_Workers_Bank[Account Name])</f>
        <v>NETHRAVATHI</v>
      </c>
      <c r="AM6" s="236" t="str">
        <f>_xlfn.XLOOKUP(Workers[[#This Row],[EMP NAME]],Company_Workers_Bank[EMP NAME],Company_Workers_Bank[Branch])</f>
        <v>SHOOLAGIRI</v>
      </c>
      <c r="AN6" s="236" t="str">
        <f>_xlfn.XLOOKUP(Workers[[#This Row],[EMP NAME]],Company_Workers_Bank[EMP NAME],Company_Workers_Bank[BANK NAME])</f>
        <v>INDIAN BANK</v>
      </c>
    </row>
    <row r="7" spans="1:40" s="238" customFormat="1" ht="20.25" customHeight="1" x14ac:dyDescent="0.2">
      <c r="A7" s="27">
        <f>A6+1</f>
        <v>4</v>
      </c>
      <c r="B7" s="229">
        <v>1030</v>
      </c>
      <c r="C7" s="230" t="s">
        <v>167</v>
      </c>
      <c r="D7" s="229" t="s">
        <v>68</v>
      </c>
      <c r="E7" s="231" t="s">
        <v>196</v>
      </c>
      <c r="F7" s="229">
        <v>6382106792</v>
      </c>
      <c r="G7" s="32">
        <f t="shared" si="11"/>
        <v>27</v>
      </c>
      <c r="H7" s="159">
        <f>GETPIVOTDATA("Working Day",Month_Attendance!$E$3,"Employee Code",Workers[[#This Row],[EMP.NO]])</f>
        <v>25</v>
      </c>
      <c r="I7" s="160">
        <f>GETPIVOTDATA("Paid Holiday",Month_Attendance!$E$3,"Employee Code",Workers[[#This Row],[EMP.NO]])</f>
        <v>0</v>
      </c>
      <c r="J7" s="160">
        <f>GETPIVOTDATA("Comp Off",Month_Attendance!$E$3,"Employee Code",Workers[[#This Row],[EMP.NO]])</f>
        <v>0</v>
      </c>
      <c r="K7" s="116">
        <f>GETPIVOTDATA("Personal Leave",Month_Attendance!$E$3,"Employee Code",Workers[[#This Row],[EMP.NO]])</f>
        <v>2</v>
      </c>
      <c r="L7" s="161"/>
      <c r="M7" s="158">
        <f>Workers[[#This Row],[Working Days]]+Workers[[#This Row],[Paid Holiday]]+Workers[[#This Row],[Comp Off]]+Workers[[#This Row],[Adjust Days]]</f>
        <v>25</v>
      </c>
      <c r="N7" s="116">
        <f>GETPIVOTDATA("Full OT",Month_Attendance!$E$3,"Employee Code",Workers[[#This Row],[EMP.NO]])</f>
        <v>0</v>
      </c>
      <c r="O7" s="32">
        <v>5000</v>
      </c>
      <c r="P7" s="32">
        <v>5496</v>
      </c>
      <c r="Q7" s="32">
        <f t="shared" si="0"/>
        <v>10496</v>
      </c>
      <c r="R7" s="32">
        <v>1133</v>
      </c>
      <c r="S7" s="232">
        <v>0</v>
      </c>
      <c r="T7" s="32">
        <f t="shared" si="1"/>
        <v>11629</v>
      </c>
      <c r="U7" s="32">
        <f t="shared" si="2"/>
        <v>9718.5185185185182</v>
      </c>
      <c r="V7" s="32">
        <f t="shared" si="3"/>
        <v>1049.0740740740741</v>
      </c>
      <c r="W7" s="32">
        <f t="shared" si="4"/>
        <v>0</v>
      </c>
      <c r="X7" s="233">
        <f t="shared" si="5"/>
        <v>10767.592592592593</v>
      </c>
      <c r="Y7" s="32">
        <f t="shared" si="6"/>
        <v>1166.2222222222222</v>
      </c>
      <c r="Z7" s="234">
        <f t="shared" si="7"/>
        <v>1938.1666666666667</v>
      </c>
      <c r="AA7" s="32">
        <f t="shared" si="8"/>
        <v>80.756944444444443</v>
      </c>
      <c r="AB7" s="235">
        <f t="shared" si="9"/>
        <v>349.9467592592593</v>
      </c>
      <c r="AC7" s="132"/>
      <c r="AD7" s="132"/>
      <c r="AE7" s="233">
        <f>Workers[[#This Row],[PF]]+Workers[[#This Row],[ESI]]+Workers[[#This Row],[Deductions]]+Workers[[#This Row],[Professiona tax]]</f>
        <v>1246.9791666666665</v>
      </c>
      <c r="AF7" s="120">
        <f t="shared" si="10"/>
        <v>9521</v>
      </c>
      <c r="AG7" s="32"/>
      <c r="AH7" s="236" t="str">
        <f>Workers[[#This Row],[NAME]]</f>
        <v>MALARKODI</v>
      </c>
      <c r="AI7" s="236" t="str">
        <f>_xlfn.XLOOKUP(Workers[[#This Row],[EMP NAME]],Company_Workers_Bank[EMP NAME],Company_Workers_Bank[IFSC CODE])</f>
        <v>IDIB000S023</v>
      </c>
      <c r="AJ7" s="236" t="str">
        <f>_xlfn.XLOOKUP(Workers[[#This Row],[EMP NAME]],Company_Workers_Bank[EMP NAME],Company_Workers_Bank[ACCOUNT NO])</f>
        <v>7326055111</v>
      </c>
      <c r="AK7" s="237">
        <f>Workers[[#This Row],[NET]]</f>
        <v>9521</v>
      </c>
      <c r="AL7" s="236" t="str">
        <f>_xlfn.XLOOKUP(Workers[[#This Row],[EMP NAME]],Company_Workers_Bank[EMP NAME],Company_Workers_Bank[Account Name])</f>
        <v>MALARKODI</v>
      </c>
      <c r="AM7" s="236" t="str">
        <f>_xlfn.XLOOKUP(Workers[[#This Row],[EMP NAME]],Company_Workers_Bank[EMP NAME],Company_Workers_Bank[Branch])</f>
        <v>SHOOLAGIRI</v>
      </c>
      <c r="AN7" s="236" t="str">
        <f>_xlfn.XLOOKUP(Workers[[#This Row],[EMP NAME]],Company_Workers_Bank[EMP NAME],Company_Workers_Bank[BANK NAME])</f>
        <v>INDIAN BANK</v>
      </c>
    </row>
    <row r="8" spans="1:40" ht="20.25" customHeight="1" x14ac:dyDescent="0.2">
      <c r="A8" s="27">
        <f t="shared" ref="A8:A15" si="12">A7+1</f>
        <v>5</v>
      </c>
      <c r="B8" s="30">
        <v>5006</v>
      </c>
      <c r="C8" s="29" t="s">
        <v>169</v>
      </c>
      <c r="D8" s="30" t="s">
        <v>68</v>
      </c>
      <c r="E8" s="31" t="s">
        <v>197</v>
      </c>
      <c r="F8" s="30">
        <v>6383235231</v>
      </c>
      <c r="G8" s="32">
        <f t="shared" si="11"/>
        <v>27</v>
      </c>
      <c r="H8" s="159">
        <f>GETPIVOTDATA("Working Day",Month_Attendance!$E$3,"Employee Code",Workers[[#This Row],[EMP.NO]])</f>
        <v>24</v>
      </c>
      <c r="I8" s="160">
        <f>GETPIVOTDATA("Paid Holiday",Month_Attendance!$E$3,"Employee Code",Workers[[#This Row],[EMP.NO]])</f>
        <v>0</v>
      </c>
      <c r="J8" s="160">
        <f>GETPIVOTDATA("Comp Off",Month_Attendance!$E$3,"Employee Code",Workers[[#This Row],[EMP.NO]])</f>
        <v>0</v>
      </c>
      <c r="K8" s="116">
        <f>GETPIVOTDATA("Personal Leave",Month_Attendance!$E$3,"Employee Code",Workers[[#This Row],[EMP.NO]])</f>
        <v>3</v>
      </c>
      <c r="L8" s="161"/>
      <c r="M8" s="158">
        <f>Workers[[#This Row],[Working Days]]+Workers[[#This Row],[Paid Holiday]]+Workers[[#This Row],[Comp Off]]+Workers[[#This Row],[Adjust Days]]</f>
        <v>24</v>
      </c>
      <c r="N8" s="116">
        <f>GETPIVOTDATA("Full OT",Month_Attendance!$E$3,"Employee Code",Workers[[#This Row],[EMP.NO]])</f>
        <v>1</v>
      </c>
      <c r="O8" s="96">
        <v>5000</v>
      </c>
      <c r="P8" s="96">
        <v>5496</v>
      </c>
      <c r="Q8" s="96">
        <f t="shared" si="0"/>
        <v>10496</v>
      </c>
      <c r="R8" s="96">
        <v>0</v>
      </c>
      <c r="S8" s="95">
        <v>0</v>
      </c>
      <c r="T8" s="96">
        <f t="shared" si="1"/>
        <v>10496</v>
      </c>
      <c r="U8" s="96">
        <f t="shared" si="2"/>
        <v>9329.7777777777774</v>
      </c>
      <c r="V8" s="96">
        <f t="shared" si="3"/>
        <v>0</v>
      </c>
      <c r="W8" s="96">
        <f t="shared" si="4"/>
        <v>0</v>
      </c>
      <c r="X8" s="125">
        <f t="shared" si="5"/>
        <v>9329.7777777777774</v>
      </c>
      <c r="Y8" s="96">
        <f t="shared" si="6"/>
        <v>1119.5733333333333</v>
      </c>
      <c r="Z8" s="126">
        <f t="shared" si="7"/>
        <v>1679.36</v>
      </c>
      <c r="AA8" s="96">
        <f t="shared" si="8"/>
        <v>69.973333333333329</v>
      </c>
      <c r="AB8" s="127">
        <f t="shared" si="9"/>
        <v>303.21777777777777</v>
      </c>
      <c r="AC8" s="132"/>
      <c r="AD8" s="132"/>
      <c r="AE8" s="125">
        <f>Workers[[#This Row],[PF]]+Workers[[#This Row],[ESI]]+Workers[[#This Row],[Deductions]]+Workers[[#This Row],[Professiona tax]]</f>
        <v>1189.5466666666666</v>
      </c>
      <c r="AF8" s="120">
        <f t="shared" si="10"/>
        <v>8140</v>
      </c>
      <c r="AG8" s="32"/>
      <c r="AH8" s="236" t="str">
        <f>Workers[[#This Row],[NAME]]</f>
        <v>ANUSHA</v>
      </c>
      <c r="AI8" s="236" t="str">
        <f>_xlfn.XLOOKUP(Workers[[#This Row],[EMP NAME]],Company_Workers_Bank[EMP NAME],Company_Workers_Bank[IFSC CODE])</f>
        <v>IDIB0PLB001</v>
      </c>
      <c r="AJ8" s="236" t="str">
        <f>_xlfn.XLOOKUP(Workers[[#This Row],[EMP NAME]],Company_Workers_Bank[EMP NAME],Company_Workers_Bank[ACCOUNT NO])</f>
        <v>10029989257</v>
      </c>
      <c r="AK8" s="237">
        <f>Workers[[#This Row],[NET]]</f>
        <v>8140</v>
      </c>
      <c r="AL8" s="236" t="str">
        <f>_xlfn.XLOOKUP(Workers[[#This Row],[EMP NAME]],Company_Workers_Bank[EMP NAME],Company_Workers_Bank[Account Name])</f>
        <v>ANUSHA</v>
      </c>
      <c r="AM8" s="236" t="str">
        <f>_xlfn.XLOOKUP(Workers[[#This Row],[EMP NAME]],Company_Workers_Bank[EMP NAME],Company_Workers_Bank[Branch])</f>
        <v>SHOOLAGIRI</v>
      </c>
      <c r="AN8" s="236" t="str">
        <f>_xlfn.XLOOKUP(Workers[[#This Row],[EMP NAME]],Company_Workers_Bank[EMP NAME],Company_Workers_Bank[BANK NAME])</f>
        <v>PALLAVAN GRAMA BANK</v>
      </c>
    </row>
    <row r="9" spans="1:40" ht="20.25" customHeight="1" x14ac:dyDescent="0.2">
      <c r="A9" s="27">
        <f t="shared" si="12"/>
        <v>6</v>
      </c>
      <c r="B9" s="30">
        <v>1001</v>
      </c>
      <c r="C9" s="29" t="s">
        <v>151</v>
      </c>
      <c r="D9" s="30" t="s">
        <v>198</v>
      </c>
      <c r="E9" s="31" t="s">
        <v>199</v>
      </c>
      <c r="F9" s="30">
        <v>6382106574</v>
      </c>
      <c r="G9" s="32">
        <f t="shared" si="11"/>
        <v>27</v>
      </c>
      <c r="H9" s="159">
        <f>GETPIVOTDATA("Working Day",Month_Attendance!$E$3,"Employee Code",Workers[[#This Row],[EMP.NO]])</f>
        <v>26.5</v>
      </c>
      <c r="I9" s="160">
        <f>GETPIVOTDATA("Paid Holiday",Month_Attendance!$E$3,"Employee Code",Workers[[#This Row],[EMP.NO]])</f>
        <v>0</v>
      </c>
      <c r="J9" s="160">
        <f>GETPIVOTDATA("Comp Off",Month_Attendance!$E$3,"Employee Code",Workers[[#This Row],[EMP.NO]])</f>
        <v>0</v>
      </c>
      <c r="K9" s="116">
        <f>GETPIVOTDATA("Personal Leave",Month_Attendance!$E$3,"Employee Code",Workers[[#This Row],[EMP.NO]])</f>
        <v>0.5</v>
      </c>
      <c r="L9" s="161"/>
      <c r="M9" s="158">
        <f>Workers[[#This Row],[Working Days]]+Workers[[#This Row],[Paid Holiday]]+Workers[[#This Row],[Comp Off]]+Workers[[#This Row],[Adjust Days]]</f>
        <v>26.5</v>
      </c>
      <c r="N9" s="116">
        <f>GETPIVOTDATA("Full OT",Month_Attendance!$E$3,"Employee Code",Workers[[#This Row],[EMP.NO]])</f>
        <v>0</v>
      </c>
      <c r="O9" s="96">
        <v>5383</v>
      </c>
      <c r="P9" s="96">
        <v>5496</v>
      </c>
      <c r="Q9" s="96">
        <f t="shared" si="0"/>
        <v>10879</v>
      </c>
      <c r="R9" s="96">
        <v>2709</v>
      </c>
      <c r="S9" s="96">
        <v>0</v>
      </c>
      <c r="T9" s="96">
        <f t="shared" si="1"/>
        <v>13588</v>
      </c>
      <c r="U9" s="96">
        <f t="shared" si="2"/>
        <v>10677.537037037036</v>
      </c>
      <c r="V9" s="96">
        <f t="shared" si="3"/>
        <v>2658.833333333333</v>
      </c>
      <c r="W9" s="96">
        <f t="shared" si="4"/>
        <v>0</v>
      </c>
      <c r="X9" s="125">
        <f t="shared" si="5"/>
        <v>13336.370370370369</v>
      </c>
      <c r="Y9" s="96">
        <f t="shared" si="6"/>
        <v>1281.3044444444442</v>
      </c>
      <c r="Z9" s="126">
        <f t="shared" si="7"/>
        <v>2400.5466666666662</v>
      </c>
      <c r="AA9" s="96">
        <f t="shared" si="8"/>
        <v>100.02277777777776</v>
      </c>
      <c r="AB9" s="127">
        <f t="shared" si="9"/>
        <v>433.43203703703699</v>
      </c>
      <c r="AC9" s="132"/>
      <c r="AD9" s="132"/>
      <c r="AE9" s="125">
        <f>Workers[[#This Row],[PF]]+Workers[[#This Row],[ESI]]+Workers[[#This Row],[Deductions]]+Workers[[#This Row],[Professiona tax]]</f>
        <v>1381.327222222222</v>
      </c>
      <c r="AF9" s="120">
        <f t="shared" si="10"/>
        <v>11955</v>
      </c>
      <c r="AG9" s="32"/>
      <c r="AH9" s="236" t="str">
        <f>Workers[[#This Row],[NAME]]</f>
        <v>SUGANYA</v>
      </c>
      <c r="AI9" s="236" t="str">
        <f>_xlfn.XLOOKUP(Workers[[#This Row],[EMP NAME]],Company_Workers_Bank[EMP NAME],Company_Workers_Bank[IFSC CODE])</f>
        <v>IDIB000S023</v>
      </c>
      <c r="AJ9" s="236" t="str">
        <f>_xlfn.XLOOKUP(Workers[[#This Row],[EMP NAME]],Company_Workers_Bank[EMP NAME],Company_Workers_Bank[ACCOUNT NO])</f>
        <v>6712261235</v>
      </c>
      <c r="AK9" s="237">
        <f>Workers[[#This Row],[NET]]</f>
        <v>11955</v>
      </c>
      <c r="AL9" s="236" t="str">
        <f>_xlfn.XLOOKUP(Workers[[#This Row],[EMP NAME]],Company_Workers_Bank[EMP NAME],Company_Workers_Bank[Account Name])</f>
        <v>SUGANYA</v>
      </c>
      <c r="AM9" s="236" t="str">
        <f>_xlfn.XLOOKUP(Workers[[#This Row],[EMP NAME]],Company_Workers_Bank[EMP NAME],Company_Workers_Bank[Branch])</f>
        <v>SHOOLAGIRI</v>
      </c>
      <c r="AN9" s="236" t="str">
        <f>_xlfn.XLOOKUP(Workers[[#This Row],[EMP NAME]],Company_Workers_Bank[EMP NAME],Company_Workers_Bank[BANK NAME])</f>
        <v>INDIAN BANK</v>
      </c>
    </row>
    <row r="10" spans="1:40" ht="20.25" customHeight="1" x14ac:dyDescent="0.2">
      <c r="A10" s="27">
        <f t="shared" si="12"/>
        <v>7</v>
      </c>
      <c r="B10" s="30">
        <v>1004</v>
      </c>
      <c r="C10" s="29" t="s">
        <v>162</v>
      </c>
      <c r="D10" s="30" t="s">
        <v>198</v>
      </c>
      <c r="E10" s="31" t="s">
        <v>200</v>
      </c>
      <c r="F10" s="30">
        <v>6382106596</v>
      </c>
      <c r="G10" s="32">
        <f t="shared" si="11"/>
        <v>27</v>
      </c>
      <c r="H10" s="159">
        <f>GETPIVOTDATA("Working Day",Month_Attendance!$E$3,"Employee Code",Workers[[#This Row],[EMP.NO]])</f>
        <v>27</v>
      </c>
      <c r="I10" s="160">
        <f>GETPIVOTDATA("Paid Holiday",Month_Attendance!$E$3,"Employee Code",Workers[[#This Row],[EMP.NO]])</f>
        <v>0</v>
      </c>
      <c r="J10" s="160">
        <f>GETPIVOTDATA("Comp Off",Month_Attendance!$E$3,"Employee Code",Workers[[#This Row],[EMP.NO]])</f>
        <v>0</v>
      </c>
      <c r="K10" s="116">
        <f>GETPIVOTDATA("Personal Leave",Month_Attendance!$E$3,"Employee Code",Workers[[#This Row],[EMP.NO]])</f>
        <v>0</v>
      </c>
      <c r="L10" s="161"/>
      <c r="M10" s="158">
        <f>Workers[[#This Row],[Working Days]]+Workers[[#This Row],[Paid Holiday]]+Workers[[#This Row],[Comp Off]]+Workers[[#This Row],[Adjust Days]]</f>
        <v>27</v>
      </c>
      <c r="N10" s="116">
        <f>GETPIVOTDATA("Full OT",Month_Attendance!$E$3,"Employee Code",Workers[[#This Row],[EMP.NO]])</f>
        <v>0</v>
      </c>
      <c r="O10" s="96">
        <v>5383</v>
      </c>
      <c r="P10" s="96">
        <v>5496</v>
      </c>
      <c r="Q10" s="96">
        <f t="shared" si="0"/>
        <v>10879</v>
      </c>
      <c r="R10" s="96">
        <v>2709</v>
      </c>
      <c r="S10" s="95">
        <v>0</v>
      </c>
      <c r="T10" s="96">
        <f t="shared" si="1"/>
        <v>13588</v>
      </c>
      <c r="U10" s="96">
        <f t="shared" si="2"/>
        <v>10879</v>
      </c>
      <c r="V10" s="96">
        <f t="shared" si="3"/>
        <v>2709</v>
      </c>
      <c r="W10" s="96">
        <f t="shared" si="4"/>
        <v>0</v>
      </c>
      <c r="X10" s="125">
        <f t="shared" si="5"/>
        <v>13588</v>
      </c>
      <c r="Y10" s="96">
        <f t="shared" si="6"/>
        <v>1305.48</v>
      </c>
      <c r="Z10" s="126">
        <f t="shared" si="7"/>
        <v>2445.8399999999997</v>
      </c>
      <c r="AA10" s="96">
        <f t="shared" si="8"/>
        <v>101.91</v>
      </c>
      <c r="AB10" s="127">
        <f t="shared" si="9"/>
        <v>441.61</v>
      </c>
      <c r="AC10" s="132"/>
      <c r="AD10" s="132"/>
      <c r="AE10" s="125">
        <f>Workers[[#This Row],[PF]]+Workers[[#This Row],[ESI]]+Workers[[#This Row],[Deductions]]+Workers[[#This Row],[Professiona tax]]</f>
        <v>1407.39</v>
      </c>
      <c r="AF10" s="120">
        <f t="shared" si="10"/>
        <v>12181</v>
      </c>
      <c r="AG10" s="32"/>
      <c r="AH10" s="236" t="str">
        <f>Workers[[#This Row],[NAME]]</f>
        <v>RUPA</v>
      </c>
      <c r="AI10" s="236" t="str">
        <f>_xlfn.XLOOKUP(Workers[[#This Row],[EMP NAME]],Company_Workers_Bank[EMP NAME],Company_Workers_Bank[IFSC CODE])</f>
        <v>IDIB0PLB001</v>
      </c>
      <c r="AJ10" s="236" t="str">
        <f>_xlfn.XLOOKUP(Workers[[#This Row],[EMP NAME]],Company_Workers_Bank[EMP NAME],Company_Workers_Bank[ACCOUNT NO])</f>
        <v>10102150763</v>
      </c>
      <c r="AK10" s="237">
        <f>Workers[[#This Row],[NET]]</f>
        <v>12181</v>
      </c>
      <c r="AL10" s="236" t="str">
        <f>_xlfn.XLOOKUP(Workers[[#This Row],[EMP NAME]],Company_Workers_Bank[EMP NAME],Company_Workers_Bank[Account Name])</f>
        <v>RUPA</v>
      </c>
      <c r="AM10" s="236" t="str">
        <f>_xlfn.XLOOKUP(Workers[[#This Row],[EMP NAME]],Company_Workers_Bank[EMP NAME],Company_Workers_Bank[Branch])</f>
        <v>CHINNAR</v>
      </c>
      <c r="AN10" s="236" t="str">
        <f>_xlfn.XLOOKUP(Workers[[#This Row],[EMP NAME]],Company_Workers_Bank[EMP NAME],Company_Workers_Bank[BANK NAME])</f>
        <v>PALLAVAN GRAMA BANK</v>
      </c>
    </row>
    <row r="11" spans="1:40" ht="20.55" customHeight="1" x14ac:dyDescent="0.2">
      <c r="A11" s="27">
        <f t="shared" si="12"/>
        <v>8</v>
      </c>
      <c r="B11" s="30">
        <v>1031</v>
      </c>
      <c r="C11" s="29" t="s">
        <v>347</v>
      </c>
      <c r="D11" s="30" t="s">
        <v>201</v>
      </c>
      <c r="E11" s="31" t="s">
        <v>202</v>
      </c>
      <c r="F11" s="30">
        <v>6382106800</v>
      </c>
      <c r="G11" s="32">
        <f t="shared" si="11"/>
        <v>27</v>
      </c>
      <c r="H11" s="159">
        <f>GETPIVOTDATA("Working Day",Month_Attendance!$E$3,"Employee Code",Workers[[#This Row],[EMP.NO]])</f>
        <v>26</v>
      </c>
      <c r="I11" s="160">
        <f>GETPIVOTDATA("Paid Holiday",Month_Attendance!$E$3,"Employee Code",Workers[[#This Row],[EMP.NO]])</f>
        <v>0</v>
      </c>
      <c r="J11" s="160">
        <f>GETPIVOTDATA("Comp Off",Month_Attendance!$E$3,"Employee Code",Workers[[#This Row],[EMP.NO]])</f>
        <v>0</v>
      </c>
      <c r="K11" s="116">
        <f>GETPIVOTDATA("Personal Leave",Month_Attendance!$E$3,"Employee Code",Workers[[#This Row],[EMP.NO]])</f>
        <v>1</v>
      </c>
      <c r="L11" s="161"/>
      <c r="M11" s="158">
        <f>Workers[[#This Row],[Working Days]]+Workers[[#This Row],[Paid Holiday]]+Workers[[#This Row],[Comp Off]]+Workers[[#This Row],[Adjust Days]]</f>
        <v>26</v>
      </c>
      <c r="N11" s="116">
        <f>GETPIVOTDATA("Full OT",Month_Attendance!$E$3,"Employee Code",Workers[[#This Row],[EMP.NO]])</f>
        <v>1</v>
      </c>
      <c r="O11" s="96">
        <v>5383</v>
      </c>
      <c r="P11" s="96">
        <v>5496</v>
      </c>
      <c r="Q11" s="96">
        <f t="shared" si="0"/>
        <v>10879</v>
      </c>
      <c r="R11" s="96">
        <v>750</v>
      </c>
      <c r="S11" s="95">
        <v>0</v>
      </c>
      <c r="T11" s="96">
        <f t="shared" si="1"/>
        <v>11629</v>
      </c>
      <c r="U11" s="96">
        <f t="shared" si="2"/>
        <v>10476.074074074075</v>
      </c>
      <c r="V11" s="96">
        <f t="shared" si="3"/>
        <v>722.22222222222229</v>
      </c>
      <c r="W11" s="96">
        <f t="shared" si="4"/>
        <v>0</v>
      </c>
      <c r="X11" s="125">
        <f t="shared" si="5"/>
        <v>11198.296296296297</v>
      </c>
      <c r="Y11" s="96">
        <f t="shared" si="6"/>
        <v>1257.1288888888889</v>
      </c>
      <c r="Z11" s="126">
        <f t="shared" si="7"/>
        <v>2015.6933333333334</v>
      </c>
      <c r="AA11" s="96">
        <f t="shared" si="8"/>
        <v>83.987222222222229</v>
      </c>
      <c r="AB11" s="127">
        <f t="shared" si="9"/>
        <v>363.94462962962967</v>
      </c>
      <c r="AC11" s="132"/>
      <c r="AD11" s="132"/>
      <c r="AE11" s="125">
        <f>Workers[[#This Row],[PF]]+Workers[[#This Row],[ESI]]+Workers[[#This Row],[Deductions]]+Workers[[#This Row],[Professiona tax]]</f>
        <v>1341.1161111111112</v>
      </c>
      <c r="AF11" s="120">
        <f t="shared" si="10"/>
        <v>9857</v>
      </c>
      <c r="AG11" s="32"/>
      <c r="AH11" s="186" t="str">
        <f>Workers[[#This Row],[NAME]]</f>
        <v>A SAVITHIRI</v>
      </c>
      <c r="AI11" s="236" t="str">
        <f>_xlfn.XLOOKUP(Workers[[#This Row],[EMP NAME]],Company_Workers_Bank[EMP NAME],Company_Workers_Bank[IFSC CODE])</f>
        <v>IDIB000S023</v>
      </c>
      <c r="AJ11" s="236" t="str">
        <f>_xlfn.XLOOKUP(Workers[[#This Row],[EMP NAME]],Company_Workers_Bank[EMP NAME],Company_Workers_Bank[ACCOUNT NO])</f>
        <v>6023659259</v>
      </c>
      <c r="AK11" s="237">
        <f>Workers[[#This Row],[NET]]</f>
        <v>9857</v>
      </c>
      <c r="AL11" s="236" t="str">
        <f>_xlfn.XLOOKUP(Workers[[#This Row],[EMP NAME]],Company_Workers_Bank[EMP NAME],Company_Workers_Bank[Account Name])</f>
        <v>A SAVITHIRI</v>
      </c>
      <c r="AM11" s="236" t="str">
        <f>_xlfn.XLOOKUP(Workers[[#This Row],[EMP NAME]],Company_Workers_Bank[EMP NAME],Company_Workers_Bank[Branch])</f>
        <v>SHOOLAGIRI</v>
      </c>
      <c r="AN11" s="236" t="str">
        <f>_xlfn.XLOOKUP(Workers[[#This Row],[EMP NAME]],Company_Workers_Bank[EMP NAME],Company_Workers_Bank[BANK NAME])</f>
        <v>INDIAN BANK</v>
      </c>
    </row>
    <row r="12" spans="1:40" ht="20.25" customHeight="1" x14ac:dyDescent="0.2">
      <c r="A12" s="27">
        <f t="shared" si="12"/>
        <v>9</v>
      </c>
      <c r="B12" s="30">
        <v>1094</v>
      </c>
      <c r="C12" s="29" t="s">
        <v>168</v>
      </c>
      <c r="D12" s="30" t="s">
        <v>203</v>
      </c>
      <c r="E12" s="31" t="s">
        <v>204</v>
      </c>
      <c r="F12" s="30">
        <v>6382132820</v>
      </c>
      <c r="G12" s="32">
        <f t="shared" si="11"/>
        <v>27</v>
      </c>
      <c r="H12" s="159">
        <f>GETPIVOTDATA("Working Day",Month_Attendance!$E$3,"Employee Code",Workers[[#This Row],[EMP.NO]])</f>
        <v>25.5</v>
      </c>
      <c r="I12" s="160">
        <f>GETPIVOTDATA("Paid Holiday",Month_Attendance!$E$3,"Employee Code",Workers[[#This Row],[EMP.NO]])</f>
        <v>0</v>
      </c>
      <c r="J12" s="160">
        <f>GETPIVOTDATA("Comp Off",Month_Attendance!$E$3,"Employee Code",Workers[[#This Row],[EMP.NO]])</f>
        <v>0</v>
      </c>
      <c r="K12" s="116">
        <f>GETPIVOTDATA("Personal Leave",Month_Attendance!$E$3,"Employee Code",Workers[[#This Row],[EMP.NO]])</f>
        <v>1.5</v>
      </c>
      <c r="L12" s="161"/>
      <c r="M12" s="158">
        <f>Workers[[#This Row],[Working Days]]+Workers[[#This Row],[Paid Holiday]]+Workers[[#This Row],[Comp Off]]+Workers[[#This Row],[Adjust Days]]</f>
        <v>25.5</v>
      </c>
      <c r="N12" s="116">
        <f>GETPIVOTDATA("Full OT",Month_Attendance!$E$3,"Employee Code",Workers[[#This Row],[EMP.NO]])</f>
        <v>1.5</v>
      </c>
      <c r="O12" s="96">
        <v>5213</v>
      </c>
      <c r="P12" s="96">
        <v>5496</v>
      </c>
      <c r="Q12" s="96">
        <f t="shared" si="0"/>
        <v>10709</v>
      </c>
      <c r="R12" s="96">
        <v>4241</v>
      </c>
      <c r="S12" s="95">
        <v>0</v>
      </c>
      <c r="T12" s="96">
        <f t="shared" si="1"/>
        <v>14950</v>
      </c>
      <c r="U12" s="96">
        <f t="shared" si="2"/>
        <v>10114.055555555555</v>
      </c>
      <c r="V12" s="96">
        <f t="shared" si="3"/>
        <v>4005.3888888888891</v>
      </c>
      <c r="W12" s="96">
        <f t="shared" si="4"/>
        <v>0</v>
      </c>
      <c r="X12" s="125">
        <f t="shared" si="5"/>
        <v>14119.444444444443</v>
      </c>
      <c r="Y12" s="96">
        <f t="shared" si="6"/>
        <v>1213.6866666666665</v>
      </c>
      <c r="Z12" s="126">
        <f t="shared" si="7"/>
        <v>2541.4999999999995</v>
      </c>
      <c r="AA12" s="96">
        <f t="shared" si="8"/>
        <v>105.89583333333333</v>
      </c>
      <c r="AB12" s="127">
        <f t="shared" si="9"/>
        <v>458.8819444444444</v>
      </c>
      <c r="AC12" s="132"/>
      <c r="AD12" s="132"/>
      <c r="AE12" s="125">
        <f>Workers[[#This Row],[PF]]+Workers[[#This Row],[ESI]]+Workers[[#This Row],[Deductions]]+Workers[[#This Row],[Professiona tax]]</f>
        <v>1319.5824999999998</v>
      </c>
      <c r="AF12" s="120">
        <f t="shared" si="10"/>
        <v>12800</v>
      </c>
      <c r="AG12" s="32"/>
      <c r="AH12" s="239" t="str">
        <f>Workers[[#This Row],[NAME]]</f>
        <v>SIVA KUMAR</v>
      </c>
      <c r="AI12" s="236" t="str">
        <f>_xlfn.XLOOKUP(Workers[[#This Row],[EMP NAME]],Company_Workers_Bank[EMP NAME],Company_Workers_Bank[IFSC CODE])</f>
        <v>IDIB000S023</v>
      </c>
      <c r="AJ12" s="236" t="str">
        <f>_xlfn.XLOOKUP(Workers[[#This Row],[EMP NAME]],Company_Workers_Bank[EMP NAME],Company_Workers_Bank[ACCOUNT NO])</f>
        <v>6628874973</v>
      </c>
      <c r="AK12" s="237">
        <f>Workers[[#This Row],[NET]]</f>
        <v>12800</v>
      </c>
      <c r="AL12" s="236" t="str">
        <f>_xlfn.XLOOKUP(Workers[[#This Row],[EMP NAME]],Company_Workers_Bank[EMP NAME],Company_Workers_Bank[Account Name])</f>
        <v>SIVA KUMAR</v>
      </c>
      <c r="AM12" s="236" t="str">
        <f>_xlfn.XLOOKUP(Workers[[#This Row],[EMP NAME]],Company_Workers_Bank[EMP NAME],Company_Workers_Bank[Branch])</f>
        <v>SHOOLAGIRI</v>
      </c>
      <c r="AN12" s="236" t="str">
        <f>_xlfn.XLOOKUP(Workers[[#This Row],[EMP NAME]],Company_Workers_Bank[EMP NAME],Company_Workers_Bank[BANK NAME])</f>
        <v>INDIAN BANK</v>
      </c>
    </row>
    <row r="13" spans="1:40" s="171" customFormat="1" ht="20.25" customHeight="1" outlineLevel="1" x14ac:dyDescent="0.2">
      <c r="A13" s="27">
        <f t="shared" si="12"/>
        <v>10</v>
      </c>
      <c r="B13" s="188">
        <v>7001</v>
      </c>
      <c r="C13" s="224" t="s">
        <v>342</v>
      </c>
      <c r="D13" s="188" t="s">
        <v>205</v>
      </c>
      <c r="E13" s="220" t="s">
        <v>825</v>
      </c>
      <c r="F13" s="188">
        <v>6382132826</v>
      </c>
      <c r="G13" s="32">
        <f t="shared" si="11"/>
        <v>27</v>
      </c>
      <c r="H13" s="163">
        <f>_xlfn.XLOOKUP(B13,Attendance_Table[EmpCode],Attendance_Table[Present Days],0)</f>
        <v>10</v>
      </c>
      <c r="I13" s="164">
        <v>0</v>
      </c>
      <c r="J13" s="164">
        <f>$J$12</f>
        <v>0</v>
      </c>
      <c r="K13" s="164">
        <v>0</v>
      </c>
      <c r="L13" s="165"/>
      <c r="M13" s="166">
        <f t="shared" ref="M13:M15" si="13">H13+N13</f>
        <v>10</v>
      </c>
      <c r="N13" s="164">
        <v>0</v>
      </c>
      <c r="O13" s="162">
        <v>5213</v>
      </c>
      <c r="P13" s="162">
        <v>5496</v>
      </c>
      <c r="Q13" s="162">
        <f t="shared" si="0"/>
        <v>10709</v>
      </c>
      <c r="R13" s="162">
        <v>291</v>
      </c>
      <c r="S13" s="167">
        <v>0</v>
      </c>
      <c r="T13" s="162">
        <f t="shared" si="1"/>
        <v>11000</v>
      </c>
      <c r="U13" s="162">
        <f t="shared" si="2"/>
        <v>3966.2962962962961</v>
      </c>
      <c r="V13" s="96">
        <f t="shared" si="3"/>
        <v>107.77777777777779</v>
      </c>
      <c r="W13" s="162">
        <f t="shared" si="4"/>
        <v>0</v>
      </c>
      <c r="X13" s="168">
        <f t="shared" si="5"/>
        <v>4074.0740740740739</v>
      </c>
      <c r="Y13" s="162">
        <f t="shared" si="6"/>
        <v>475.95555555555552</v>
      </c>
      <c r="Z13" s="169">
        <f t="shared" si="7"/>
        <v>733.33333333333326</v>
      </c>
      <c r="AA13" s="162">
        <f t="shared" si="8"/>
        <v>30.555555555555554</v>
      </c>
      <c r="AB13" s="170">
        <f t="shared" si="9"/>
        <v>132.40740740740742</v>
      </c>
      <c r="AC13" s="132"/>
      <c r="AD13" s="132"/>
      <c r="AE13" s="125">
        <f>Workers[[#This Row],[PF]]+Workers[[#This Row],[ESI]]+Workers[[#This Row],[Deductions]]+Workers[[#This Row],[Professiona tax]]</f>
        <v>506.51111111111106</v>
      </c>
      <c r="AF13" s="120">
        <f t="shared" si="10"/>
        <v>3568</v>
      </c>
      <c r="AG13" s="162"/>
      <c r="AH13" s="239" t="str">
        <f>Workers[[#This Row],[NAME]]</f>
        <v>SUJATHA S</v>
      </c>
      <c r="AI13" s="236" t="str">
        <f>_xlfn.XLOOKUP(Workers[[#This Row],[EMP NAME]],Operator_Bank[Emp Name],Operator_Bank[IFSC CODE])</f>
        <v>IDIB000S023</v>
      </c>
      <c r="AJ13" s="236" t="str">
        <f>_xlfn.XLOOKUP(Workers[[#This Row],[EMP NAME]],Company_Workers_Bank[EMP NAME],Company_Workers_Bank[ACCOUNT NO])</f>
        <v>6033522120</v>
      </c>
      <c r="AK13" s="237">
        <f>Workers[[#This Row],[NET]]</f>
        <v>3568</v>
      </c>
      <c r="AL13" s="236" t="str">
        <f>_xlfn.XLOOKUP(Workers[[#This Row],[EMP NAME]],Company_Workers_Bank[EMP NAME],Company_Workers_Bank[Account Name])</f>
        <v>SUJATHA S</v>
      </c>
      <c r="AM13" s="236" t="str">
        <f>_xlfn.XLOOKUP(Workers[[#This Row],[EMP NAME]],Company_Workers_Bank[EMP NAME],Company_Workers_Bank[Branch])</f>
        <v>SHOOLAGIRI</v>
      </c>
      <c r="AN13" s="236" t="str">
        <f>_xlfn.XLOOKUP(Workers[[#This Row],[EMP NAME]],Company_Workers_Bank[EMP NAME],Company_Workers_Bank[BANK NAME])</f>
        <v>INDIAN BANK</v>
      </c>
    </row>
    <row r="14" spans="1:40" s="171" customFormat="1" ht="20.25" customHeight="1" outlineLevel="1" x14ac:dyDescent="0.2">
      <c r="A14" s="27">
        <f t="shared" si="12"/>
        <v>11</v>
      </c>
      <c r="B14" s="188">
        <v>7003</v>
      </c>
      <c r="C14" s="224" t="s">
        <v>44</v>
      </c>
      <c r="D14" s="188" t="s">
        <v>205</v>
      </c>
      <c r="E14" s="189" t="s">
        <v>206</v>
      </c>
      <c r="F14" s="188">
        <v>6382133025</v>
      </c>
      <c r="G14" s="32">
        <f t="shared" si="11"/>
        <v>27</v>
      </c>
      <c r="H14" s="163">
        <f>_xlfn.XLOOKUP(B14,Attendance_Table[EmpCode],Attendance_Table[Present Days],0)</f>
        <v>13</v>
      </c>
      <c r="I14" s="164">
        <v>0</v>
      </c>
      <c r="J14" s="164">
        <f t="shared" ref="J14:J15" si="14">$J$12</f>
        <v>0</v>
      </c>
      <c r="K14" s="164">
        <v>0</v>
      </c>
      <c r="L14" s="165"/>
      <c r="M14" s="166">
        <f t="shared" si="13"/>
        <v>13</v>
      </c>
      <c r="N14" s="164">
        <v>0</v>
      </c>
      <c r="O14" s="162">
        <v>5213</v>
      </c>
      <c r="P14" s="162">
        <v>5496</v>
      </c>
      <c r="Q14" s="162">
        <f t="shared" si="0"/>
        <v>10709</v>
      </c>
      <c r="R14" s="162">
        <v>0</v>
      </c>
      <c r="S14" s="167">
        <v>0</v>
      </c>
      <c r="T14" s="162">
        <f t="shared" si="1"/>
        <v>10709</v>
      </c>
      <c r="U14" s="162">
        <f t="shared" si="2"/>
        <v>5156.1851851851852</v>
      </c>
      <c r="V14" s="96">
        <f t="shared" si="3"/>
        <v>0</v>
      </c>
      <c r="W14" s="162">
        <f t="shared" si="4"/>
        <v>0</v>
      </c>
      <c r="X14" s="168">
        <f t="shared" si="5"/>
        <v>5156.1851851851852</v>
      </c>
      <c r="Y14" s="162">
        <f t="shared" si="6"/>
        <v>618.74222222222215</v>
      </c>
      <c r="Z14" s="169">
        <f t="shared" si="7"/>
        <v>928.11333333333334</v>
      </c>
      <c r="AA14" s="162">
        <f t="shared" si="8"/>
        <v>38.671388888888885</v>
      </c>
      <c r="AB14" s="170">
        <f t="shared" si="9"/>
        <v>167.57601851851854</v>
      </c>
      <c r="AC14" s="132"/>
      <c r="AD14" s="132"/>
      <c r="AE14" s="125">
        <f>Workers[[#This Row],[PF]]+Workers[[#This Row],[ESI]]+Workers[[#This Row],[Deductions]]+Workers[[#This Row],[Professiona tax]]</f>
        <v>657.41361111111109</v>
      </c>
      <c r="AF14" s="120">
        <f t="shared" si="10"/>
        <v>4499</v>
      </c>
      <c r="AG14" s="162"/>
      <c r="AH14" s="32" t="str">
        <f>Workers[[#This Row],[NAME]]</f>
        <v>NISHADEVI</v>
      </c>
      <c r="AI14" s="186" t="str">
        <f>_xlfn.XLOOKUP(Workers[[#This Row],[EMP NAME]],Company_Workers_Bank[EMP NAME],Company_Workers_Bank[IFSC CODE])</f>
        <v>CNRB0004385</v>
      </c>
      <c r="AJ14" s="186" t="str">
        <f>_xlfn.XLOOKUP(Workers[[#This Row],[EMP NAME]],Company_Workers_Bank[EMP NAME],Company_Workers_Bank[ACCOUNT NO])</f>
        <v>4385131001820</v>
      </c>
      <c r="AK14" s="243">
        <f>Workers[[#This Row],[NET]]</f>
        <v>4499</v>
      </c>
      <c r="AL14" s="186" t="str">
        <f>_xlfn.XLOOKUP(Workers[[#This Row],[EMP NAME]],Company_Workers_Bank[EMP NAME],Company_Workers_Bank[Account Name])</f>
        <v>NISHADEVI</v>
      </c>
      <c r="AM14" s="186" t="str">
        <f>_xlfn.XLOOKUP(Workers[[#This Row],[EMP NAME]],Company_Workers_Bank[EMP NAME],Company_Workers_Bank[Branch])</f>
        <v>HOSUR</v>
      </c>
      <c r="AN14" s="186" t="str">
        <f>_xlfn.XLOOKUP(Workers[[#This Row],[EMP NAME]],Company_Workers_Bank[EMP NAME],Company_Workers_Bank[BANK NAME])</f>
        <v>CANARA BANK</v>
      </c>
    </row>
    <row r="15" spans="1:40" s="171" customFormat="1" ht="20.25" customHeight="1" outlineLevel="1" x14ac:dyDescent="0.2">
      <c r="A15" s="27">
        <f t="shared" si="12"/>
        <v>12</v>
      </c>
      <c r="B15" s="188">
        <v>7004</v>
      </c>
      <c r="C15" s="224" t="s">
        <v>339</v>
      </c>
      <c r="D15" s="188" t="s">
        <v>205</v>
      </c>
      <c r="E15" s="189" t="s">
        <v>207</v>
      </c>
      <c r="F15" s="188">
        <v>6382132967</v>
      </c>
      <c r="G15" s="32">
        <f t="shared" si="11"/>
        <v>27</v>
      </c>
      <c r="H15" s="163">
        <f>_xlfn.XLOOKUP(B15,Attendance_Table[EmpCode],Attendance_Table[Present Days],0)</f>
        <v>12</v>
      </c>
      <c r="I15" s="164">
        <v>0</v>
      </c>
      <c r="J15" s="164">
        <f t="shared" si="14"/>
        <v>0</v>
      </c>
      <c r="K15" s="164">
        <v>0</v>
      </c>
      <c r="L15" s="165"/>
      <c r="M15" s="166">
        <f t="shared" si="13"/>
        <v>12</v>
      </c>
      <c r="N15" s="164">
        <v>0</v>
      </c>
      <c r="O15" s="162">
        <v>5213</v>
      </c>
      <c r="P15" s="162">
        <v>5496</v>
      </c>
      <c r="Q15" s="162">
        <f t="shared" si="0"/>
        <v>10709</v>
      </c>
      <c r="R15" s="162">
        <v>291</v>
      </c>
      <c r="S15" s="167">
        <v>0</v>
      </c>
      <c r="T15" s="162">
        <f t="shared" si="1"/>
        <v>11000</v>
      </c>
      <c r="U15" s="162">
        <f t="shared" si="2"/>
        <v>4759.5555555555557</v>
      </c>
      <c r="V15" s="96">
        <f t="shared" si="3"/>
        <v>129.33333333333334</v>
      </c>
      <c r="W15" s="162">
        <f t="shared" si="4"/>
        <v>0</v>
      </c>
      <c r="X15" s="168">
        <f t="shared" si="5"/>
        <v>4888.8888888888887</v>
      </c>
      <c r="Y15" s="162">
        <f t="shared" si="6"/>
        <v>571.14666666666665</v>
      </c>
      <c r="Z15" s="169">
        <f t="shared" si="7"/>
        <v>879.99999999999989</v>
      </c>
      <c r="AA15" s="162">
        <f t="shared" si="8"/>
        <v>36.666666666666664</v>
      </c>
      <c r="AB15" s="170">
        <f t="shared" si="9"/>
        <v>158.88888888888889</v>
      </c>
      <c r="AC15" s="132"/>
      <c r="AD15" s="132"/>
      <c r="AE15" s="125">
        <f>Workers[[#This Row],[PF]]+Workers[[#This Row],[ESI]]+Workers[[#This Row],[Deductions]]+Workers[[#This Row],[Professiona tax]]</f>
        <v>607.81333333333328</v>
      </c>
      <c r="AF15" s="120">
        <f t="shared" si="10"/>
        <v>4281</v>
      </c>
      <c r="AG15" s="162"/>
      <c r="AH15" s="32" t="str">
        <f>Workers[[#This Row],[NAME]]</f>
        <v>SUGUNA M</v>
      </c>
      <c r="AI15" s="186" t="str">
        <f>_xlfn.XLOOKUP(Workers[[#This Row],[EMP NAME]],Company_Workers_Bank[EMP NAME],Company_Workers_Bank[IFSC CODE])</f>
        <v>IDIB0PLB001</v>
      </c>
      <c r="AJ15" s="186" t="str">
        <f>_xlfn.XLOOKUP(Workers[[#This Row],[EMP NAME]],Company_Workers_Bank[EMP NAME],Company_Workers_Bank[ACCOUNT NO])</f>
        <v>10044273359</v>
      </c>
      <c r="AK15" s="243">
        <f>Workers[[#This Row],[NET]]</f>
        <v>4281</v>
      </c>
      <c r="AL15" s="186" t="str">
        <f>_xlfn.XLOOKUP(Workers[[#This Row],[EMP NAME]],Company_Workers_Bank[EMP NAME],Company_Workers_Bank[Account Name])</f>
        <v>SUGUNA M</v>
      </c>
      <c r="AM15" s="186" t="str">
        <f>_xlfn.XLOOKUP(Workers[[#This Row],[EMP NAME]],Company_Workers_Bank[EMP NAME],Company_Workers_Bank[Branch])</f>
        <v>SHOOLAGIRI</v>
      </c>
      <c r="AN15" s="186" t="str">
        <f>_xlfn.XLOOKUP(Workers[[#This Row],[EMP NAME]],Company_Workers_Bank[EMP NAME],Company_Workers_Bank[BANK NAME])</f>
        <v>PALLAVAN GRAMA BANK</v>
      </c>
    </row>
    <row r="16" spans="1:40" ht="20.25" customHeight="1" thickBot="1" x14ac:dyDescent="0.25">
      <c r="A16" s="142"/>
      <c r="B16" s="143"/>
      <c r="C16" s="143"/>
      <c r="D16" s="143"/>
      <c r="E16" s="144"/>
      <c r="F16" s="145"/>
      <c r="G16" s="145"/>
      <c r="H16" s="145"/>
      <c r="I16" s="145"/>
      <c r="J16" s="145"/>
      <c r="K16" s="145"/>
      <c r="L16" s="145"/>
      <c r="M16" s="145" t="s">
        <v>208</v>
      </c>
      <c r="N16" s="145"/>
      <c r="O16" s="145"/>
      <c r="P16" s="145"/>
      <c r="Q16" s="145"/>
      <c r="R16" s="145"/>
      <c r="S16" s="145"/>
      <c r="T16" s="146">
        <f>SUM(Workers[GROSS])-SUM(T13:T15)</f>
        <v>114636</v>
      </c>
      <c r="U16" s="145"/>
      <c r="V16" s="145"/>
      <c r="W16" s="145"/>
      <c r="X16" s="147">
        <f>SUBTOTAL(109,Workers[Earned TOTAL WAGGES])</f>
        <v>122323.57407407404</v>
      </c>
      <c r="Y16" s="147">
        <f>SUBTOTAL(109,Workers[PF])</f>
        <v>12507.906666666666</v>
      </c>
      <c r="Z16" s="147">
        <f>SUBTOTAL(109,Workers[PF Employer Contribution])</f>
        <v>22018.243333333332</v>
      </c>
      <c r="AA16" s="147">
        <f>SUBTOTAL(109,Workers[ESI])</f>
        <v>917.42680555555546</v>
      </c>
      <c r="AB16" s="147">
        <f>SUBTOTAL(109,Workers[ESI Employer Contribution])</f>
        <v>3975.5161574074073</v>
      </c>
      <c r="AC16" s="147">
        <f>SUBTOTAL(109,Workers[Deductions])</f>
        <v>0</v>
      </c>
      <c r="AD16" s="147">
        <f>SUBTOTAL(109,Workers[Professiona tax])</f>
        <v>0</v>
      </c>
      <c r="AE16" s="147">
        <f>SUBTOTAL(109,Workers[Total Deduction])</f>
        <v>13425.333472222221</v>
      </c>
      <c r="AF16" s="147">
        <f>SUBTOTAL(109,Workers[NET])</f>
        <v>108900</v>
      </c>
      <c r="AG16" s="145"/>
      <c r="AH16" s="241"/>
      <c r="AI16" s="240"/>
      <c r="AJ16" s="240"/>
      <c r="AK16" s="242">
        <f>SUM(AK4:AK15)</f>
        <v>108900</v>
      </c>
      <c r="AL16" s="240"/>
      <c r="AM16" s="240"/>
      <c r="AN16" s="240"/>
    </row>
    <row r="17" spans="21:32" ht="20.25" customHeight="1" x14ac:dyDescent="0.2">
      <c r="AE17" s="86"/>
      <c r="AF17" s="86"/>
    </row>
    <row r="18" spans="21:32" ht="20.25" customHeight="1" x14ac:dyDescent="0.2">
      <c r="AA18" s="86">
        <f>Workers[[#Totals],[Earned TOTAL WAGGES]]+Workers[[#Totals],[PF]]+Workers[[#Totals],[ESI Employer Contribution]]</f>
        <v>138806.99689814812</v>
      </c>
      <c r="AB18" s="86">
        <f>Workers[[#Totals],[NET]]+Workers[[#Totals],[ESI Employer Contribution]]+24526</f>
        <v>137401.5161574074</v>
      </c>
    </row>
    <row r="19" spans="21:32" ht="20.25" customHeight="1" x14ac:dyDescent="0.2">
      <c r="U19" s="86"/>
    </row>
    <row r="20" spans="21:32" ht="20.25" customHeight="1" x14ac:dyDescent="0.2"/>
    <row r="21" spans="21:32" ht="20.25" customHeight="1" x14ac:dyDescent="0.2"/>
    <row r="22" spans="21:32" ht="20.25" customHeight="1" x14ac:dyDescent="0.2"/>
    <row r="23" spans="21:32" ht="20.25" customHeight="1" x14ac:dyDescent="0.2"/>
    <row r="24" spans="21:32" ht="20.25" customHeight="1" x14ac:dyDescent="0.2"/>
    <row r="25" spans="21:32" ht="20.25" customHeight="1" x14ac:dyDescent="0.2"/>
    <row r="26" spans="21:32" ht="20.25" customHeight="1" x14ac:dyDescent="0.2"/>
    <row r="27" spans="21:32" ht="20.25" customHeight="1" x14ac:dyDescent="0.2"/>
  </sheetData>
  <sheetProtection formatCells="0" formatColumns="0" formatRows="0" sort="0" autoFilter="0" pivotTables="0"/>
  <protectedRanges>
    <protectedRange sqref="AC3:AD15" name="Range2"/>
    <protectedRange sqref="G2" name="Range1"/>
    <protectedRange sqref="L4:L15" name="Range2_1"/>
  </protectedRanges>
  <mergeCells count="7">
    <mergeCell ref="D1:X1"/>
    <mergeCell ref="AH2:AN2"/>
    <mergeCell ref="Y2:AB2"/>
    <mergeCell ref="AC2:AE2"/>
    <mergeCell ref="D2:F2"/>
    <mergeCell ref="L2:Q2"/>
    <mergeCell ref="R2:X2"/>
  </mergeCells>
  <phoneticPr fontId="43" type="noConversion"/>
  <conditionalFormatting sqref="H4:K15 N4:N15">
    <cfRule type="cellIs" dxfId="731" priority="4" operator="greaterThan">
      <formula>$J4+$E4</formula>
    </cfRule>
  </conditionalFormatting>
  <conditionalFormatting sqref="AH3:AN12 AK13:AK15">
    <cfRule type="expression" dxfId="730" priority="1">
      <formula>ISNA(AH3)</formula>
    </cfRule>
  </conditionalFormatting>
  <conditionalFormatting sqref="AH3:AH12">
    <cfRule type="duplicateValues" dxfId="729" priority="665"/>
  </conditionalFormatting>
  <pageMargins left="0.7" right="0.7" top="0.75" bottom="0.75" header="0.3" footer="0.3"/>
  <pageSetup scale="35" orientation="landscape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8FE2D-7D10-4954-BD84-10DAAE3BE027}">
  <sheetPr codeName="Sheet16">
    <tabColor theme="9" tint="0.59999389629810485"/>
    <pageSetUpPr fitToPage="1"/>
  </sheetPr>
  <dimension ref="A1:W13"/>
  <sheetViews>
    <sheetView zoomScale="80" zoomScaleNormal="80" workbookViewId="0">
      <selection activeCell="O23" sqref="O23"/>
    </sheetView>
  </sheetViews>
  <sheetFormatPr defaultColWidth="8.77734375" defaultRowHeight="14.4" x14ac:dyDescent="0.3"/>
  <cols>
    <col min="1" max="1" width="13.33203125" bestFit="1" customWidth="1"/>
    <col min="2" max="2" width="4.77734375" bestFit="1" customWidth="1"/>
    <col min="3" max="3" width="14.44140625" bestFit="1" customWidth="1"/>
    <col min="4" max="4" width="2" bestFit="1" customWidth="1"/>
    <col min="5" max="5" width="20.109375" style="77" bestFit="1" customWidth="1"/>
    <col min="6" max="6" width="2" bestFit="1" customWidth="1"/>
    <col min="7" max="7" width="28.109375" bestFit="1" customWidth="1"/>
    <col min="8" max="8" width="2" bestFit="1" customWidth="1"/>
    <col min="9" max="9" width="12.6640625" style="77" bestFit="1" customWidth="1"/>
    <col min="10" max="10" width="2" bestFit="1" customWidth="1"/>
    <col min="11" max="11" width="14.109375" style="77" bestFit="1" customWidth="1"/>
    <col min="12" max="12" width="2" bestFit="1" customWidth="1"/>
    <col min="13" max="13" width="3" style="68" bestFit="1" customWidth="1"/>
    <col min="14" max="14" width="2" bestFit="1" customWidth="1"/>
    <col min="15" max="15" width="21.44140625" style="68" bestFit="1" customWidth="1"/>
    <col min="16" max="16" width="2" bestFit="1" customWidth="1"/>
    <col min="17" max="17" width="19.6640625" style="77" bestFit="1" customWidth="1"/>
    <col min="18" max="18" width="2" bestFit="1" customWidth="1"/>
    <col min="19" max="19" width="26.6640625" style="77" bestFit="1" customWidth="1"/>
    <col min="20" max="20" width="2" bestFit="1" customWidth="1"/>
    <col min="21" max="21" width="2" style="68" bestFit="1" customWidth="1"/>
    <col min="22" max="22" width="2" bestFit="1" customWidth="1"/>
    <col min="23" max="23" width="24.109375" style="77" bestFit="1" customWidth="1"/>
  </cols>
  <sheetData>
    <row r="1" spans="1:23" x14ac:dyDescent="0.3">
      <c r="A1" s="100" t="s">
        <v>351</v>
      </c>
      <c r="B1" s="100"/>
      <c r="C1" s="100" t="s">
        <v>315</v>
      </c>
      <c r="D1" s="100" t="s">
        <v>226</v>
      </c>
      <c r="E1" s="198" t="s">
        <v>316</v>
      </c>
      <c r="F1" s="100" t="s">
        <v>226</v>
      </c>
      <c r="G1" s="100" t="s">
        <v>317</v>
      </c>
      <c r="H1" s="100" t="s">
        <v>226</v>
      </c>
      <c r="I1" s="198" t="s">
        <v>30</v>
      </c>
      <c r="J1" s="100" t="s">
        <v>226</v>
      </c>
      <c r="K1" s="198" t="s">
        <v>29</v>
      </c>
      <c r="L1" s="100" t="s">
        <v>226</v>
      </c>
      <c r="M1" s="197">
        <v>10</v>
      </c>
      <c r="N1" s="100" t="s">
        <v>226</v>
      </c>
      <c r="O1" s="197" t="s">
        <v>230</v>
      </c>
      <c r="P1" s="100" t="s">
        <v>226</v>
      </c>
      <c r="Q1" s="198" t="s">
        <v>227</v>
      </c>
      <c r="R1" s="100" t="s">
        <v>226</v>
      </c>
      <c r="S1" s="198" t="s">
        <v>228</v>
      </c>
      <c r="T1" s="100" t="s">
        <v>226</v>
      </c>
      <c r="U1" s="197">
        <v>2</v>
      </c>
      <c r="V1" s="100" t="s">
        <v>226</v>
      </c>
      <c r="W1" s="198" t="s">
        <v>229</v>
      </c>
    </row>
    <row r="2" spans="1:23" x14ac:dyDescent="0.3">
      <c r="A2" s="72" t="s">
        <v>346</v>
      </c>
      <c r="B2" s="72"/>
      <c r="C2" s="72" t="s">
        <v>318</v>
      </c>
      <c r="D2" s="72" t="s">
        <v>226</v>
      </c>
      <c r="E2" s="196"/>
      <c r="F2" s="72" t="s">
        <v>226</v>
      </c>
      <c r="G2" s="72" t="s">
        <v>319</v>
      </c>
      <c r="H2" s="72" t="s">
        <v>226</v>
      </c>
      <c r="I2" s="196" t="s">
        <v>77</v>
      </c>
      <c r="J2" s="72" t="s">
        <v>226</v>
      </c>
      <c r="K2" s="196" t="s">
        <v>289</v>
      </c>
      <c r="L2" s="72" t="s">
        <v>226</v>
      </c>
      <c r="M2" s="195">
        <v>10</v>
      </c>
      <c r="N2" s="72" t="s">
        <v>226</v>
      </c>
      <c r="O2" s="195">
        <v>11041</v>
      </c>
      <c r="P2" s="72" t="s">
        <v>226</v>
      </c>
      <c r="Q2" s="196" t="s">
        <v>346</v>
      </c>
      <c r="R2" s="72" t="s">
        <v>226</v>
      </c>
      <c r="S2" s="196" t="s">
        <v>78</v>
      </c>
      <c r="T2" s="72" t="s">
        <v>226</v>
      </c>
      <c r="U2" s="195">
        <v>2</v>
      </c>
      <c r="V2" s="72" t="s">
        <v>226</v>
      </c>
      <c r="W2" s="196" t="s">
        <v>76</v>
      </c>
    </row>
    <row r="3" spans="1:23" x14ac:dyDescent="0.3">
      <c r="A3" s="72" t="s">
        <v>81</v>
      </c>
      <c r="B3" s="72"/>
      <c r="C3" s="72" t="s">
        <v>318</v>
      </c>
      <c r="D3" s="72" t="s">
        <v>226</v>
      </c>
      <c r="E3" s="196"/>
      <c r="F3" s="72" t="s">
        <v>226</v>
      </c>
      <c r="G3" s="72" t="s">
        <v>319</v>
      </c>
      <c r="H3" s="72" t="s">
        <v>226</v>
      </c>
      <c r="I3" s="196" t="s">
        <v>77</v>
      </c>
      <c r="J3" s="72" t="s">
        <v>226</v>
      </c>
      <c r="K3" s="196" t="s">
        <v>292</v>
      </c>
      <c r="L3" s="72" t="s">
        <v>226</v>
      </c>
      <c r="M3" s="195">
        <v>10</v>
      </c>
      <c r="N3" s="72" t="s">
        <v>226</v>
      </c>
      <c r="O3" s="195">
        <v>10820</v>
      </c>
      <c r="P3" s="72" t="s">
        <v>226</v>
      </c>
      <c r="Q3" s="196" t="s">
        <v>81</v>
      </c>
      <c r="R3" s="72" t="s">
        <v>226</v>
      </c>
      <c r="S3" s="196" t="s">
        <v>78</v>
      </c>
      <c r="T3" s="72" t="s">
        <v>226</v>
      </c>
      <c r="U3" s="195">
        <v>2</v>
      </c>
      <c r="V3" s="72" t="s">
        <v>226</v>
      </c>
      <c r="W3" s="196" t="s">
        <v>76</v>
      </c>
    </row>
    <row r="4" spans="1:23" x14ac:dyDescent="0.3">
      <c r="A4" s="72" t="s">
        <v>164</v>
      </c>
      <c r="B4" s="72"/>
      <c r="C4" s="72" t="s">
        <v>318</v>
      </c>
      <c r="D4" s="72" t="s">
        <v>226</v>
      </c>
      <c r="E4" s="196"/>
      <c r="F4" s="72" t="s">
        <v>226</v>
      </c>
      <c r="G4" s="72" t="s">
        <v>319</v>
      </c>
      <c r="H4" s="72" t="s">
        <v>226</v>
      </c>
      <c r="I4" s="196" t="s">
        <v>77</v>
      </c>
      <c r="J4" s="72" t="s">
        <v>226</v>
      </c>
      <c r="K4" s="196" t="s">
        <v>293</v>
      </c>
      <c r="L4" s="72" t="s">
        <v>226</v>
      </c>
      <c r="M4" s="195">
        <v>10</v>
      </c>
      <c r="N4" s="72" t="s">
        <v>226</v>
      </c>
      <c r="O4" s="195">
        <v>10237</v>
      </c>
      <c r="P4" s="72" t="s">
        <v>226</v>
      </c>
      <c r="Q4" s="196" t="s">
        <v>164</v>
      </c>
      <c r="R4" s="72" t="s">
        <v>226</v>
      </c>
      <c r="S4" s="196" t="s">
        <v>78</v>
      </c>
      <c r="T4" s="72" t="s">
        <v>226</v>
      </c>
      <c r="U4" s="195">
        <v>2</v>
      </c>
      <c r="V4" s="72" t="s">
        <v>226</v>
      </c>
      <c r="W4" s="196" t="s">
        <v>76</v>
      </c>
    </row>
    <row r="5" spans="1:23" x14ac:dyDescent="0.3">
      <c r="A5" s="72" t="s">
        <v>167</v>
      </c>
      <c r="B5" s="72"/>
      <c r="C5" s="72" t="s">
        <v>318</v>
      </c>
      <c r="D5" s="72" t="s">
        <v>226</v>
      </c>
      <c r="E5" s="196"/>
      <c r="F5" s="72" t="s">
        <v>226</v>
      </c>
      <c r="G5" s="72" t="s">
        <v>319</v>
      </c>
      <c r="H5" s="72" t="s">
        <v>226</v>
      </c>
      <c r="I5" s="196" t="s">
        <v>77</v>
      </c>
      <c r="J5" s="72" t="s">
        <v>226</v>
      </c>
      <c r="K5" s="196" t="s">
        <v>296</v>
      </c>
      <c r="L5" s="72" t="s">
        <v>226</v>
      </c>
      <c r="M5" s="195">
        <v>10</v>
      </c>
      <c r="N5" s="72" t="s">
        <v>226</v>
      </c>
      <c r="O5" s="195">
        <v>9521</v>
      </c>
      <c r="P5" s="72" t="s">
        <v>226</v>
      </c>
      <c r="Q5" s="196" t="s">
        <v>167</v>
      </c>
      <c r="R5" s="72" t="s">
        <v>226</v>
      </c>
      <c r="S5" s="196" t="s">
        <v>78</v>
      </c>
      <c r="T5" s="72" t="s">
        <v>226</v>
      </c>
      <c r="U5" s="195">
        <v>2</v>
      </c>
      <c r="V5" s="72" t="s">
        <v>226</v>
      </c>
      <c r="W5" s="196" t="s">
        <v>76</v>
      </c>
    </row>
    <row r="6" spans="1:23" x14ac:dyDescent="0.3">
      <c r="A6" s="72" t="s">
        <v>169</v>
      </c>
      <c r="B6" s="72"/>
      <c r="C6" s="72" t="s">
        <v>318</v>
      </c>
      <c r="D6" s="72" t="s">
        <v>226</v>
      </c>
      <c r="E6" s="196"/>
      <c r="F6" s="72" t="s">
        <v>226</v>
      </c>
      <c r="G6" s="72" t="s">
        <v>319</v>
      </c>
      <c r="H6" s="72" t="s">
        <v>226</v>
      </c>
      <c r="I6" s="196" t="s">
        <v>83</v>
      </c>
      <c r="J6" s="72" t="s">
        <v>226</v>
      </c>
      <c r="K6" s="196" t="s">
        <v>299</v>
      </c>
      <c r="L6" s="72" t="s">
        <v>226</v>
      </c>
      <c r="M6" s="195">
        <v>10</v>
      </c>
      <c r="N6" s="72" t="s">
        <v>226</v>
      </c>
      <c r="O6" s="195">
        <v>8140</v>
      </c>
      <c r="P6" s="72" t="s">
        <v>226</v>
      </c>
      <c r="Q6" s="196" t="s">
        <v>169</v>
      </c>
      <c r="R6" s="72" t="s">
        <v>226</v>
      </c>
      <c r="S6" s="196" t="s">
        <v>78</v>
      </c>
      <c r="T6" s="72" t="s">
        <v>226</v>
      </c>
      <c r="U6" s="195">
        <v>2</v>
      </c>
      <c r="V6" s="72" t="s">
        <v>226</v>
      </c>
      <c r="W6" s="196" t="s">
        <v>82</v>
      </c>
    </row>
    <row r="7" spans="1:23" x14ac:dyDescent="0.3">
      <c r="A7" s="72" t="s">
        <v>151</v>
      </c>
      <c r="B7" s="72"/>
      <c r="C7" s="72" t="s">
        <v>318</v>
      </c>
      <c r="D7" s="72" t="s">
        <v>226</v>
      </c>
      <c r="E7" s="196"/>
      <c r="F7" s="72" t="s">
        <v>226</v>
      </c>
      <c r="G7" s="72" t="s">
        <v>319</v>
      </c>
      <c r="H7" s="72" t="s">
        <v>226</v>
      </c>
      <c r="I7" s="196" t="s">
        <v>77</v>
      </c>
      <c r="J7" s="72" t="s">
        <v>226</v>
      </c>
      <c r="K7" s="196" t="s">
        <v>288</v>
      </c>
      <c r="L7" s="72" t="s">
        <v>226</v>
      </c>
      <c r="M7" s="195">
        <v>10</v>
      </c>
      <c r="N7" s="72" t="s">
        <v>226</v>
      </c>
      <c r="O7" s="195">
        <v>11955</v>
      </c>
      <c r="P7" s="72" t="s">
        <v>226</v>
      </c>
      <c r="Q7" s="196" t="s">
        <v>151</v>
      </c>
      <c r="R7" s="72" t="s">
        <v>226</v>
      </c>
      <c r="S7" s="196" t="s">
        <v>78</v>
      </c>
      <c r="T7" s="72" t="s">
        <v>226</v>
      </c>
      <c r="U7" s="195">
        <v>2</v>
      </c>
      <c r="V7" s="72" t="s">
        <v>226</v>
      </c>
      <c r="W7" s="196" t="s">
        <v>76</v>
      </c>
    </row>
    <row r="8" spans="1:23" x14ac:dyDescent="0.3">
      <c r="A8" s="72" t="s">
        <v>162</v>
      </c>
      <c r="B8" s="72"/>
      <c r="C8" s="72" t="s">
        <v>318</v>
      </c>
      <c r="D8" s="72" t="s">
        <v>226</v>
      </c>
      <c r="E8" s="196"/>
      <c r="F8" s="72" t="s">
        <v>226</v>
      </c>
      <c r="G8" s="72" t="s">
        <v>319</v>
      </c>
      <c r="H8" s="72" t="s">
        <v>226</v>
      </c>
      <c r="I8" s="196" t="s">
        <v>83</v>
      </c>
      <c r="J8" s="72" t="s">
        <v>226</v>
      </c>
      <c r="K8" s="196" t="s">
        <v>290</v>
      </c>
      <c r="L8" s="72" t="s">
        <v>226</v>
      </c>
      <c r="M8" s="195">
        <v>10</v>
      </c>
      <c r="N8" s="72" t="s">
        <v>226</v>
      </c>
      <c r="O8" s="195">
        <v>12181</v>
      </c>
      <c r="P8" s="72" t="s">
        <v>226</v>
      </c>
      <c r="Q8" s="196" t="s">
        <v>162</v>
      </c>
      <c r="R8" s="72" t="s">
        <v>226</v>
      </c>
      <c r="S8" s="196" t="s">
        <v>144</v>
      </c>
      <c r="T8" s="72" t="s">
        <v>226</v>
      </c>
      <c r="U8" s="195">
        <v>2</v>
      </c>
      <c r="V8" s="72" t="s">
        <v>226</v>
      </c>
      <c r="W8" s="196" t="s">
        <v>82</v>
      </c>
    </row>
    <row r="9" spans="1:23" x14ac:dyDescent="0.3">
      <c r="A9" s="72" t="s">
        <v>347</v>
      </c>
      <c r="B9" s="72"/>
      <c r="C9" s="72" t="s">
        <v>318</v>
      </c>
      <c r="D9" s="72" t="s">
        <v>226</v>
      </c>
      <c r="E9" s="196"/>
      <c r="F9" s="72" t="s">
        <v>226</v>
      </c>
      <c r="G9" s="72" t="s">
        <v>319</v>
      </c>
      <c r="H9" s="72" t="s">
        <v>226</v>
      </c>
      <c r="I9" s="196" t="s">
        <v>77</v>
      </c>
      <c r="J9" s="72" t="s">
        <v>226</v>
      </c>
      <c r="K9" s="196" t="s">
        <v>297</v>
      </c>
      <c r="L9" s="72" t="s">
        <v>226</v>
      </c>
      <c r="M9" s="195">
        <v>10</v>
      </c>
      <c r="N9" s="72" t="s">
        <v>226</v>
      </c>
      <c r="O9" s="195">
        <v>9857</v>
      </c>
      <c r="P9" s="72" t="s">
        <v>226</v>
      </c>
      <c r="Q9" s="196" t="s">
        <v>347</v>
      </c>
      <c r="R9" s="72" t="s">
        <v>226</v>
      </c>
      <c r="S9" s="196" t="s">
        <v>78</v>
      </c>
      <c r="T9" s="72" t="s">
        <v>226</v>
      </c>
      <c r="U9" s="195">
        <v>2</v>
      </c>
      <c r="V9" s="72" t="s">
        <v>226</v>
      </c>
      <c r="W9" s="196" t="s">
        <v>76</v>
      </c>
    </row>
    <row r="10" spans="1:23" x14ac:dyDescent="0.3">
      <c r="A10" s="72" t="s">
        <v>168</v>
      </c>
      <c r="B10" s="72"/>
      <c r="C10" s="72" t="s">
        <v>318</v>
      </c>
      <c r="D10" s="72" t="s">
        <v>226</v>
      </c>
      <c r="E10" s="196"/>
      <c r="F10" s="72" t="s">
        <v>226</v>
      </c>
      <c r="G10" s="72" t="s">
        <v>319</v>
      </c>
      <c r="H10" s="72" t="s">
        <v>226</v>
      </c>
      <c r="I10" s="196" t="s">
        <v>77</v>
      </c>
      <c r="J10" s="72" t="s">
        <v>226</v>
      </c>
      <c r="K10" s="196" t="s">
        <v>284</v>
      </c>
      <c r="L10" s="72" t="s">
        <v>226</v>
      </c>
      <c r="M10" s="195">
        <v>10</v>
      </c>
      <c r="N10" s="72" t="s">
        <v>226</v>
      </c>
      <c r="O10" s="195">
        <v>12800</v>
      </c>
      <c r="P10" s="72" t="s">
        <v>226</v>
      </c>
      <c r="Q10" s="196" t="s">
        <v>168</v>
      </c>
      <c r="R10" s="72" t="s">
        <v>226</v>
      </c>
      <c r="S10" s="196" t="s">
        <v>78</v>
      </c>
      <c r="T10" s="72" t="s">
        <v>226</v>
      </c>
      <c r="U10" s="195">
        <v>2</v>
      </c>
      <c r="V10" s="72" t="s">
        <v>226</v>
      </c>
      <c r="W10" s="196" t="s">
        <v>76</v>
      </c>
    </row>
    <row r="11" spans="1:23" x14ac:dyDescent="0.3">
      <c r="A11" s="72" t="s">
        <v>342</v>
      </c>
      <c r="B11" s="72"/>
      <c r="C11" s="72" t="s">
        <v>318</v>
      </c>
      <c r="D11" s="72" t="s">
        <v>226</v>
      </c>
      <c r="E11" s="196"/>
      <c r="F11" s="72" t="s">
        <v>226</v>
      </c>
      <c r="G11" s="72" t="s">
        <v>319</v>
      </c>
      <c r="H11" s="72" t="s">
        <v>226</v>
      </c>
      <c r="I11" s="196" t="s">
        <v>77</v>
      </c>
      <c r="J11" s="72" t="s">
        <v>226</v>
      </c>
      <c r="K11" s="196" t="s">
        <v>261</v>
      </c>
      <c r="L11" s="72" t="s">
        <v>226</v>
      </c>
      <c r="M11" s="195">
        <v>10</v>
      </c>
      <c r="N11" s="72" t="s">
        <v>226</v>
      </c>
      <c r="O11" s="195">
        <v>3568</v>
      </c>
      <c r="P11" s="72" t="s">
        <v>226</v>
      </c>
      <c r="Q11" s="196" t="s">
        <v>342</v>
      </c>
      <c r="R11" s="72" t="s">
        <v>226</v>
      </c>
      <c r="S11" s="196" t="s">
        <v>78</v>
      </c>
      <c r="T11" s="72" t="s">
        <v>226</v>
      </c>
      <c r="U11" s="195">
        <v>2</v>
      </c>
      <c r="V11" s="72" t="s">
        <v>226</v>
      </c>
      <c r="W11" s="196" t="s">
        <v>76</v>
      </c>
    </row>
    <row r="12" spans="1:23" x14ac:dyDescent="0.3">
      <c r="A12" s="72" t="s">
        <v>44</v>
      </c>
      <c r="B12" s="72"/>
      <c r="C12" s="72" t="s">
        <v>318</v>
      </c>
      <c r="D12" s="72" t="s">
        <v>226</v>
      </c>
      <c r="E12" s="196"/>
      <c r="F12" s="72" t="s">
        <v>226</v>
      </c>
      <c r="G12" s="72" t="s">
        <v>319</v>
      </c>
      <c r="H12" s="72" t="s">
        <v>226</v>
      </c>
      <c r="I12" s="196" t="s">
        <v>145</v>
      </c>
      <c r="J12" s="72" t="s">
        <v>226</v>
      </c>
      <c r="K12" s="196" t="s">
        <v>248</v>
      </c>
      <c r="L12" s="72" t="s">
        <v>226</v>
      </c>
      <c r="M12" s="195">
        <v>10</v>
      </c>
      <c r="N12" s="72" t="s">
        <v>226</v>
      </c>
      <c r="O12" s="195">
        <v>4499</v>
      </c>
      <c r="P12" s="72" t="s">
        <v>226</v>
      </c>
      <c r="Q12" s="196" t="s">
        <v>44</v>
      </c>
      <c r="R12" s="72" t="s">
        <v>226</v>
      </c>
      <c r="S12" s="196" t="s">
        <v>111</v>
      </c>
      <c r="T12" s="72" t="s">
        <v>226</v>
      </c>
      <c r="U12" s="195">
        <v>2</v>
      </c>
      <c r="V12" s="72" t="s">
        <v>226</v>
      </c>
      <c r="W12" s="196" t="s">
        <v>116</v>
      </c>
    </row>
    <row r="13" spans="1:23" x14ac:dyDescent="0.3">
      <c r="A13" s="72" t="s">
        <v>339</v>
      </c>
      <c r="B13" s="72"/>
      <c r="C13" s="72" t="s">
        <v>318</v>
      </c>
      <c r="D13" s="72" t="s">
        <v>226</v>
      </c>
      <c r="E13" s="196"/>
      <c r="F13" s="72" t="s">
        <v>226</v>
      </c>
      <c r="G13" s="72" t="s">
        <v>319</v>
      </c>
      <c r="H13" s="72" t="s">
        <v>226</v>
      </c>
      <c r="I13" s="196" t="s">
        <v>83</v>
      </c>
      <c r="J13" s="72" t="s">
        <v>226</v>
      </c>
      <c r="K13" s="196" t="s">
        <v>258</v>
      </c>
      <c r="L13" s="72" t="s">
        <v>226</v>
      </c>
      <c r="M13" s="195">
        <v>10</v>
      </c>
      <c r="N13" s="72" t="s">
        <v>226</v>
      </c>
      <c r="O13" s="195">
        <v>4281</v>
      </c>
      <c r="P13" s="72" t="s">
        <v>226</v>
      </c>
      <c r="Q13" s="196" t="s">
        <v>339</v>
      </c>
      <c r="R13" s="72" t="s">
        <v>226</v>
      </c>
      <c r="S13" s="196" t="s">
        <v>78</v>
      </c>
      <c r="T13" s="72" t="s">
        <v>226</v>
      </c>
      <c r="U13" s="195">
        <v>2</v>
      </c>
      <c r="V13" s="72" t="s">
        <v>226</v>
      </c>
      <c r="W13" s="196" t="s">
        <v>82</v>
      </c>
    </row>
  </sheetData>
  <sheetProtection sheet="1" objects="1" scenarios="1"/>
  <pageMargins left="0.7" right="0.7" top="0.75" bottom="0.75" header="0.3" footer="0.3"/>
  <pageSetup scale="4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FDA2A-2B16-4B88-BB1D-67FBF08AB7B8}">
  <sheetPr codeName="Sheet10">
    <tabColor theme="8" tint="0.59999389629810485"/>
    <pageSetUpPr fitToPage="1"/>
  </sheetPr>
  <dimension ref="A1:AD20"/>
  <sheetViews>
    <sheetView tabSelected="1" zoomScale="114" zoomScaleNormal="114" workbookViewId="0">
      <selection activeCell="A5" sqref="A5"/>
    </sheetView>
  </sheetViews>
  <sheetFormatPr defaultColWidth="9.33203125" defaultRowHeight="12.6" outlineLevelRow="1" outlineLevelCol="1" x14ac:dyDescent="0.2"/>
  <cols>
    <col min="1" max="1" width="7.33203125" style="3" customWidth="1"/>
    <col min="2" max="2" width="7.109375" style="3" customWidth="1"/>
    <col min="3" max="3" width="19" style="3" bestFit="1" customWidth="1"/>
    <col min="4" max="4" width="20.109375" style="3" bestFit="1" customWidth="1"/>
    <col min="5" max="6" width="8.6640625" style="3" customWidth="1"/>
    <col min="7" max="7" width="8.33203125" style="3" customWidth="1"/>
    <col min="8" max="8" width="7.77734375" style="57" customWidth="1"/>
    <col min="9" max="9" width="9.109375" style="3" customWidth="1"/>
    <col min="10" max="10" width="9" style="3" customWidth="1"/>
    <col min="11" max="11" width="8.33203125" style="3" customWidth="1"/>
    <col min="12" max="12" width="9.6640625" style="3" bestFit="1" customWidth="1"/>
    <col min="13" max="13" width="11.77734375" style="3" customWidth="1"/>
    <col min="14" max="14" width="10.33203125" style="3" customWidth="1"/>
    <col min="15" max="15" width="9.6640625" style="3" customWidth="1"/>
    <col min="16" max="16" width="13.44140625" style="3" customWidth="1"/>
    <col min="17" max="17" width="18" style="3" customWidth="1"/>
    <col min="18" max="18" width="19.77734375" style="3" customWidth="1" outlineLevel="1"/>
    <col min="19" max="19" width="19.33203125" style="3" customWidth="1" outlineLevel="1"/>
    <col min="20" max="20" width="16.33203125" style="3" customWidth="1" outlineLevel="1"/>
    <col min="21" max="21" width="20" style="3" customWidth="1" outlineLevel="1"/>
    <col min="22" max="22" width="19.33203125" style="3" customWidth="1" outlineLevel="1"/>
    <col min="23" max="23" width="27.77734375" style="57" customWidth="1" outlineLevel="1"/>
    <col min="24" max="24" width="33.109375" style="3" customWidth="1"/>
    <col min="25" max="25" width="19.33203125" style="3" bestFit="1" customWidth="1"/>
    <col min="26" max="26" width="8.33203125" style="3" bestFit="1" customWidth="1"/>
    <col min="27" max="27" width="6.6640625" style="3" bestFit="1" customWidth="1"/>
    <col min="28" max="28" width="8.33203125" style="3" bestFit="1" customWidth="1"/>
    <col min="29" max="29" width="30.6640625" style="3" bestFit="1" customWidth="1"/>
    <col min="30" max="30" width="9.33203125" style="3" customWidth="1" collapsed="1"/>
    <col min="31" max="16384" width="9.33203125" style="3"/>
  </cols>
  <sheetData>
    <row r="1" spans="1:29" ht="47.7" customHeight="1" thickBot="1" x14ac:dyDescent="0.25">
      <c r="A1" s="347"/>
      <c r="B1" s="347"/>
      <c r="C1" s="347"/>
      <c r="D1" s="348"/>
      <c r="E1" s="349"/>
      <c r="F1" s="349"/>
      <c r="G1" s="349" t="s">
        <v>0</v>
      </c>
      <c r="H1" s="350"/>
      <c r="I1" s="351">
        <v>27</v>
      </c>
      <c r="J1" s="416"/>
      <c r="K1" s="416"/>
      <c r="L1" s="352"/>
      <c r="M1" s="352" t="s">
        <v>87</v>
      </c>
      <c r="N1" s="352"/>
      <c r="O1" s="352"/>
      <c r="P1" s="352"/>
      <c r="Q1" s="352">
        <v>3</v>
      </c>
      <c r="R1" s="61"/>
      <c r="S1" s="61"/>
      <c r="T1" s="61"/>
      <c r="U1" s="61" t="s">
        <v>88</v>
      </c>
      <c r="V1" s="61"/>
      <c r="W1" s="61"/>
      <c r="X1" s="61"/>
      <c r="Y1" s="61"/>
      <c r="Z1" s="61"/>
      <c r="AA1" s="61"/>
      <c r="AB1" s="61"/>
      <c r="AC1" s="61"/>
    </row>
    <row r="2" spans="1:29" s="133" customFormat="1" ht="49.5" customHeight="1" x14ac:dyDescent="0.2">
      <c r="A2" s="353" t="s">
        <v>21</v>
      </c>
      <c r="B2" s="354" t="s">
        <v>64</v>
      </c>
      <c r="C2" s="354" t="s">
        <v>22</v>
      </c>
      <c r="D2" s="354" t="s">
        <v>89</v>
      </c>
      <c r="E2" s="354" t="s">
        <v>66</v>
      </c>
      <c r="F2" s="330" t="s">
        <v>306</v>
      </c>
      <c r="G2" s="330" t="s">
        <v>388</v>
      </c>
      <c r="H2" s="330" t="s">
        <v>390</v>
      </c>
      <c r="I2" s="331" t="s">
        <v>395</v>
      </c>
      <c r="J2" s="332" t="s">
        <v>405</v>
      </c>
      <c r="K2" s="355" t="s">
        <v>538</v>
      </c>
      <c r="L2" s="333" t="s">
        <v>223</v>
      </c>
      <c r="M2" s="354" t="s">
        <v>67</v>
      </c>
      <c r="N2" s="356" t="s">
        <v>87</v>
      </c>
      <c r="O2" s="354" t="s">
        <v>90</v>
      </c>
      <c r="P2" s="354" t="s">
        <v>403</v>
      </c>
      <c r="Q2" s="356" t="s">
        <v>404</v>
      </c>
      <c r="R2" s="87" t="s">
        <v>351</v>
      </c>
      <c r="S2" s="87" t="s">
        <v>30</v>
      </c>
      <c r="T2" s="88" t="s">
        <v>29</v>
      </c>
      <c r="U2" s="87" t="s">
        <v>230</v>
      </c>
      <c r="V2" s="87" t="s">
        <v>227</v>
      </c>
      <c r="W2" s="87" t="s">
        <v>228</v>
      </c>
      <c r="X2" s="89" t="s">
        <v>229</v>
      </c>
    </row>
    <row r="3" spans="1:29" ht="20.25" customHeight="1" outlineLevel="1" x14ac:dyDescent="0.2">
      <c r="A3" s="90">
        <v>1</v>
      </c>
      <c r="B3" s="91">
        <v>34</v>
      </c>
      <c r="C3" s="91" t="s">
        <v>91</v>
      </c>
      <c r="D3" s="91" t="s">
        <v>92</v>
      </c>
      <c r="E3" s="92">
        <f t="shared" ref="E3:E8" si="0">$I$1</f>
        <v>27</v>
      </c>
      <c r="F3" s="357">
        <f>GETPIVOTDATA("Working Day",Month_Attendance!$E$3,"Employee Code",Staff[[#This Row],[EMP NO]])</f>
        <v>25.5</v>
      </c>
      <c r="G3" s="358">
        <f>GETPIVOTDATA("Paid Holiday",Month_Attendance!$E$3,"Employee Code",Staff[[#This Row],[EMP NO]])</f>
        <v>0</v>
      </c>
      <c r="H3" s="358">
        <f>GETPIVOTDATA("Comp Off",Month_Attendance!$E$3,"Employee Code",Staff[[#This Row],[EMP NO]])</f>
        <v>0</v>
      </c>
      <c r="I3" s="359">
        <f>GETPIVOTDATA("Personal Leave",Month_Attendance!$E$3,"Employee Code",Staff[[#This Row],[EMP NO]])</f>
        <v>1.5</v>
      </c>
      <c r="J3" s="360">
        <v>0.5</v>
      </c>
      <c r="K3" s="359">
        <v>1</v>
      </c>
      <c r="L3" s="361">
        <f>Staff[[#This Row],[Working Days]]+Staff[[#This Row],[Paid Holiday]]+Staff[[#This Row],[Comp Off]]+Staff[[#This Row],[Adjusted in EL Days]]+Staff[[#This Row],[Adjusted in Comp Days]]</f>
        <v>27</v>
      </c>
      <c r="M3" s="92">
        <v>40250</v>
      </c>
      <c r="N3" s="362">
        <f t="shared" ref="N3:N9" si="1">ROUND((M3/E3*L3),0)</f>
        <v>40250</v>
      </c>
      <c r="O3" s="92">
        <v>0</v>
      </c>
      <c r="P3" s="92"/>
      <c r="Q3" s="362">
        <f>Staff[[#This Row],[Earned Salary]]-Staff[[#This Row],[TAX]]-Staff[[#This Row],[Cash Deductions]]</f>
        <v>40250</v>
      </c>
      <c r="R3" s="135" t="str">
        <f>Staff[[#This Row],[NAME]]</f>
        <v>KRISHNAIAH</v>
      </c>
      <c r="S3" s="2" t="str">
        <f>_xlfn.XLOOKUP(Staff[[#This Row],[EMP NAME]],Staff_Bank[EMP NAME],Staff_Bank[IFSC CODE])</f>
        <v>IDIB000B017</v>
      </c>
      <c r="T3" s="2" t="str">
        <f>_xlfn.XLOOKUP(Staff[[#This Row],[EMP NAME]],Staff_Bank[EMP NAME],Staff_Bank[ACCOUNT NO])</f>
        <v>546119299</v>
      </c>
      <c r="U3" s="6">
        <f>Staff[[#This Row],[EARN SALARY (After Deductions)]]</f>
        <v>40250</v>
      </c>
      <c r="V3" s="2" t="str">
        <f>_xlfn.XLOOKUP(Staff[[#This Row],[EMP NAME]],Staff_Bank[EMP NAME],Staff_Bank[ACCOUNT NAME])</f>
        <v>KRISHNAIAH</v>
      </c>
      <c r="W3" s="2" t="str">
        <f>_xlfn.XLOOKUP(Staff[[#This Row],[EMP NAME]],Staff_Bank[EMP NAME],Staff_Bank[Branch])</f>
        <v>BERIGAI</v>
      </c>
      <c r="X3" s="2" t="str">
        <f>_xlfn.XLOOKUP(Staff[[#This Row],[EMP NAME]],Staff_Bank[EMP NAME],Staff_Bank[BANK NAME])</f>
        <v>INDIAN BANK</v>
      </c>
    </row>
    <row r="4" spans="1:29" ht="20.25" customHeight="1" outlineLevel="1" x14ac:dyDescent="0.2">
      <c r="A4" s="90">
        <f>A3+1</f>
        <v>2</v>
      </c>
      <c r="B4" s="91">
        <v>6</v>
      </c>
      <c r="C4" s="93" t="s">
        <v>93</v>
      </c>
      <c r="D4" s="93" t="s">
        <v>94</v>
      </c>
      <c r="E4" s="92">
        <f t="shared" si="0"/>
        <v>27</v>
      </c>
      <c r="F4" s="363">
        <f>GETPIVOTDATA("Working Day",Month_Attendance!$E$3,"Employee Code",Staff[[#This Row],[EMP NO]])</f>
        <v>27</v>
      </c>
      <c r="G4" s="358">
        <f>GETPIVOTDATA("Paid Holiday",Month_Attendance!$E$3,"Employee Code",Staff[[#This Row],[EMP NO]])</f>
        <v>0</v>
      </c>
      <c r="H4" s="358">
        <f>GETPIVOTDATA("Comp Off",Month_Attendance!$E$3,"Employee Code",Staff[[#This Row],[EMP NO]])</f>
        <v>0</v>
      </c>
      <c r="I4" s="359">
        <f>GETPIVOTDATA("Personal Leave",Month_Attendance!$E$3,"Employee Code",Staff[[#This Row],[EMP NO]])</f>
        <v>0</v>
      </c>
      <c r="J4" s="360"/>
      <c r="K4" s="359"/>
      <c r="L4" s="361">
        <f>Staff[[#This Row],[Working Days]]+Staff[[#This Row],[Paid Holiday]]+Staff[[#This Row],[Comp Off]]+Staff[[#This Row],[Adjusted in EL Days]]+Staff[[#This Row],[Adjusted in Comp Days]]</f>
        <v>27</v>
      </c>
      <c r="M4" s="364">
        <v>65026</v>
      </c>
      <c r="N4" s="365">
        <f t="shared" si="1"/>
        <v>65026</v>
      </c>
      <c r="O4" s="92">
        <v>200</v>
      </c>
      <c r="P4" s="92"/>
      <c r="Q4" s="362">
        <f>Staff[[#This Row],[Earned Salary]]-Staff[[#This Row],[TAX]]-Staff[[#This Row],[Cash Deductions]]</f>
        <v>64826</v>
      </c>
      <c r="R4" s="135" t="str">
        <f>Staff[[#This Row],[NAME]]</f>
        <v>KRISNA MOORTHY</v>
      </c>
      <c r="S4" s="2" t="str">
        <f>_xlfn.XLOOKUP(Staff[[#This Row],[EMP NAME]],Staff_Bank[EMP NAME],Staff_Bank[IFSC CODE])</f>
        <v>CNRB0003082</v>
      </c>
      <c r="T4" s="2" t="str">
        <f>_xlfn.XLOOKUP(Staff[[#This Row],[EMP NAME]],Staff_Bank[EMP NAME],Staff_Bank[ACCOUNT NO])</f>
        <v>110124224387</v>
      </c>
      <c r="U4" s="6">
        <f>Staff[[#This Row],[EARN SALARY (After Deductions)]]</f>
        <v>64826</v>
      </c>
      <c r="V4" s="2" t="str">
        <f>_xlfn.XLOOKUP(Staff[[#This Row],[EMP NAME]],Staff_Bank[EMP NAME],Staff_Bank[ACCOUNT NAME])</f>
        <v>KRISNA MOORTHY</v>
      </c>
      <c r="W4" s="2" t="str">
        <f>_xlfn.XLOOKUP(Staff[[#This Row],[EMP NAME]],Staff_Bank[EMP NAME],Staff_Bank[Branch])</f>
        <v>CHENNAI</v>
      </c>
      <c r="X4" s="2" t="str">
        <f>_xlfn.XLOOKUP(Staff[[#This Row],[EMP NAME]],Staff_Bank[EMP NAME],Staff_Bank[BANK NAME])</f>
        <v>CANARA BANK</v>
      </c>
    </row>
    <row r="5" spans="1:29" ht="20.25" customHeight="1" outlineLevel="1" x14ac:dyDescent="0.2">
      <c r="A5" s="90">
        <f t="shared" ref="A5:A9" si="2">A4+1</f>
        <v>3</v>
      </c>
      <c r="B5" s="91">
        <v>5</v>
      </c>
      <c r="C5" s="93" t="s">
        <v>95</v>
      </c>
      <c r="D5" s="93" t="s">
        <v>96</v>
      </c>
      <c r="E5" s="92">
        <f t="shared" si="0"/>
        <v>27</v>
      </c>
      <c r="F5" s="363">
        <f>GETPIVOTDATA("Working Day",Month_Attendance!$E$3,"Employee Code",Staff[[#This Row],[EMP NO]])</f>
        <v>6</v>
      </c>
      <c r="G5" s="358">
        <f>GETPIVOTDATA("Paid Holiday",Month_Attendance!$E$3,"Employee Code",Staff[[#This Row],[EMP NO]])</f>
        <v>0</v>
      </c>
      <c r="H5" s="358">
        <f>GETPIVOTDATA("Comp Off",Month_Attendance!$E$3,"Employee Code",Staff[[#This Row],[EMP NO]])</f>
        <v>0</v>
      </c>
      <c r="I5" s="359">
        <f>GETPIVOTDATA("Personal Leave",Month_Attendance!$E$3,"Employee Code",Staff[[#This Row],[EMP NO]])</f>
        <v>21</v>
      </c>
      <c r="J5" s="360"/>
      <c r="K5" s="359"/>
      <c r="L5" s="361">
        <f>Staff[[#This Row],[Working Days]]+Staff[[#This Row],[Paid Holiday]]+Staff[[#This Row],[Comp Off]]+Staff[[#This Row],[Adjusted in EL Days]]+Staff[[#This Row],[Adjusted in Comp Days]]</f>
        <v>6</v>
      </c>
      <c r="M5" s="364">
        <v>45616</v>
      </c>
      <c r="N5" s="365">
        <f t="shared" si="1"/>
        <v>10137</v>
      </c>
      <c r="O5" s="92">
        <v>200</v>
      </c>
      <c r="P5" s="92"/>
      <c r="Q5" s="362">
        <f>Staff[[#This Row],[Earned Salary]]-Staff[[#This Row],[TAX]]-Staff[[#This Row],[Cash Deductions]]</f>
        <v>9937</v>
      </c>
      <c r="R5" s="135" t="str">
        <f>Staff[[#This Row],[NAME]]</f>
        <v>MANICKAM</v>
      </c>
      <c r="S5" s="2" t="str">
        <f>_xlfn.XLOOKUP(Staff[[#This Row],[EMP NAME]],Staff_Bank[EMP NAME],Staff_Bank[IFSC CODE])</f>
        <v>SBIN0005200</v>
      </c>
      <c r="T5" s="2" t="str">
        <f>_xlfn.XLOOKUP(Staff[[#This Row],[EMP NAME]],Staff_Bank[EMP NAME],Staff_Bank[ACCOUNT NO])</f>
        <v>30272324668</v>
      </c>
      <c r="U5" s="6">
        <f>Staff[[#This Row],[EARN SALARY (After Deductions)]]</f>
        <v>9937</v>
      </c>
      <c r="V5" s="2" t="str">
        <f>_xlfn.XLOOKUP(Staff[[#This Row],[EMP NAME]],Staff_Bank[EMP NAME],Staff_Bank[ACCOUNT NAME])</f>
        <v>MANICKAM</v>
      </c>
      <c r="W5" s="2" t="str">
        <f>_xlfn.XLOOKUP(Staff[[#This Row],[EMP NAME]],Staff_Bank[EMP NAME],Staff_Bank[Branch])</f>
        <v>PORUR</v>
      </c>
      <c r="X5" s="2" t="str">
        <f>_xlfn.XLOOKUP(Staff[[#This Row],[EMP NAME]],Staff_Bank[EMP NAME],Staff_Bank[BANK NAME])</f>
        <v>STATE BANK OF INDIA</v>
      </c>
    </row>
    <row r="6" spans="1:29" ht="20.25" customHeight="1" outlineLevel="1" x14ac:dyDescent="0.2">
      <c r="A6" s="90">
        <f t="shared" si="2"/>
        <v>4</v>
      </c>
      <c r="B6" s="91">
        <v>14</v>
      </c>
      <c r="C6" s="93" t="s">
        <v>97</v>
      </c>
      <c r="D6" s="93" t="s">
        <v>98</v>
      </c>
      <c r="E6" s="92">
        <f t="shared" si="0"/>
        <v>27</v>
      </c>
      <c r="F6" s="363">
        <f>GETPIVOTDATA("Working Day",Month_Attendance!$E$3,"Employee Code",Staff[[#This Row],[EMP NO]])</f>
        <v>25.5</v>
      </c>
      <c r="G6" s="358">
        <f>GETPIVOTDATA("Paid Holiday",Month_Attendance!$E$3,"Employee Code",Staff[[#This Row],[EMP NO]])</f>
        <v>0</v>
      </c>
      <c r="H6" s="358">
        <f>GETPIVOTDATA("Comp Off",Month_Attendance!$E$3,"Employee Code",Staff[[#This Row],[EMP NO]])</f>
        <v>0</v>
      </c>
      <c r="I6" s="359">
        <f>GETPIVOTDATA("Personal Leave",Month_Attendance!$E$3,"Employee Code",Staff[[#This Row],[EMP NO]])</f>
        <v>1.5</v>
      </c>
      <c r="J6" s="360"/>
      <c r="K6" s="359">
        <v>1.5</v>
      </c>
      <c r="L6" s="361">
        <f>Staff[[#This Row],[Working Days]]+Staff[[#This Row],[Paid Holiday]]+Staff[[#This Row],[Comp Off]]+Staff[[#This Row],[Adjusted in EL Days]]+Staff[[#This Row],[Adjusted in Comp Days]]</f>
        <v>27</v>
      </c>
      <c r="M6" s="364">
        <v>24086</v>
      </c>
      <c r="N6" s="365">
        <f t="shared" si="1"/>
        <v>24086</v>
      </c>
      <c r="O6" s="92">
        <v>0</v>
      </c>
      <c r="P6" s="92"/>
      <c r="Q6" s="362">
        <f>Staff[[#This Row],[Earned Salary]]-Staff[[#This Row],[TAX]]-Staff[[#This Row],[Cash Deductions]]</f>
        <v>24086</v>
      </c>
      <c r="R6" s="135" t="str">
        <f>Staff[[#This Row],[NAME]]</f>
        <v>PARAMESHVARAN</v>
      </c>
      <c r="S6" s="2" t="str">
        <f>_xlfn.XLOOKUP(Staff[[#This Row],[EMP NAME]],Staff_Bank[EMP NAME],Staff_Bank[IFSC CODE])</f>
        <v>SBIN0008114</v>
      </c>
      <c r="T6" s="2" t="str">
        <f>_xlfn.XLOOKUP(Staff[[#This Row],[EMP NAME]],Staff_Bank[EMP NAME],Staff_Bank[ACCOUNT NO])</f>
        <v>38000415877</v>
      </c>
      <c r="U6" s="6">
        <f>Staff[[#This Row],[EARN SALARY (After Deductions)]]</f>
        <v>24086</v>
      </c>
      <c r="V6" s="2" t="str">
        <f>_xlfn.XLOOKUP(Staff[[#This Row],[EMP NAME]],Staff_Bank[EMP NAME],Staff_Bank[ACCOUNT NAME])</f>
        <v>PARAMESHVARAN</v>
      </c>
      <c r="W6" s="2" t="str">
        <f>_xlfn.XLOOKUP(Staff[[#This Row],[EMP NAME]],Staff_Bank[EMP NAME],Staff_Bank[Branch])</f>
        <v>KAMANDODDI</v>
      </c>
      <c r="X6" s="2" t="str">
        <f>_xlfn.XLOOKUP(Staff[[#This Row],[EMP NAME]],Staff_Bank[EMP NAME],Staff_Bank[BANK NAME])</f>
        <v>STATE BANK OF INDIA</v>
      </c>
    </row>
    <row r="7" spans="1:29" ht="20.25" customHeight="1" outlineLevel="1" x14ac:dyDescent="0.2">
      <c r="A7" s="90">
        <f t="shared" si="2"/>
        <v>5</v>
      </c>
      <c r="B7" s="91">
        <v>35</v>
      </c>
      <c r="C7" s="93" t="s">
        <v>102</v>
      </c>
      <c r="D7" s="93" t="s">
        <v>103</v>
      </c>
      <c r="E7" s="92">
        <f t="shared" si="0"/>
        <v>27</v>
      </c>
      <c r="F7" s="363">
        <f>GETPIVOTDATA("Working Day",Month_Attendance!$E$3,"Employee Code",Staff[[#This Row],[EMP NO]])</f>
        <v>27</v>
      </c>
      <c r="G7" s="358">
        <f>GETPIVOTDATA("Paid Holiday",Month_Attendance!$E$3,"Employee Code",Staff[[#This Row],[EMP NO]])</f>
        <v>0</v>
      </c>
      <c r="H7" s="358">
        <f>GETPIVOTDATA("Comp Off",Month_Attendance!$E$3,"Employee Code",Staff[[#This Row],[EMP NO]])</f>
        <v>0</v>
      </c>
      <c r="I7" s="359">
        <f>GETPIVOTDATA("Personal Leave",Month_Attendance!$E$3,"Employee Code",Staff[[#This Row],[EMP NO]])</f>
        <v>0</v>
      </c>
      <c r="J7" s="360"/>
      <c r="K7" s="359"/>
      <c r="L7" s="361">
        <f>Staff[[#This Row],[Working Days]]+Staff[[#This Row],[Paid Holiday]]+Staff[[#This Row],[Comp Off]]+Staff[[#This Row],[Adjusted in EL Days]]+Staff[[#This Row],[Adjusted in Comp Days]]</f>
        <v>27</v>
      </c>
      <c r="M7" s="364">
        <v>15200</v>
      </c>
      <c r="N7" s="365">
        <f t="shared" si="1"/>
        <v>15200</v>
      </c>
      <c r="O7" s="92">
        <v>0</v>
      </c>
      <c r="P7" s="92"/>
      <c r="Q7" s="362">
        <f>Staff[[#This Row],[Earned Salary]]-Staff[[#This Row],[TAX]]-Staff[[#This Row],[Cash Deductions]]</f>
        <v>15200</v>
      </c>
      <c r="R7" s="135" t="str">
        <f>Staff[[#This Row],[NAME]]</f>
        <v>SIVARANJANI</v>
      </c>
      <c r="S7" s="2" t="str">
        <f>_xlfn.XLOOKUP(Staff[[#This Row],[EMP NAME]],Staff_Bank[EMP NAME],Staff_Bank[IFSC CODE])</f>
        <v>IDIB000S023</v>
      </c>
      <c r="T7" s="2" t="str">
        <f>_xlfn.XLOOKUP(Staff[[#This Row],[EMP NAME]],Staff_Bank[EMP NAME],Staff_Bank[ACCOUNT NO])</f>
        <v>6347676516</v>
      </c>
      <c r="U7" s="6">
        <f>Staff[[#This Row],[EARN SALARY (After Deductions)]]</f>
        <v>15200</v>
      </c>
      <c r="V7" s="2" t="str">
        <f>_xlfn.XLOOKUP(Staff[[#This Row],[EMP NAME]],Staff_Bank[EMP NAME],Staff_Bank[ACCOUNT NAME])</f>
        <v>SIVARNJINI T</v>
      </c>
      <c r="W7" s="2" t="str">
        <f>_xlfn.XLOOKUP(Staff[[#This Row],[EMP NAME]],Staff_Bank[EMP NAME],Staff_Bank[Branch])</f>
        <v>SHOOLAGIRI</v>
      </c>
      <c r="X7" s="2" t="str">
        <f>_xlfn.XLOOKUP(Staff[[#This Row],[EMP NAME]],Staff_Bank[EMP NAME],Staff_Bank[BANK NAME])</f>
        <v>INDIAN BANK</v>
      </c>
    </row>
    <row r="8" spans="1:29" ht="20.25" customHeight="1" outlineLevel="1" x14ac:dyDescent="0.2">
      <c r="A8" s="90">
        <f t="shared" si="2"/>
        <v>6</v>
      </c>
      <c r="B8" s="4">
        <v>32</v>
      </c>
      <c r="C8" s="94" t="s">
        <v>105</v>
      </c>
      <c r="D8" s="94" t="s">
        <v>106</v>
      </c>
      <c r="E8" s="92">
        <f t="shared" si="0"/>
        <v>27</v>
      </c>
      <c r="F8" s="363">
        <f>GETPIVOTDATA("Working Day",Month_Attendance!$E$3,"Employee Code",Staff[[#This Row],[EMP NO]])</f>
        <v>26.5</v>
      </c>
      <c r="G8" s="358">
        <f>GETPIVOTDATA("Paid Holiday",Month_Attendance!$E$3,"Employee Code",Staff[[#This Row],[EMP NO]])</f>
        <v>0</v>
      </c>
      <c r="H8" s="358">
        <f>GETPIVOTDATA("Comp Off",Month_Attendance!$E$3,"Employee Code",Staff[[#This Row],[EMP NO]])</f>
        <v>0</v>
      </c>
      <c r="I8" s="359">
        <f>GETPIVOTDATA("Personal Leave",Month_Attendance!$E$3,"Employee Code",Staff[[#This Row],[EMP NO]])</f>
        <v>0.5</v>
      </c>
      <c r="J8" s="360"/>
      <c r="K8" s="359">
        <v>0.5</v>
      </c>
      <c r="L8" s="361">
        <f>Staff[[#This Row],[Working Days]]+Staff[[#This Row],[Paid Holiday]]+Staff[[#This Row],[Comp Off]]+Staff[[#This Row],[Adjusted in EL Days]]+Staff[[#This Row],[Adjusted in Comp Days]]</f>
        <v>27</v>
      </c>
      <c r="M8" s="366">
        <v>14000</v>
      </c>
      <c r="N8" s="367">
        <f t="shared" si="1"/>
        <v>14000</v>
      </c>
      <c r="O8" s="134">
        <v>0</v>
      </c>
      <c r="P8" s="134"/>
      <c r="Q8" s="362">
        <f>Staff[[#This Row],[Earned Salary]]-Staff[[#This Row],[TAX]]-Staff[[#This Row],[Cash Deductions]]</f>
        <v>14000</v>
      </c>
      <c r="R8" s="135" t="str">
        <f>Staff[[#This Row],[NAME]]</f>
        <v>SRILEKHA</v>
      </c>
      <c r="S8" s="2" t="str">
        <f>_xlfn.XLOOKUP(Staff[[#This Row],[EMP NAME]],Staff_Bank[EMP NAME],Staff_Bank[IFSC CODE])</f>
        <v>SBIN0008114</v>
      </c>
      <c r="T8" s="2" t="str">
        <f>_xlfn.XLOOKUP(Staff[[#This Row],[EMP NAME]],Staff_Bank[EMP NAME],Staff_Bank[ACCOUNT NO])</f>
        <v>35541658396</v>
      </c>
      <c r="U8" s="6">
        <f>Staff[[#This Row],[EARN SALARY (After Deductions)]]</f>
        <v>14000</v>
      </c>
      <c r="V8" s="2" t="str">
        <f>_xlfn.XLOOKUP(Staff[[#This Row],[EMP NAME]],Staff_Bank[EMP NAME],Staff_Bank[ACCOUNT NAME])</f>
        <v>SRILEKHA</v>
      </c>
      <c r="W8" s="2" t="str">
        <f>_xlfn.XLOOKUP(Staff[[#This Row],[EMP NAME]],Staff_Bank[EMP NAME],Staff_Bank[Branch])</f>
        <v>KAMANDODDI</v>
      </c>
      <c r="X8" s="2" t="str">
        <f>_xlfn.XLOOKUP(Staff[[#This Row],[EMP NAME]],Staff_Bank[EMP NAME],Staff_Bank[BANK NAME])</f>
        <v>STATE BANK OF INDIA</v>
      </c>
    </row>
    <row r="9" spans="1:29" ht="20.25" customHeight="1" outlineLevel="1" x14ac:dyDescent="0.2">
      <c r="A9" s="90">
        <f t="shared" si="2"/>
        <v>7</v>
      </c>
      <c r="B9" s="95">
        <v>29</v>
      </c>
      <c r="C9" s="94" t="s">
        <v>107</v>
      </c>
      <c r="D9" s="94" t="s">
        <v>13</v>
      </c>
      <c r="E9" s="96">
        <f>$I$1</f>
        <v>27</v>
      </c>
      <c r="F9" s="363">
        <f>GETPIVOTDATA("Working Day",Month_Attendance!$E$3,"Employee Code",Staff[[#This Row],[EMP NO]])</f>
        <v>21.5</v>
      </c>
      <c r="G9" s="358">
        <v>0</v>
      </c>
      <c r="H9" s="358">
        <f>GETPIVOTDATA("Comp Off",Month_Attendance!$E$3,"Employee Code",Staff[[#This Row],[EMP NO]])</f>
        <v>0</v>
      </c>
      <c r="I9" s="359">
        <f>GETPIVOTDATA("Personal Leave",Month_Attendance!$E$3,"Employee Code",Staff[[#This Row],[EMP NO]])</f>
        <v>5.5</v>
      </c>
      <c r="J9" s="360"/>
      <c r="K9" s="359"/>
      <c r="L9" s="361">
        <f>Staff[[#This Row],[Working Days]]+Staff[[#This Row],[Paid Holiday]]+Staff[[#This Row],[Comp Off]]+Staff[[#This Row],[Adjusted in EL Days]]+Staff[[#This Row],[Adjusted in Comp Days]]</f>
        <v>21.5</v>
      </c>
      <c r="M9" s="96">
        <f>1000*I1</f>
        <v>27000</v>
      </c>
      <c r="N9" s="368">
        <f t="shared" si="1"/>
        <v>21500</v>
      </c>
      <c r="O9" s="96"/>
      <c r="P9" s="96"/>
      <c r="Q9" s="362">
        <f>Staff[[#This Row],[Earned Salary]]-Staff[[#This Row],[TAX]]-Staff[[#This Row],[Cash Deductions]]</f>
        <v>21500</v>
      </c>
      <c r="R9" s="135" t="str">
        <f>Staff[[#This Row],[NAME]]</f>
        <v>VIJAYKUMAR</v>
      </c>
      <c r="S9" s="2" t="str">
        <f>_xlfn.XLOOKUP(Staff[[#This Row],[EMP NAME]],Staff_Bank[EMP NAME],Staff_Bank[IFSC CODE])</f>
        <v>IDIB0PLB001</v>
      </c>
      <c r="T9" s="2" t="str">
        <f>_xlfn.XLOOKUP(Staff[[#This Row],[EMP NAME]],Staff_Bank[EMP NAME],Staff_Bank[ACCOUNT NO])</f>
        <v>10000292226</v>
      </c>
      <c r="U9" s="6">
        <f>Staff[[#This Row],[EARN SALARY (After Deductions)]]</f>
        <v>21500</v>
      </c>
      <c r="V9" s="2" t="str">
        <f>_xlfn.XLOOKUP(Staff[[#This Row],[EMP NAME]],Staff_Bank[EMP NAME],Staff_Bank[ACCOUNT NAME])</f>
        <v>VIJAYKUMAR</v>
      </c>
      <c r="W9" s="2" t="str">
        <f>_xlfn.XLOOKUP(Staff[[#This Row],[EMP NAME]],Staff_Bank[EMP NAME],Staff_Bank[Branch])</f>
        <v>SHOOLAGIRI</v>
      </c>
      <c r="X9" s="2" t="str">
        <f>_xlfn.XLOOKUP(Staff[[#This Row],[EMP NAME]],Staff_Bank[EMP NAME],Staff_Bank[BANK NAME])</f>
        <v>TAMILNADU GRAMA BANK</v>
      </c>
    </row>
    <row r="10" spans="1:29" s="137" customFormat="1" ht="15.75" customHeight="1" x14ac:dyDescent="0.2">
      <c r="A10" s="369">
        <f>SUBTOTAL(103,Staff[S.NO])</f>
        <v>7</v>
      </c>
      <c r="B10" s="370"/>
      <c r="C10" s="371"/>
      <c r="D10" s="371"/>
      <c r="E10" s="370"/>
      <c r="F10" s="370"/>
      <c r="G10" s="372"/>
      <c r="H10" s="372"/>
      <c r="I10" s="372"/>
      <c r="J10" s="372"/>
      <c r="K10" s="372"/>
      <c r="L10" s="370"/>
      <c r="M10" s="373">
        <f>SUBTOTAL(109,Staff[FIXED SALARY])</f>
        <v>231178</v>
      </c>
      <c r="N10" s="373">
        <f>SUBTOTAL(109,Staff[Earned Salary])</f>
        <v>190199</v>
      </c>
      <c r="O10" s="373">
        <f>SUBTOTAL(109,Staff[TAX])</f>
        <v>400</v>
      </c>
      <c r="P10" s="373">
        <f>SUBTOTAL(109,Staff[Cash Deductions])</f>
        <v>0</v>
      </c>
      <c r="Q10" s="373">
        <f>SUBTOTAL(109,Staff[EARN SALARY (After Deductions)])</f>
        <v>189799</v>
      </c>
      <c r="R10" s="136"/>
      <c r="S10" s="136"/>
      <c r="T10" s="136"/>
      <c r="U10" s="136"/>
      <c r="V10" s="136"/>
      <c r="W10" s="136"/>
      <c r="X10" s="136">
        <f>SUBTOTAL(103,Staff[BENFICIARY''S BANK NAME])</f>
        <v>7</v>
      </c>
    </row>
    <row r="11" spans="1:29" x14ac:dyDescent="0.2">
      <c r="N11" s="21"/>
      <c r="W11" s="3"/>
    </row>
    <row r="12" spans="1:29" x14ac:dyDescent="0.2">
      <c r="M12" s="21"/>
      <c r="N12" s="21"/>
      <c r="W12" s="3"/>
    </row>
    <row r="13" spans="1:29" x14ac:dyDescent="0.2">
      <c r="W13" s="3"/>
    </row>
    <row r="14" spans="1:29" ht="29.55" customHeight="1" x14ac:dyDescent="0.2">
      <c r="J14" s="21"/>
      <c r="M14" s="21"/>
      <c r="W14" s="3"/>
    </row>
    <row r="15" spans="1:29" x14ac:dyDescent="0.2">
      <c r="W15" s="3"/>
    </row>
    <row r="16" spans="1:29" x14ac:dyDescent="0.2">
      <c r="W16" s="3"/>
    </row>
    <row r="17" spans="17:24" x14ac:dyDescent="0.2">
      <c r="X17" s="21"/>
    </row>
    <row r="19" spans="17:24" x14ac:dyDescent="0.2">
      <c r="Q19" s="21"/>
      <c r="X19" s="21"/>
    </row>
    <row r="20" spans="17:24" x14ac:dyDescent="0.2">
      <c r="X20" s="21"/>
    </row>
  </sheetData>
  <sheetProtection formatCells="0" formatColumns="0" sort="0" autoFilter="0" pivotTables="0"/>
  <protectedRanges>
    <protectedRange sqref="I1" name="Range1"/>
    <protectedRange sqref="P3:P9" name="Range2"/>
    <protectedRange sqref="J3:J9" name="Range3"/>
  </protectedRanges>
  <mergeCells count="1">
    <mergeCell ref="J1:K1"/>
  </mergeCells>
  <phoneticPr fontId="43" type="noConversion"/>
  <conditionalFormatting sqref="Q11:Q12">
    <cfRule type="duplicateValues" dxfId="223" priority="160"/>
  </conditionalFormatting>
  <conditionalFormatting sqref="F3:I9 K3:L9">
    <cfRule type="cellIs" dxfId="222" priority="494" operator="greaterThan">
      <formula>$I3+$E3</formula>
    </cfRule>
  </conditionalFormatting>
  <pageMargins left="0.7" right="0.7" top="0.75" bottom="0.75" header="0.3" footer="0.3"/>
  <pageSetup scale="29" orientation="landscape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2676-91E2-48CA-9B34-35A1D0ECC668}">
  <sheetPr codeName="Sheet3">
    <pageSetUpPr fitToPage="1"/>
  </sheetPr>
  <dimension ref="A1:W36"/>
  <sheetViews>
    <sheetView topLeftCell="D12" workbookViewId="0">
      <selection activeCell="O2" sqref="O2:O36"/>
    </sheetView>
  </sheetViews>
  <sheetFormatPr defaultColWidth="8.77734375" defaultRowHeight="14.4" x14ac:dyDescent="0.3"/>
  <cols>
    <col min="1" max="1" width="14" bestFit="1" customWidth="1"/>
    <col min="2" max="2" width="4.77734375" bestFit="1" customWidth="1"/>
    <col min="3" max="3" width="14.33203125" bestFit="1" customWidth="1"/>
    <col min="4" max="4" width="2" bestFit="1" customWidth="1"/>
    <col min="5" max="5" width="20.109375" style="77" bestFit="1" customWidth="1"/>
    <col min="6" max="6" width="2" bestFit="1" customWidth="1"/>
    <col min="7" max="7" width="27.44140625" bestFit="1" customWidth="1"/>
    <col min="8" max="8" width="2" bestFit="1" customWidth="1"/>
    <col min="9" max="9" width="12.6640625" style="77" bestFit="1" customWidth="1"/>
    <col min="10" max="10" width="2" bestFit="1" customWidth="1"/>
    <col min="11" max="11" width="17.109375" style="77" bestFit="1" customWidth="1"/>
    <col min="12" max="12" width="2" bestFit="1" customWidth="1"/>
    <col min="13" max="13" width="3" style="68" bestFit="1" customWidth="1"/>
    <col min="14" max="14" width="2" bestFit="1" customWidth="1"/>
    <col min="15" max="15" width="21" style="68" bestFit="1" customWidth="1"/>
    <col min="16" max="16" width="2" bestFit="1" customWidth="1"/>
    <col min="17" max="17" width="19.33203125" style="77" bestFit="1" customWidth="1"/>
    <col min="18" max="18" width="2" bestFit="1" customWidth="1"/>
    <col min="19" max="19" width="26.109375" style="77" bestFit="1" customWidth="1"/>
    <col min="20" max="20" width="2" bestFit="1" customWidth="1"/>
    <col min="21" max="21" width="2" style="68" bestFit="1" customWidth="1"/>
    <col min="22" max="22" width="2" bestFit="1" customWidth="1"/>
    <col min="23" max="23" width="23.6640625" style="77" bestFit="1" customWidth="1"/>
  </cols>
  <sheetData>
    <row r="1" spans="1:23" x14ac:dyDescent="0.3">
      <c r="A1" s="100" t="s">
        <v>351</v>
      </c>
      <c r="B1" s="100"/>
      <c r="C1" s="100" t="s">
        <v>315</v>
      </c>
      <c r="D1" s="100" t="s">
        <v>226</v>
      </c>
      <c r="E1" s="198" t="s">
        <v>316</v>
      </c>
      <c r="F1" s="100" t="s">
        <v>226</v>
      </c>
      <c r="G1" s="100" t="s">
        <v>317</v>
      </c>
      <c r="H1" s="100" t="s">
        <v>226</v>
      </c>
      <c r="I1" s="198" t="s">
        <v>30</v>
      </c>
      <c r="J1" s="100" t="s">
        <v>226</v>
      </c>
      <c r="K1" s="198" t="s">
        <v>29</v>
      </c>
      <c r="L1" s="100" t="s">
        <v>226</v>
      </c>
      <c r="M1" s="197">
        <v>10</v>
      </c>
      <c r="N1" s="100" t="s">
        <v>226</v>
      </c>
      <c r="O1" s="197" t="s">
        <v>230</v>
      </c>
      <c r="P1" s="100" t="s">
        <v>226</v>
      </c>
      <c r="Q1" s="198" t="s">
        <v>227</v>
      </c>
      <c r="R1" s="100" t="s">
        <v>226</v>
      </c>
      <c r="S1" s="198" t="s">
        <v>228</v>
      </c>
      <c r="T1" s="100" t="s">
        <v>226</v>
      </c>
      <c r="U1" s="197">
        <v>2</v>
      </c>
      <c r="V1" s="100" t="s">
        <v>226</v>
      </c>
      <c r="W1" s="198" t="s">
        <v>229</v>
      </c>
    </row>
    <row r="2" spans="1:23" x14ac:dyDescent="0.3">
      <c r="A2" s="72" t="s">
        <v>330</v>
      </c>
      <c r="B2" s="72"/>
      <c r="C2" s="72" t="s">
        <v>318</v>
      </c>
      <c r="D2" s="72" t="s">
        <v>226</v>
      </c>
      <c r="E2" s="196"/>
      <c r="F2" s="72" t="s">
        <v>226</v>
      </c>
      <c r="G2" s="72" t="s">
        <v>319</v>
      </c>
      <c r="H2" s="72" t="s">
        <v>226</v>
      </c>
      <c r="I2" s="196" t="s">
        <v>77</v>
      </c>
      <c r="J2" s="72" t="s">
        <v>226</v>
      </c>
      <c r="K2" s="196" t="s">
        <v>231</v>
      </c>
      <c r="L2" s="72" t="s">
        <v>226</v>
      </c>
      <c r="M2" s="195">
        <v>10</v>
      </c>
      <c r="N2" s="72" t="s">
        <v>226</v>
      </c>
      <c r="O2" s="195">
        <v>3452</v>
      </c>
      <c r="P2" s="72" t="s">
        <v>226</v>
      </c>
      <c r="Q2" s="196" t="s">
        <v>330</v>
      </c>
      <c r="R2" s="72" t="s">
        <v>226</v>
      </c>
      <c r="S2" s="196" t="s">
        <v>78</v>
      </c>
      <c r="T2" s="72" t="s">
        <v>226</v>
      </c>
      <c r="U2" s="195">
        <v>2</v>
      </c>
      <c r="V2" s="72" t="s">
        <v>226</v>
      </c>
      <c r="W2" s="196" t="s">
        <v>76</v>
      </c>
    </row>
    <row r="3" spans="1:23" x14ac:dyDescent="0.3">
      <c r="A3" s="72" t="s">
        <v>32</v>
      </c>
      <c r="B3" s="72"/>
      <c r="C3" s="72" t="s">
        <v>318</v>
      </c>
      <c r="D3" s="72" t="s">
        <v>226</v>
      </c>
      <c r="E3" s="196"/>
      <c r="F3" s="72" t="s">
        <v>226</v>
      </c>
      <c r="G3" s="72" t="s">
        <v>319</v>
      </c>
      <c r="H3" s="72" t="s">
        <v>226</v>
      </c>
      <c r="I3" s="196" t="s">
        <v>83</v>
      </c>
      <c r="J3" s="72" t="s">
        <v>226</v>
      </c>
      <c r="K3" s="196" t="s">
        <v>232</v>
      </c>
      <c r="L3" s="72" t="s">
        <v>226</v>
      </c>
      <c r="M3" s="195">
        <v>10</v>
      </c>
      <c r="N3" s="72" t="s">
        <v>226</v>
      </c>
      <c r="O3" s="195">
        <v>23048</v>
      </c>
      <c r="P3" s="72" t="s">
        <v>226</v>
      </c>
      <c r="Q3" s="196" t="s">
        <v>32</v>
      </c>
      <c r="R3" s="72" t="s">
        <v>226</v>
      </c>
      <c r="S3" s="196" t="s">
        <v>78</v>
      </c>
      <c r="T3" s="72" t="s">
        <v>226</v>
      </c>
      <c r="U3" s="195">
        <v>2</v>
      </c>
      <c r="V3" s="72" t="s">
        <v>226</v>
      </c>
      <c r="W3" s="196" t="s">
        <v>124</v>
      </c>
    </row>
    <row r="4" spans="1:23" x14ac:dyDescent="0.3">
      <c r="A4" s="72" t="s">
        <v>33</v>
      </c>
      <c r="B4" s="72"/>
      <c r="C4" s="72" t="s">
        <v>318</v>
      </c>
      <c r="D4" s="72" t="s">
        <v>226</v>
      </c>
      <c r="E4" s="196"/>
      <c r="F4" s="72" t="s">
        <v>226</v>
      </c>
      <c r="G4" s="72" t="s">
        <v>319</v>
      </c>
      <c r="H4" s="72" t="s">
        <v>226</v>
      </c>
      <c r="I4" s="196" t="s">
        <v>126</v>
      </c>
      <c r="J4" s="72" t="s">
        <v>226</v>
      </c>
      <c r="K4" s="196" t="s">
        <v>233</v>
      </c>
      <c r="L4" s="72" t="s">
        <v>226</v>
      </c>
      <c r="M4" s="195">
        <v>10</v>
      </c>
      <c r="N4" s="72" t="s">
        <v>226</v>
      </c>
      <c r="O4" s="195">
        <v>0</v>
      </c>
      <c r="P4" s="72" t="s">
        <v>226</v>
      </c>
      <c r="Q4" s="196" t="s">
        <v>33</v>
      </c>
      <c r="R4" s="72" t="s">
        <v>226</v>
      </c>
      <c r="S4" s="196" t="s">
        <v>127</v>
      </c>
      <c r="T4" s="72" t="s">
        <v>226</v>
      </c>
      <c r="U4" s="195">
        <v>2</v>
      </c>
      <c r="V4" s="72" t="s">
        <v>226</v>
      </c>
      <c r="W4" s="196" t="s">
        <v>125</v>
      </c>
    </row>
    <row r="5" spans="1:23" x14ac:dyDescent="0.3">
      <c r="A5" s="72" t="s">
        <v>34</v>
      </c>
      <c r="B5" s="72"/>
      <c r="C5" s="72" t="s">
        <v>318</v>
      </c>
      <c r="D5" s="72" t="s">
        <v>226</v>
      </c>
      <c r="E5" s="196"/>
      <c r="F5" s="72" t="s">
        <v>226</v>
      </c>
      <c r="G5" s="72" t="s">
        <v>319</v>
      </c>
      <c r="H5" s="72" t="s">
        <v>226</v>
      </c>
      <c r="I5" s="196" t="s">
        <v>128</v>
      </c>
      <c r="J5" s="72" t="s">
        <v>226</v>
      </c>
      <c r="K5" s="196" t="s">
        <v>234</v>
      </c>
      <c r="L5" s="72" t="s">
        <v>226</v>
      </c>
      <c r="M5" s="195">
        <v>10</v>
      </c>
      <c r="N5" s="72" t="s">
        <v>226</v>
      </c>
      <c r="O5" s="195">
        <v>17118</v>
      </c>
      <c r="P5" s="72" t="s">
        <v>226</v>
      </c>
      <c r="Q5" s="196" t="s">
        <v>34</v>
      </c>
      <c r="R5" s="72" t="s">
        <v>226</v>
      </c>
      <c r="S5" s="196" t="s">
        <v>129</v>
      </c>
      <c r="T5" s="72" t="s">
        <v>226</v>
      </c>
      <c r="U5" s="195">
        <v>2</v>
      </c>
      <c r="V5" s="72" t="s">
        <v>226</v>
      </c>
      <c r="W5" s="196" t="s">
        <v>79</v>
      </c>
    </row>
    <row r="6" spans="1:23" x14ac:dyDescent="0.3">
      <c r="A6" s="72" t="s">
        <v>35</v>
      </c>
      <c r="B6" s="72"/>
      <c r="C6" s="72" t="s">
        <v>318</v>
      </c>
      <c r="D6" s="72" t="s">
        <v>226</v>
      </c>
      <c r="E6" s="196"/>
      <c r="F6" s="72" t="s">
        <v>226</v>
      </c>
      <c r="G6" s="72" t="s">
        <v>319</v>
      </c>
      <c r="H6" s="72" t="s">
        <v>226</v>
      </c>
      <c r="I6" s="196" t="s">
        <v>83</v>
      </c>
      <c r="J6" s="72" t="s">
        <v>226</v>
      </c>
      <c r="K6" s="196" t="s">
        <v>235</v>
      </c>
      <c r="L6" s="72" t="s">
        <v>226</v>
      </c>
      <c r="M6" s="195">
        <v>10</v>
      </c>
      <c r="N6" s="72" t="s">
        <v>226</v>
      </c>
      <c r="O6" s="195">
        <v>17583</v>
      </c>
      <c r="P6" s="72" t="s">
        <v>226</v>
      </c>
      <c r="Q6" s="196" t="s">
        <v>35</v>
      </c>
      <c r="R6" s="72" t="s">
        <v>226</v>
      </c>
      <c r="S6" s="196" t="s">
        <v>78</v>
      </c>
      <c r="T6" s="72" t="s">
        <v>226</v>
      </c>
      <c r="U6" s="195">
        <v>2</v>
      </c>
      <c r="V6" s="72" t="s">
        <v>226</v>
      </c>
      <c r="W6" s="196" t="s">
        <v>82</v>
      </c>
    </row>
    <row r="7" spans="1:23" x14ac:dyDescent="0.3">
      <c r="A7" s="72" t="s">
        <v>36</v>
      </c>
      <c r="B7" s="72"/>
      <c r="C7" s="72" t="s">
        <v>318</v>
      </c>
      <c r="D7" s="72" t="s">
        <v>226</v>
      </c>
      <c r="E7" s="196"/>
      <c r="F7" s="72" t="s">
        <v>226</v>
      </c>
      <c r="G7" s="72" t="s">
        <v>319</v>
      </c>
      <c r="H7" s="72" t="s">
        <v>226</v>
      </c>
      <c r="I7" s="196" t="s">
        <v>130</v>
      </c>
      <c r="J7" s="72" t="s">
        <v>226</v>
      </c>
      <c r="K7" s="196" t="s">
        <v>236</v>
      </c>
      <c r="L7" s="72" t="s">
        <v>226</v>
      </c>
      <c r="M7" s="195">
        <v>10</v>
      </c>
      <c r="N7" s="72" t="s">
        <v>226</v>
      </c>
      <c r="O7" s="195">
        <v>0</v>
      </c>
      <c r="P7" s="72" t="s">
        <v>226</v>
      </c>
      <c r="Q7" s="196" t="s">
        <v>36</v>
      </c>
      <c r="R7" s="72" t="s">
        <v>226</v>
      </c>
      <c r="S7" s="196" t="s">
        <v>78</v>
      </c>
      <c r="T7" s="72" t="s">
        <v>226</v>
      </c>
      <c r="U7" s="195">
        <v>2</v>
      </c>
      <c r="V7" s="72" t="s">
        <v>226</v>
      </c>
      <c r="W7" s="196" t="s">
        <v>116</v>
      </c>
    </row>
    <row r="8" spans="1:23" x14ac:dyDescent="0.3">
      <c r="A8" s="72" t="s">
        <v>37</v>
      </c>
      <c r="B8" s="72"/>
      <c r="C8" s="72" t="s">
        <v>318</v>
      </c>
      <c r="D8" s="72" t="s">
        <v>226</v>
      </c>
      <c r="E8" s="196"/>
      <c r="F8" s="72" t="s">
        <v>226</v>
      </c>
      <c r="G8" s="72" t="s">
        <v>319</v>
      </c>
      <c r="H8" s="72" t="s">
        <v>226</v>
      </c>
      <c r="I8" s="196" t="s">
        <v>77</v>
      </c>
      <c r="J8" s="72" t="s">
        <v>226</v>
      </c>
      <c r="K8" s="196" t="s">
        <v>237</v>
      </c>
      <c r="L8" s="72" t="s">
        <v>226</v>
      </c>
      <c r="M8" s="195">
        <v>10</v>
      </c>
      <c r="N8" s="72" t="s">
        <v>226</v>
      </c>
      <c r="O8" s="195">
        <v>19604</v>
      </c>
      <c r="P8" s="72" t="s">
        <v>226</v>
      </c>
      <c r="Q8" s="196" t="s">
        <v>37</v>
      </c>
      <c r="R8" s="72" t="s">
        <v>226</v>
      </c>
      <c r="S8" s="196" t="s">
        <v>78</v>
      </c>
      <c r="T8" s="72" t="s">
        <v>226</v>
      </c>
      <c r="U8" s="195">
        <v>2</v>
      </c>
      <c r="V8" s="72" t="s">
        <v>226</v>
      </c>
      <c r="W8" s="196" t="s">
        <v>76</v>
      </c>
    </row>
    <row r="9" spans="1:23" x14ac:dyDescent="0.3">
      <c r="A9" s="72" t="s">
        <v>331</v>
      </c>
      <c r="B9" s="72"/>
      <c r="C9" s="72" t="s">
        <v>318</v>
      </c>
      <c r="D9" s="72" t="s">
        <v>226</v>
      </c>
      <c r="E9" s="196"/>
      <c r="F9" s="72" t="s">
        <v>226</v>
      </c>
      <c r="G9" s="72" t="s">
        <v>319</v>
      </c>
      <c r="H9" s="72" t="s">
        <v>226</v>
      </c>
      <c r="I9" s="196" t="s">
        <v>130</v>
      </c>
      <c r="J9" s="72" t="s">
        <v>226</v>
      </c>
      <c r="K9" s="196" t="s">
        <v>239</v>
      </c>
      <c r="L9" s="72" t="s">
        <v>226</v>
      </c>
      <c r="M9" s="195">
        <v>10</v>
      </c>
      <c r="N9" s="72" t="s">
        <v>226</v>
      </c>
      <c r="O9" s="195">
        <v>0</v>
      </c>
      <c r="P9" s="72" t="s">
        <v>226</v>
      </c>
      <c r="Q9" s="196" t="s">
        <v>331</v>
      </c>
      <c r="R9" s="72" t="s">
        <v>226</v>
      </c>
      <c r="S9" s="196" t="s">
        <v>78</v>
      </c>
      <c r="T9" s="72" t="s">
        <v>226</v>
      </c>
      <c r="U9" s="195">
        <v>2</v>
      </c>
      <c r="V9" s="72" t="s">
        <v>226</v>
      </c>
      <c r="W9" s="196" t="s">
        <v>116</v>
      </c>
    </row>
    <row r="10" spans="1:23" x14ac:dyDescent="0.3">
      <c r="A10" s="72" t="s">
        <v>794</v>
      </c>
      <c r="B10" s="72"/>
      <c r="C10" s="72" t="s">
        <v>318</v>
      </c>
      <c r="D10" s="72" t="s">
        <v>226</v>
      </c>
      <c r="E10" s="196"/>
      <c r="F10" s="72" t="s">
        <v>226</v>
      </c>
      <c r="G10" s="72" t="s">
        <v>319</v>
      </c>
      <c r="H10" s="72" t="s">
        <v>226</v>
      </c>
      <c r="I10" s="196" t="s">
        <v>83</v>
      </c>
      <c r="J10" s="72" t="s">
        <v>226</v>
      </c>
      <c r="K10" s="196" t="s">
        <v>530</v>
      </c>
      <c r="L10" s="72" t="s">
        <v>226</v>
      </c>
      <c r="M10" s="195">
        <v>10</v>
      </c>
      <c r="N10" s="72" t="s">
        <v>226</v>
      </c>
      <c r="O10" s="195">
        <v>7725</v>
      </c>
      <c r="P10" s="72" t="s">
        <v>226</v>
      </c>
      <c r="Q10" s="196" t="s">
        <v>794</v>
      </c>
      <c r="R10" s="72" t="s">
        <v>226</v>
      </c>
      <c r="S10" s="196" t="s">
        <v>144</v>
      </c>
      <c r="T10" s="72" t="s">
        <v>226</v>
      </c>
      <c r="U10" s="195">
        <v>2</v>
      </c>
      <c r="V10" s="72" t="s">
        <v>226</v>
      </c>
      <c r="W10" s="196" t="s">
        <v>124</v>
      </c>
    </row>
    <row r="11" spans="1:23" x14ac:dyDescent="0.3">
      <c r="A11" s="72" t="s">
        <v>135</v>
      </c>
      <c r="B11" s="72"/>
      <c r="C11" s="72" t="s">
        <v>318</v>
      </c>
      <c r="D11" s="72" t="s">
        <v>226</v>
      </c>
      <c r="E11" s="196"/>
      <c r="F11" s="72" t="s">
        <v>226</v>
      </c>
      <c r="G11" s="72" t="s">
        <v>319</v>
      </c>
      <c r="H11" s="72" t="s">
        <v>226</v>
      </c>
      <c r="I11" s="196" t="s">
        <v>83</v>
      </c>
      <c r="J11" s="72" t="s">
        <v>226</v>
      </c>
      <c r="K11" s="196" t="s">
        <v>241</v>
      </c>
      <c r="L11" s="72" t="s">
        <v>226</v>
      </c>
      <c r="M11" s="195">
        <v>10</v>
      </c>
      <c r="N11" s="72" t="s">
        <v>226</v>
      </c>
      <c r="O11" s="195">
        <v>6266</v>
      </c>
      <c r="P11" s="72" t="s">
        <v>226</v>
      </c>
      <c r="Q11" s="196" t="s">
        <v>135</v>
      </c>
      <c r="R11" s="72" t="s">
        <v>226</v>
      </c>
      <c r="S11" s="196" t="s">
        <v>78</v>
      </c>
      <c r="T11" s="72" t="s">
        <v>226</v>
      </c>
      <c r="U11" s="195">
        <v>2</v>
      </c>
      <c r="V11" s="72" t="s">
        <v>226</v>
      </c>
      <c r="W11" s="196" t="s">
        <v>82</v>
      </c>
    </row>
    <row r="12" spans="1:23" x14ac:dyDescent="0.3">
      <c r="A12" s="72" t="s">
        <v>795</v>
      </c>
      <c r="B12" s="72"/>
      <c r="C12" s="72" t="s">
        <v>318</v>
      </c>
      <c r="D12" s="72" t="s">
        <v>226</v>
      </c>
      <c r="E12" s="196"/>
      <c r="F12" s="72" t="s">
        <v>226</v>
      </c>
      <c r="G12" s="72" t="s">
        <v>319</v>
      </c>
      <c r="H12" s="72" t="s">
        <v>226</v>
      </c>
      <c r="I12" s="196" t="s">
        <v>136</v>
      </c>
      <c r="J12" s="72" t="s">
        <v>226</v>
      </c>
      <c r="K12" s="196" t="s">
        <v>799</v>
      </c>
      <c r="L12" s="72" t="s">
        <v>226</v>
      </c>
      <c r="M12" s="195">
        <v>10</v>
      </c>
      <c r="N12" s="72" t="s">
        <v>226</v>
      </c>
      <c r="O12" s="195">
        <v>3200</v>
      </c>
      <c r="P12" s="72" t="s">
        <v>226</v>
      </c>
      <c r="Q12" s="196" t="s">
        <v>795</v>
      </c>
      <c r="R12" s="72" t="s">
        <v>226</v>
      </c>
      <c r="S12" s="196" t="s">
        <v>159</v>
      </c>
      <c r="T12" s="72" t="s">
        <v>226</v>
      </c>
      <c r="U12" s="195">
        <v>2</v>
      </c>
      <c r="V12" s="72" t="s">
        <v>226</v>
      </c>
      <c r="W12" s="196" t="s">
        <v>76</v>
      </c>
    </row>
    <row r="13" spans="1:23" x14ac:dyDescent="0.3">
      <c r="A13" s="72" t="s">
        <v>333</v>
      </c>
      <c r="B13" s="72"/>
      <c r="C13" s="72" t="s">
        <v>318</v>
      </c>
      <c r="D13" s="72" t="s">
        <v>226</v>
      </c>
      <c r="E13" s="196"/>
      <c r="F13" s="72" t="s">
        <v>226</v>
      </c>
      <c r="G13" s="72" t="s">
        <v>319</v>
      </c>
      <c r="H13" s="72" t="s">
        <v>226</v>
      </c>
      <c r="I13" s="196" t="s">
        <v>77</v>
      </c>
      <c r="J13" s="72" t="s">
        <v>226</v>
      </c>
      <c r="K13" s="196" t="s">
        <v>242</v>
      </c>
      <c r="L13" s="72" t="s">
        <v>226</v>
      </c>
      <c r="M13" s="195">
        <v>10</v>
      </c>
      <c r="N13" s="72" t="s">
        <v>226</v>
      </c>
      <c r="O13" s="195">
        <v>12174</v>
      </c>
      <c r="P13" s="72" t="s">
        <v>226</v>
      </c>
      <c r="Q13" s="196" t="s">
        <v>333</v>
      </c>
      <c r="R13" s="72" t="s">
        <v>226</v>
      </c>
      <c r="S13" s="196" t="s">
        <v>78</v>
      </c>
      <c r="T13" s="72" t="s">
        <v>226</v>
      </c>
      <c r="U13" s="195">
        <v>2</v>
      </c>
      <c r="V13" s="72" t="s">
        <v>226</v>
      </c>
      <c r="W13" s="196" t="s">
        <v>76</v>
      </c>
    </row>
    <row r="14" spans="1:23" x14ac:dyDescent="0.3">
      <c r="A14" s="72" t="s">
        <v>40</v>
      </c>
      <c r="B14" s="72"/>
      <c r="C14" s="72" t="s">
        <v>318</v>
      </c>
      <c r="D14" s="72" t="s">
        <v>226</v>
      </c>
      <c r="E14" s="196"/>
      <c r="F14" s="72" t="s">
        <v>226</v>
      </c>
      <c r="G14" s="72" t="s">
        <v>319</v>
      </c>
      <c r="H14" s="72" t="s">
        <v>226</v>
      </c>
      <c r="I14" s="196" t="s">
        <v>77</v>
      </c>
      <c r="J14" s="72" t="s">
        <v>226</v>
      </c>
      <c r="K14" s="196" t="s">
        <v>243</v>
      </c>
      <c r="L14" s="72" t="s">
        <v>226</v>
      </c>
      <c r="M14" s="195">
        <v>10</v>
      </c>
      <c r="N14" s="72" t="s">
        <v>226</v>
      </c>
      <c r="O14" s="195">
        <v>11228</v>
      </c>
      <c r="P14" s="72" t="s">
        <v>226</v>
      </c>
      <c r="Q14" s="196" t="s">
        <v>40</v>
      </c>
      <c r="R14" s="72" t="s">
        <v>226</v>
      </c>
      <c r="S14" s="196" t="s">
        <v>78</v>
      </c>
      <c r="T14" s="72" t="s">
        <v>226</v>
      </c>
      <c r="U14" s="195">
        <v>2</v>
      </c>
      <c r="V14" s="72" t="s">
        <v>226</v>
      </c>
      <c r="W14" s="196" t="s">
        <v>76</v>
      </c>
    </row>
    <row r="15" spans="1:23" x14ac:dyDescent="0.3">
      <c r="A15" s="72" t="s">
        <v>138</v>
      </c>
      <c r="B15" s="72"/>
      <c r="C15" s="72" t="s">
        <v>318</v>
      </c>
      <c r="D15" s="72" t="s">
        <v>226</v>
      </c>
      <c r="E15" s="196"/>
      <c r="F15" s="72" t="s">
        <v>226</v>
      </c>
      <c r="G15" s="72" t="s">
        <v>319</v>
      </c>
      <c r="H15" s="72" t="s">
        <v>226</v>
      </c>
      <c r="I15" s="196" t="s">
        <v>77</v>
      </c>
      <c r="J15" s="72" t="s">
        <v>226</v>
      </c>
      <c r="K15" s="196" t="s">
        <v>534</v>
      </c>
      <c r="L15" s="72" t="s">
        <v>226</v>
      </c>
      <c r="M15" s="195">
        <v>10</v>
      </c>
      <c r="N15" s="72" t="s">
        <v>226</v>
      </c>
      <c r="O15" s="195">
        <v>11852</v>
      </c>
      <c r="P15" s="72" t="s">
        <v>226</v>
      </c>
      <c r="Q15" s="196" t="s">
        <v>138</v>
      </c>
      <c r="R15" s="72" t="s">
        <v>226</v>
      </c>
      <c r="S15" s="196" t="s">
        <v>78</v>
      </c>
      <c r="T15" s="72" t="s">
        <v>226</v>
      </c>
      <c r="U15" s="195">
        <v>2</v>
      </c>
      <c r="V15" s="72" t="s">
        <v>226</v>
      </c>
      <c r="W15" s="196" t="s">
        <v>76</v>
      </c>
    </row>
    <row r="16" spans="1:23" x14ac:dyDescent="0.3">
      <c r="A16" s="72" t="s">
        <v>140</v>
      </c>
      <c r="B16" s="72"/>
      <c r="C16" s="72" t="s">
        <v>318</v>
      </c>
      <c r="D16" s="72" t="s">
        <v>226</v>
      </c>
      <c r="E16" s="196"/>
      <c r="F16" s="72" t="s">
        <v>226</v>
      </c>
      <c r="G16" s="72" t="s">
        <v>319</v>
      </c>
      <c r="H16" s="72" t="s">
        <v>226</v>
      </c>
      <c r="I16" s="196" t="s">
        <v>535</v>
      </c>
      <c r="J16" s="72" t="s">
        <v>226</v>
      </c>
      <c r="K16" s="196" t="s">
        <v>245</v>
      </c>
      <c r="L16" s="72" t="s">
        <v>226</v>
      </c>
      <c r="M16" s="195">
        <v>10</v>
      </c>
      <c r="N16" s="72" t="s">
        <v>226</v>
      </c>
      <c r="O16" s="195">
        <v>0</v>
      </c>
      <c r="P16" s="72" t="s">
        <v>226</v>
      </c>
      <c r="Q16" s="196" t="s">
        <v>140</v>
      </c>
      <c r="R16" s="72" t="s">
        <v>226</v>
      </c>
      <c r="S16" s="196" t="s">
        <v>129</v>
      </c>
      <c r="T16" s="72" t="s">
        <v>226</v>
      </c>
      <c r="U16" s="195">
        <v>2</v>
      </c>
      <c r="V16" s="72" t="s">
        <v>226</v>
      </c>
      <c r="W16" s="196" t="s">
        <v>79</v>
      </c>
    </row>
    <row r="17" spans="1:23" x14ac:dyDescent="0.3">
      <c r="A17" s="72" t="s">
        <v>334</v>
      </c>
      <c r="B17" s="72"/>
      <c r="C17" s="72" t="s">
        <v>318</v>
      </c>
      <c r="D17" s="72" t="s">
        <v>226</v>
      </c>
      <c r="E17" s="196"/>
      <c r="F17" s="72" t="s">
        <v>226</v>
      </c>
      <c r="G17" s="72" t="s">
        <v>319</v>
      </c>
      <c r="H17" s="72" t="s">
        <v>226</v>
      </c>
      <c r="I17" s="196" t="s">
        <v>83</v>
      </c>
      <c r="J17" s="72" t="s">
        <v>226</v>
      </c>
      <c r="K17" s="196" t="s">
        <v>246</v>
      </c>
      <c r="L17" s="72" t="s">
        <v>226</v>
      </c>
      <c r="M17" s="195">
        <v>10</v>
      </c>
      <c r="N17" s="72" t="s">
        <v>226</v>
      </c>
      <c r="O17" s="195">
        <v>12930</v>
      </c>
      <c r="P17" s="72" t="s">
        <v>226</v>
      </c>
      <c r="Q17" s="196" t="s">
        <v>334</v>
      </c>
      <c r="R17" s="72" t="s">
        <v>226</v>
      </c>
      <c r="S17" s="196" t="s">
        <v>144</v>
      </c>
      <c r="T17" s="72" t="s">
        <v>226</v>
      </c>
      <c r="U17" s="195">
        <v>2</v>
      </c>
      <c r="V17" s="72" t="s">
        <v>226</v>
      </c>
      <c r="W17" s="196" t="s">
        <v>124</v>
      </c>
    </row>
    <row r="18" spans="1:23" x14ac:dyDescent="0.3">
      <c r="A18" s="72" t="s">
        <v>43</v>
      </c>
      <c r="B18" s="72"/>
      <c r="C18" s="72" t="s">
        <v>318</v>
      </c>
      <c r="D18" s="72" t="s">
        <v>226</v>
      </c>
      <c r="E18" s="196"/>
      <c r="F18" s="72" t="s">
        <v>226</v>
      </c>
      <c r="G18" s="72" t="s">
        <v>319</v>
      </c>
      <c r="H18" s="72" t="s">
        <v>226</v>
      </c>
      <c r="I18" s="196" t="s">
        <v>77</v>
      </c>
      <c r="J18" s="72" t="s">
        <v>226</v>
      </c>
      <c r="K18" s="196" t="s">
        <v>247</v>
      </c>
      <c r="L18" s="72" t="s">
        <v>226</v>
      </c>
      <c r="M18" s="195">
        <v>10</v>
      </c>
      <c r="N18" s="72" t="s">
        <v>226</v>
      </c>
      <c r="O18" s="195">
        <v>21170</v>
      </c>
      <c r="P18" s="72" t="s">
        <v>226</v>
      </c>
      <c r="Q18" s="196" t="s">
        <v>43</v>
      </c>
      <c r="R18" s="72" t="s">
        <v>226</v>
      </c>
      <c r="S18" s="196" t="s">
        <v>78</v>
      </c>
      <c r="T18" s="72" t="s">
        <v>226</v>
      </c>
      <c r="U18" s="195">
        <v>2</v>
      </c>
      <c r="V18" s="72" t="s">
        <v>226</v>
      </c>
      <c r="W18" s="196" t="s">
        <v>76</v>
      </c>
    </row>
    <row r="19" spans="1:23" x14ac:dyDescent="0.3">
      <c r="A19" s="72" t="s">
        <v>44</v>
      </c>
      <c r="B19" s="72"/>
      <c r="C19" s="72" t="s">
        <v>318</v>
      </c>
      <c r="D19" s="72" t="s">
        <v>226</v>
      </c>
      <c r="E19" s="196"/>
      <c r="F19" s="72" t="s">
        <v>226</v>
      </c>
      <c r="G19" s="72" t="s">
        <v>319</v>
      </c>
      <c r="H19" s="72" t="s">
        <v>226</v>
      </c>
      <c r="I19" s="196" t="s">
        <v>145</v>
      </c>
      <c r="J19" s="72" t="s">
        <v>226</v>
      </c>
      <c r="K19" s="196" t="s">
        <v>248</v>
      </c>
      <c r="L19" s="72" t="s">
        <v>226</v>
      </c>
      <c r="M19" s="195">
        <v>10</v>
      </c>
      <c r="N19" s="72" t="s">
        <v>226</v>
      </c>
      <c r="O19" s="195">
        <v>5612</v>
      </c>
      <c r="P19" s="72" t="s">
        <v>226</v>
      </c>
      <c r="Q19" s="196" t="s">
        <v>44</v>
      </c>
      <c r="R19" s="72" t="s">
        <v>226</v>
      </c>
      <c r="S19" s="196" t="s">
        <v>111</v>
      </c>
      <c r="T19" s="72" t="s">
        <v>226</v>
      </c>
      <c r="U19" s="195">
        <v>2</v>
      </c>
      <c r="V19" s="72" t="s">
        <v>226</v>
      </c>
      <c r="W19" s="196" t="s">
        <v>116</v>
      </c>
    </row>
    <row r="20" spans="1:23" x14ac:dyDescent="0.3">
      <c r="A20" s="72" t="s">
        <v>146</v>
      </c>
      <c r="B20" s="72"/>
      <c r="C20" s="72" t="s">
        <v>318</v>
      </c>
      <c r="D20" s="72" t="s">
        <v>226</v>
      </c>
      <c r="E20" s="196"/>
      <c r="F20" s="72" t="s">
        <v>226</v>
      </c>
      <c r="G20" s="72" t="s">
        <v>319</v>
      </c>
      <c r="H20" s="72" t="s">
        <v>226</v>
      </c>
      <c r="I20" s="196" t="s">
        <v>141</v>
      </c>
      <c r="J20" s="72" t="s">
        <v>226</v>
      </c>
      <c r="K20" s="196" t="s">
        <v>249</v>
      </c>
      <c r="L20" s="72" t="s">
        <v>226</v>
      </c>
      <c r="M20" s="195">
        <v>10</v>
      </c>
      <c r="N20" s="72" t="s">
        <v>226</v>
      </c>
      <c r="O20" s="195">
        <v>0</v>
      </c>
      <c r="P20" s="72" t="s">
        <v>226</v>
      </c>
      <c r="Q20" s="196" t="s">
        <v>146</v>
      </c>
      <c r="R20" s="72" t="s">
        <v>226</v>
      </c>
      <c r="S20" s="196" t="s">
        <v>129</v>
      </c>
      <c r="T20" s="72" t="s">
        <v>226</v>
      </c>
      <c r="U20" s="195">
        <v>2</v>
      </c>
      <c r="V20" s="72" t="s">
        <v>226</v>
      </c>
      <c r="W20" s="196" t="s">
        <v>125</v>
      </c>
    </row>
    <row r="21" spans="1:23" x14ac:dyDescent="0.3">
      <c r="A21" s="72" t="s">
        <v>545</v>
      </c>
      <c r="B21" s="72"/>
      <c r="C21" s="72" t="s">
        <v>318</v>
      </c>
      <c r="D21" s="72" t="s">
        <v>226</v>
      </c>
      <c r="E21" s="196"/>
      <c r="F21" s="72" t="s">
        <v>226</v>
      </c>
      <c r="G21" s="72" t="s">
        <v>319</v>
      </c>
      <c r="H21" s="72" t="s">
        <v>226</v>
      </c>
      <c r="I21" s="196" t="s">
        <v>136</v>
      </c>
      <c r="J21" s="72" t="s">
        <v>226</v>
      </c>
      <c r="K21" s="196" t="s">
        <v>250</v>
      </c>
      <c r="L21" s="72" t="s">
        <v>226</v>
      </c>
      <c r="M21" s="195">
        <v>10</v>
      </c>
      <c r="N21" s="72" t="s">
        <v>226</v>
      </c>
      <c r="O21" s="195">
        <v>17883</v>
      </c>
      <c r="P21" s="72" t="s">
        <v>226</v>
      </c>
      <c r="Q21" s="196" t="s">
        <v>545</v>
      </c>
      <c r="R21" s="72" t="s">
        <v>226</v>
      </c>
      <c r="S21" s="196" t="s">
        <v>137</v>
      </c>
      <c r="T21" s="72" t="s">
        <v>226</v>
      </c>
      <c r="U21" s="195">
        <v>2</v>
      </c>
      <c r="V21" s="72" t="s">
        <v>226</v>
      </c>
      <c r="W21" s="196" t="s">
        <v>76</v>
      </c>
    </row>
    <row r="22" spans="1:23" x14ac:dyDescent="0.3">
      <c r="A22" s="72" t="s">
        <v>45</v>
      </c>
      <c r="B22" s="72"/>
      <c r="C22" s="72" t="s">
        <v>318</v>
      </c>
      <c r="D22" s="72" t="s">
        <v>226</v>
      </c>
      <c r="E22" s="196"/>
      <c r="F22" s="72" t="s">
        <v>226</v>
      </c>
      <c r="G22" s="72" t="s">
        <v>319</v>
      </c>
      <c r="H22" s="72" t="s">
        <v>226</v>
      </c>
      <c r="I22" s="196" t="s">
        <v>83</v>
      </c>
      <c r="J22" s="72" t="s">
        <v>226</v>
      </c>
      <c r="K22" s="196" t="s">
        <v>251</v>
      </c>
      <c r="L22" s="72" t="s">
        <v>226</v>
      </c>
      <c r="M22" s="195">
        <v>10</v>
      </c>
      <c r="N22" s="72" t="s">
        <v>226</v>
      </c>
      <c r="O22" s="195">
        <v>12864</v>
      </c>
      <c r="P22" s="72" t="s">
        <v>226</v>
      </c>
      <c r="Q22" s="196" t="s">
        <v>45</v>
      </c>
      <c r="R22" s="72" t="s">
        <v>226</v>
      </c>
      <c r="S22" s="196" t="s">
        <v>78</v>
      </c>
      <c r="T22" s="72" t="s">
        <v>226</v>
      </c>
      <c r="U22" s="195">
        <v>2</v>
      </c>
      <c r="V22" s="72" t="s">
        <v>226</v>
      </c>
      <c r="W22" s="196" t="s">
        <v>82</v>
      </c>
    </row>
    <row r="23" spans="1:23" x14ac:dyDescent="0.3">
      <c r="A23" s="72" t="s">
        <v>796</v>
      </c>
      <c r="B23" s="72"/>
      <c r="C23" s="72" t="s">
        <v>318</v>
      </c>
      <c r="D23" s="72" t="s">
        <v>226</v>
      </c>
      <c r="E23" s="196"/>
      <c r="F23" s="72" t="s">
        <v>226</v>
      </c>
      <c r="G23" s="72" t="s">
        <v>319</v>
      </c>
      <c r="H23" s="72" t="s">
        <v>226</v>
      </c>
      <c r="I23" s="196" t="s">
        <v>83</v>
      </c>
      <c r="J23" s="72" t="s">
        <v>226</v>
      </c>
      <c r="K23" s="196" t="s">
        <v>800</v>
      </c>
      <c r="L23" s="72" t="s">
        <v>226</v>
      </c>
      <c r="M23" s="195">
        <v>10</v>
      </c>
      <c r="N23" s="72" t="s">
        <v>226</v>
      </c>
      <c r="O23" s="195">
        <v>9335</v>
      </c>
      <c r="P23" s="72" t="s">
        <v>226</v>
      </c>
      <c r="Q23" s="196" t="s">
        <v>796</v>
      </c>
      <c r="R23" s="72" t="s">
        <v>226</v>
      </c>
      <c r="S23" s="196" t="s">
        <v>78</v>
      </c>
      <c r="T23" s="72" t="s">
        <v>226</v>
      </c>
      <c r="U23" s="195">
        <v>2</v>
      </c>
      <c r="V23" s="72" t="s">
        <v>226</v>
      </c>
      <c r="W23" s="196" t="s">
        <v>131</v>
      </c>
    </row>
    <row r="24" spans="1:23" x14ac:dyDescent="0.3">
      <c r="A24" s="72" t="s">
        <v>797</v>
      </c>
      <c r="B24" s="72"/>
      <c r="C24" s="72" t="s">
        <v>318</v>
      </c>
      <c r="D24" s="72" t="s">
        <v>226</v>
      </c>
      <c r="E24" s="196"/>
      <c r="F24" s="72" t="s">
        <v>226</v>
      </c>
      <c r="G24" s="72" t="s">
        <v>319</v>
      </c>
      <c r="H24" s="72" t="s">
        <v>226</v>
      </c>
      <c r="I24" s="196" t="s">
        <v>83</v>
      </c>
      <c r="J24" s="72" t="s">
        <v>226</v>
      </c>
      <c r="K24" s="196" t="s">
        <v>798</v>
      </c>
      <c r="L24" s="72" t="s">
        <v>226</v>
      </c>
      <c r="M24" s="195">
        <v>10</v>
      </c>
      <c r="N24" s="72" t="s">
        <v>226</v>
      </c>
      <c r="O24" s="195">
        <v>11068</v>
      </c>
      <c r="P24" s="72" t="s">
        <v>226</v>
      </c>
      <c r="Q24" s="196" t="s">
        <v>797</v>
      </c>
      <c r="R24" s="72" t="s">
        <v>226</v>
      </c>
      <c r="S24" s="196" t="s">
        <v>78</v>
      </c>
      <c r="T24" s="72" t="s">
        <v>226</v>
      </c>
      <c r="U24" s="195">
        <v>2</v>
      </c>
      <c r="V24" s="72" t="s">
        <v>226</v>
      </c>
      <c r="W24" s="196" t="s">
        <v>82</v>
      </c>
    </row>
    <row r="25" spans="1:23" x14ac:dyDescent="0.3">
      <c r="A25" s="72" t="s">
        <v>335</v>
      </c>
      <c r="B25" s="72"/>
      <c r="C25" s="72" t="s">
        <v>318</v>
      </c>
      <c r="D25" s="72" t="s">
        <v>226</v>
      </c>
      <c r="E25" s="196"/>
      <c r="F25" s="72" t="s">
        <v>226</v>
      </c>
      <c r="G25" s="72" t="s">
        <v>319</v>
      </c>
      <c r="H25" s="72" t="s">
        <v>226</v>
      </c>
      <c r="I25" s="196" t="s">
        <v>77</v>
      </c>
      <c r="J25" s="72" t="s">
        <v>226</v>
      </c>
      <c r="K25" s="196" t="s">
        <v>254</v>
      </c>
      <c r="L25" s="72" t="s">
        <v>226</v>
      </c>
      <c r="M25" s="195">
        <v>10</v>
      </c>
      <c r="N25" s="72" t="s">
        <v>226</v>
      </c>
      <c r="O25" s="195">
        <v>8016</v>
      </c>
      <c r="P25" s="72" t="s">
        <v>226</v>
      </c>
      <c r="Q25" s="196" t="s">
        <v>335</v>
      </c>
      <c r="R25" s="72" t="s">
        <v>226</v>
      </c>
      <c r="S25" s="196" t="s">
        <v>78</v>
      </c>
      <c r="T25" s="72" t="s">
        <v>226</v>
      </c>
      <c r="U25" s="195">
        <v>2</v>
      </c>
      <c r="V25" s="72" t="s">
        <v>226</v>
      </c>
      <c r="W25" s="196" t="s">
        <v>76</v>
      </c>
    </row>
    <row r="26" spans="1:23" x14ac:dyDescent="0.3">
      <c r="A26" s="72" t="s">
        <v>336</v>
      </c>
      <c r="B26" s="72"/>
      <c r="C26" s="72" t="s">
        <v>318</v>
      </c>
      <c r="D26" s="72" t="s">
        <v>226</v>
      </c>
      <c r="E26" s="196"/>
      <c r="F26" s="72" t="s">
        <v>226</v>
      </c>
      <c r="G26" s="72" t="s">
        <v>319</v>
      </c>
      <c r="H26" s="72" t="s">
        <v>226</v>
      </c>
      <c r="I26" s="196" t="s">
        <v>77</v>
      </c>
      <c r="J26" s="72" t="s">
        <v>226</v>
      </c>
      <c r="K26" s="196" t="s">
        <v>253</v>
      </c>
      <c r="L26" s="72" t="s">
        <v>226</v>
      </c>
      <c r="M26" s="195">
        <v>10</v>
      </c>
      <c r="N26" s="72" t="s">
        <v>226</v>
      </c>
      <c r="O26" s="195">
        <v>10704</v>
      </c>
      <c r="P26" s="72" t="s">
        <v>226</v>
      </c>
      <c r="Q26" s="196" t="s">
        <v>336</v>
      </c>
      <c r="R26" s="72" t="s">
        <v>226</v>
      </c>
      <c r="S26" s="196" t="s">
        <v>78</v>
      </c>
      <c r="T26" s="72" t="s">
        <v>226</v>
      </c>
      <c r="U26" s="195">
        <v>2</v>
      </c>
      <c r="V26" s="72" t="s">
        <v>226</v>
      </c>
      <c r="W26" s="196" t="s">
        <v>76</v>
      </c>
    </row>
    <row r="27" spans="1:23" x14ac:dyDescent="0.3">
      <c r="A27" s="72" t="s">
        <v>338</v>
      </c>
      <c r="B27" s="72"/>
      <c r="C27" s="72" t="s">
        <v>318</v>
      </c>
      <c r="D27" s="72" t="s">
        <v>226</v>
      </c>
      <c r="E27" s="196"/>
      <c r="F27" s="72" t="s">
        <v>226</v>
      </c>
      <c r="G27" s="72" t="s">
        <v>319</v>
      </c>
      <c r="H27" s="72" t="s">
        <v>226</v>
      </c>
      <c r="I27" s="196" t="s">
        <v>77</v>
      </c>
      <c r="J27" s="72" t="s">
        <v>226</v>
      </c>
      <c r="K27" s="196" t="s">
        <v>257</v>
      </c>
      <c r="L27" s="72" t="s">
        <v>226</v>
      </c>
      <c r="M27" s="195">
        <v>10</v>
      </c>
      <c r="N27" s="72" t="s">
        <v>226</v>
      </c>
      <c r="O27" s="195">
        <v>16332</v>
      </c>
      <c r="P27" s="72" t="s">
        <v>226</v>
      </c>
      <c r="Q27" s="196" t="s">
        <v>338</v>
      </c>
      <c r="R27" s="72" t="s">
        <v>226</v>
      </c>
      <c r="S27" s="196" t="s">
        <v>78</v>
      </c>
      <c r="T27" s="72" t="s">
        <v>226</v>
      </c>
      <c r="U27" s="195">
        <v>2</v>
      </c>
      <c r="V27" s="72" t="s">
        <v>226</v>
      </c>
      <c r="W27" s="196" t="s">
        <v>76</v>
      </c>
    </row>
    <row r="28" spans="1:23" x14ac:dyDescent="0.3">
      <c r="A28" s="72" t="s">
        <v>339</v>
      </c>
      <c r="B28" s="72"/>
      <c r="C28" s="72" t="s">
        <v>318</v>
      </c>
      <c r="D28" s="72" t="s">
        <v>226</v>
      </c>
      <c r="E28" s="196"/>
      <c r="F28" s="72" t="s">
        <v>226</v>
      </c>
      <c r="G28" s="72" t="s">
        <v>319</v>
      </c>
      <c r="H28" s="72" t="s">
        <v>226</v>
      </c>
      <c r="I28" s="196" t="s">
        <v>83</v>
      </c>
      <c r="J28" s="72" t="s">
        <v>226</v>
      </c>
      <c r="K28" s="196" t="s">
        <v>258</v>
      </c>
      <c r="L28" s="72" t="s">
        <v>226</v>
      </c>
      <c r="M28" s="195">
        <v>10</v>
      </c>
      <c r="N28" s="72" t="s">
        <v>226</v>
      </c>
      <c r="O28" s="195">
        <v>18966</v>
      </c>
      <c r="P28" s="72" t="s">
        <v>226</v>
      </c>
      <c r="Q28" s="196" t="s">
        <v>339</v>
      </c>
      <c r="R28" s="72" t="s">
        <v>226</v>
      </c>
      <c r="S28" s="196" t="s">
        <v>78</v>
      </c>
      <c r="T28" s="72" t="s">
        <v>226</v>
      </c>
      <c r="U28" s="195">
        <v>2</v>
      </c>
      <c r="V28" s="72" t="s">
        <v>226</v>
      </c>
      <c r="W28" s="196" t="s">
        <v>82</v>
      </c>
    </row>
    <row r="29" spans="1:23" x14ac:dyDescent="0.3">
      <c r="A29" s="72" t="s">
        <v>340</v>
      </c>
      <c r="B29" s="72"/>
      <c r="C29" s="72" t="s">
        <v>318</v>
      </c>
      <c r="D29" s="72" t="s">
        <v>226</v>
      </c>
      <c r="E29" s="196"/>
      <c r="F29" s="72" t="s">
        <v>226</v>
      </c>
      <c r="G29" s="72" t="s">
        <v>319</v>
      </c>
      <c r="H29" s="72" t="s">
        <v>226</v>
      </c>
      <c r="I29" s="196" t="s">
        <v>83</v>
      </c>
      <c r="J29" s="72" t="s">
        <v>226</v>
      </c>
      <c r="K29" s="196" t="s">
        <v>260</v>
      </c>
      <c r="L29" s="72" t="s">
        <v>226</v>
      </c>
      <c r="M29" s="195">
        <v>10</v>
      </c>
      <c r="N29" s="72" t="s">
        <v>226</v>
      </c>
      <c r="O29" s="195">
        <v>17373</v>
      </c>
      <c r="P29" s="72" t="s">
        <v>226</v>
      </c>
      <c r="Q29" s="196" t="s">
        <v>340</v>
      </c>
      <c r="R29" s="72" t="s">
        <v>226</v>
      </c>
      <c r="S29" s="196" t="s">
        <v>78</v>
      </c>
      <c r="T29" s="72" t="s">
        <v>226</v>
      </c>
      <c r="U29" s="195">
        <v>2</v>
      </c>
      <c r="V29" s="72" t="s">
        <v>226</v>
      </c>
      <c r="W29" s="196" t="s">
        <v>82</v>
      </c>
    </row>
    <row r="30" spans="1:23" x14ac:dyDescent="0.3">
      <c r="A30" s="72" t="s">
        <v>342</v>
      </c>
      <c r="B30" s="72"/>
      <c r="C30" s="72" t="s">
        <v>318</v>
      </c>
      <c r="D30" s="72" t="s">
        <v>226</v>
      </c>
      <c r="E30" s="196"/>
      <c r="F30" s="72" t="s">
        <v>226</v>
      </c>
      <c r="G30" s="72" t="s">
        <v>319</v>
      </c>
      <c r="H30" s="72" t="s">
        <v>226</v>
      </c>
      <c r="I30" s="196" t="s">
        <v>77</v>
      </c>
      <c r="J30" s="72" t="s">
        <v>226</v>
      </c>
      <c r="K30" s="196" t="s">
        <v>261</v>
      </c>
      <c r="L30" s="72" t="s">
        <v>226</v>
      </c>
      <c r="M30" s="195">
        <v>10</v>
      </c>
      <c r="N30" s="72" t="s">
        <v>226</v>
      </c>
      <c r="O30" s="195">
        <v>13369</v>
      </c>
      <c r="P30" s="72" t="s">
        <v>226</v>
      </c>
      <c r="Q30" s="196" t="s">
        <v>342</v>
      </c>
      <c r="R30" s="72" t="s">
        <v>226</v>
      </c>
      <c r="S30" s="196" t="s">
        <v>78</v>
      </c>
      <c r="T30" s="72" t="s">
        <v>226</v>
      </c>
      <c r="U30" s="195">
        <v>2</v>
      </c>
      <c r="V30" s="72" t="s">
        <v>226</v>
      </c>
      <c r="W30" s="196" t="s">
        <v>76</v>
      </c>
    </row>
    <row r="31" spans="1:23" x14ac:dyDescent="0.3">
      <c r="A31" s="72" t="s">
        <v>341</v>
      </c>
      <c r="B31" s="72"/>
      <c r="C31" s="72" t="s">
        <v>318</v>
      </c>
      <c r="D31" s="72" t="s">
        <v>226</v>
      </c>
      <c r="E31" s="196"/>
      <c r="F31" s="72" t="s">
        <v>226</v>
      </c>
      <c r="G31" s="72" t="s">
        <v>319</v>
      </c>
      <c r="H31" s="72" t="s">
        <v>226</v>
      </c>
      <c r="I31" s="196" t="s">
        <v>77</v>
      </c>
      <c r="J31" s="72" t="s">
        <v>226</v>
      </c>
      <c r="K31" s="196" t="s">
        <v>259</v>
      </c>
      <c r="L31" s="72" t="s">
        <v>226</v>
      </c>
      <c r="M31" s="195">
        <v>10</v>
      </c>
      <c r="N31" s="72" t="s">
        <v>226</v>
      </c>
      <c r="O31" s="195">
        <v>0</v>
      </c>
      <c r="P31" s="72" t="s">
        <v>226</v>
      </c>
      <c r="Q31" s="196" t="s">
        <v>341</v>
      </c>
      <c r="R31" s="72" t="s">
        <v>226</v>
      </c>
      <c r="S31" s="196" t="s">
        <v>78</v>
      </c>
      <c r="T31" s="72" t="s">
        <v>226</v>
      </c>
      <c r="U31" s="195">
        <v>2</v>
      </c>
      <c r="V31" s="72" t="s">
        <v>226</v>
      </c>
      <c r="W31" s="196" t="s">
        <v>76</v>
      </c>
    </row>
    <row r="32" spans="1:23" x14ac:dyDescent="0.3">
      <c r="A32" s="72" t="s">
        <v>153</v>
      </c>
      <c r="B32" s="72"/>
      <c r="C32" s="72" t="s">
        <v>318</v>
      </c>
      <c r="D32" s="72" t="s">
        <v>226</v>
      </c>
      <c r="E32" s="196"/>
      <c r="F32" s="72" t="s">
        <v>226</v>
      </c>
      <c r="G32" s="72" t="s">
        <v>319</v>
      </c>
      <c r="H32" s="72" t="s">
        <v>226</v>
      </c>
      <c r="I32" s="196" t="s">
        <v>77</v>
      </c>
      <c r="J32" s="72" t="s">
        <v>226</v>
      </c>
      <c r="K32" s="196" t="s">
        <v>263</v>
      </c>
      <c r="L32" s="72" t="s">
        <v>226</v>
      </c>
      <c r="M32" s="195">
        <v>10</v>
      </c>
      <c r="N32" s="72" t="s">
        <v>226</v>
      </c>
      <c r="O32" s="195">
        <v>17437</v>
      </c>
      <c r="P32" s="72" t="s">
        <v>226</v>
      </c>
      <c r="Q32" s="196" t="s">
        <v>153</v>
      </c>
      <c r="R32" s="72" t="s">
        <v>226</v>
      </c>
      <c r="S32" s="196" t="s">
        <v>78</v>
      </c>
      <c r="T32" s="72" t="s">
        <v>226</v>
      </c>
      <c r="U32" s="195">
        <v>2</v>
      </c>
      <c r="V32" s="72" t="s">
        <v>226</v>
      </c>
      <c r="W32" s="196" t="s">
        <v>76</v>
      </c>
    </row>
    <row r="33" spans="1:23" x14ac:dyDescent="0.3">
      <c r="A33" s="72" t="s">
        <v>51</v>
      </c>
      <c r="B33" s="72"/>
      <c r="C33" s="72" t="s">
        <v>318</v>
      </c>
      <c r="D33" s="72" t="s">
        <v>226</v>
      </c>
      <c r="E33" s="196"/>
      <c r="F33" s="72" t="s">
        <v>226</v>
      </c>
      <c r="G33" s="72" t="s">
        <v>319</v>
      </c>
      <c r="H33" s="72" t="s">
        <v>226</v>
      </c>
      <c r="I33" s="196" t="s">
        <v>154</v>
      </c>
      <c r="J33" s="72" t="s">
        <v>226</v>
      </c>
      <c r="K33" s="196" t="s">
        <v>264</v>
      </c>
      <c r="L33" s="72" t="s">
        <v>226</v>
      </c>
      <c r="M33" s="195">
        <v>10</v>
      </c>
      <c r="N33" s="72" t="s">
        <v>226</v>
      </c>
      <c r="O33" s="195">
        <v>0</v>
      </c>
      <c r="P33" s="72" t="s">
        <v>226</v>
      </c>
      <c r="Q33" s="196" t="s">
        <v>51</v>
      </c>
      <c r="R33" s="72" t="s">
        <v>226</v>
      </c>
      <c r="S33" s="196" t="s">
        <v>142</v>
      </c>
      <c r="T33" s="72" t="s">
        <v>226</v>
      </c>
      <c r="U33" s="195">
        <v>2</v>
      </c>
      <c r="V33" s="72" t="s">
        <v>226</v>
      </c>
      <c r="W33" s="196" t="s">
        <v>76</v>
      </c>
    </row>
    <row r="34" spans="1:23" x14ac:dyDescent="0.3">
      <c r="A34" s="72" t="s">
        <v>343</v>
      </c>
      <c r="B34" s="72"/>
      <c r="C34" s="72" t="s">
        <v>318</v>
      </c>
      <c r="D34" s="72" t="s">
        <v>226</v>
      </c>
      <c r="E34" s="196"/>
      <c r="F34" s="72" t="s">
        <v>226</v>
      </c>
      <c r="G34" s="72" t="s">
        <v>319</v>
      </c>
      <c r="H34" s="72" t="s">
        <v>226</v>
      </c>
      <c r="I34" s="196" t="s">
        <v>132</v>
      </c>
      <c r="J34" s="72" t="s">
        <v>226</v>
      </c>
      <c r="K34" s="196" t="s">
        <v>265</v>
      </c>
      <c r="L34" s="72" t="s">
        <v>226</v>
      </c>
      <c r="M34" s="195">
        <v>10</v>
      </c>
      <c r="N34" s="72" t="s">
        <v>226</v>
      </c>
      <c r="O34" s="195">
        <v>20313</v>
      </c>
      <c r="P34" s="72" t="s">
        <v>226</v>
      </c>
      <c r="Q34" s="196" t="s">
        <v>343</v>
      </c>
      <c r="R34" s="72" t="s">
        <v>226</v>
      </c>
      <c r="S34" s="196" t="s">
        <v>133</v>
      </c>
      <c r="T34" s="72" t="s">
        <v>226</v>
      </c>
      <c r="U34" s="195">
        <v>2</v>
      </c>
      <c r="V34" s="72" t="s">
        <v>226</v>
      </c>
      <c r="W34" s="196" t="s">
        <v>76</v>
      </c>
    </row>
    <row r="35" spans="1:23" x14ac:dyDescent="0.3">
      <c r="A35" s="72" t="s">
        <v>52</v>
      </c>
      <c r="B35" s="72"/>
      <c r="C35" s="72" t="s">
        <v>318</v>
      </c>
      <c r="D35" s="72" t="s">
        <v>226</v>
      </c>
      <c r="E35" s="196"/>
      <c r="F35" s="72" t="s">
        <v>226</v>
      </c>
      <c r="G35" s="72" t="s">
        <v>319</v>
      </c>
      <c r="H35" s="72" t="s">
        <v>226</v>
      </c>
      <c r="I35" s="196" t="s">
        <v>130</v>
      </c>
      <c r="J35" s="72" t="s">
        <v>226</v>
      </c>
      <c r="K35" s="196" t="s">
        <v>266</v>
      </c>
      <c r="L35" s="72" t="s">
        <v>226</v>
      </c>
      <c r="M35" s="195">
        <v>10</v>
      </c>
      <c r="N35" s="72" t="s">
        <v>226</v>
      </c>
      <c r="O35" s="195">
        <v>13422</v>
      </c>
      <c r="P35" s="72" t="s">
        <v>226</v>
      </c>
      <c r="Q35" s="196" t="s">
        <v>52</v>
      </c>
      <c r="R35" s="72" t="s">
        <v>226</v>
      </c>
      <c r="S35" s="196" t="s">
        <v>78</v>
      </c>
      <c r="T35" s="72" t="s">
        <v>226</v>
      </c>
      <c r="U35" s="195">
        <v>2</v>
      </c>
      <c r="V35" s="72" t="s">
        <v>226</v>
      </c>
      <c r="W35" s="196" t="s">
        <v>116</v>
      </c>
    </row>
    <row r="36" spans="1:23" x14ac:dyDescent="0.3">
      <c r="A36" s="72" t="s">
        <v>53</v>
      </c>
      <c r="B36" s="72"/>
      <c r="C36" s="72" t="s">
        <v>318</v>
      </c>
      <c r="D36" s="72" t="s">
        <v>226</v>
      </c>
      <c r="E36" s="196"/>
      <c r="F36" s="72" t="s">
        <v>226</v>
      </c>
      <c r="G36" s="72" t="s">
        <v>319</v>
      </c>
      <c r="H36" s="72" t="s">
        <v>226</v>
      </c>
      <c r="I36" s="196" t="s">
        <v>77</v>
      </c>
      <c r="J36" s="72" t="s">
        <v>226</v>
      </c>
      <c r="K36" s="196" t="s">
        <v>267</v>
      </c>
      <c r="L36" s="72" t="s">
        <v>226</v>
      </c>
      <c r="M36" s="195">
        <v>10</v>
      </c>
      <c r="N36" s="72" t="s">
        <v>226</v>
      </c>
      <c r="O36" s="195">
        <v>7204</v>
      </c>
      <c r="P36" s="72" t="s">
        <v>226</v>
      </c>
      <c r="Q36" s="196" t="s">
        <v>53</v>
      </c>
      <c r="R36" s="72" t="s">
        <v>226</v>
      </c>
      <c r="S36" s="196" t="s">
        <v>78</v>
      </c>
      <c r="T36" s="72" t="s">
        <v>226</v>
      </c>
      <c r="U36" s="195">
        <v>2</v>
      </c>
      <c r="V36" s="72" t="s">
        <v>226</v>
      </c>
      <c r="W36" s="196" t="s">
        <v>76</v>
      </c>
    </row>
  </sheetData>
  <sheetProtection sheet="1" objects="1" scenarios="1"/>
  <pageMargins left="0.7" right="0.7" top="0.75" bottom="0.75" header="0.3" footer="0.3"/>
  <pageSetup scale="4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AB872-0E6F-4414-A93A-FC602BF55C7C}">
  <sheetPr codeName="Sheet9">
    <tabColor theme="8" tint="0.59999389629810485"/>
    <pageSetUpPr fitToPage="1"/>
  </sheetPr>
  <dimension ref="A1:W8"/>
  <sheetViews>
    <sheetView workbookViewId="0">
      <selection activeCell="K15" sqref="K15"/>
    </sheetView>
  </sheetViews>
  <sheetFormatPr defaultColWidth="8.77734375" defaultRowHeight="14.4" x14ac:dyDescent="0.3"/>
  <cols>
    <col min="1" max="1" width="16.109375" bestFit="1" customWidth="1"/>
    <col min="2" max="2" width="4.77734375" bestFit="1" customWidth="1"/>
    <col min="3" max="3" width="14.33203125" bestFit="1" customWidth="1"/>
    <col min="4" max="4" width="2" bestFit="1" customWidth="1"/>
    <col min="5" max="5" width="20.109375" style="77" bestFit="1" customWidth="1"/>
    <col min="6" max="6" width="2" bestFit="1" customWidth="1"/>
    <col min="7" max="7" width="27.44140625" bestFit="1" customWidth="1"/>
    <col min="8" max="8" width="2" bestFit="1" customWidth="1"/>
    <col min="9" max="9" width="12.6640625" style="77" bestFit="1" customWidth="1"/>
    <col min="10" max="10" width="2" bestFit="1" customWidth="1"/>
    <col min="11" max="11" width="13.109375" style="77" bestFit="1" customWidth="1"/>
    <col min="12" max="12" width="2" bestFit="1" customWidth="1"/>
    <col min="13" max="13" width="3" style="68" bestFit="1" customWidth="1"/>
    <col min="14" max="14" width="2" bestFit="1" customWidth="1"/>
    <col min="15" max="15" width="21" style="68" bestFit="1" customWidth="1"/>
    <col min="16" max="16" width="2" bestFit="1" customWidth="1"/>
    <col min="17" max="17" width="19.33203125" style="77" bestFit="1" customWidth="1"/>
    <col min="18" max="18" width="2" bestFit="1" customWidth="1"/>
    <col min="19" max="19" width="26.109375" style="77" bestFit="1" customWidth="1"/>
    <col min="20" max="20" width="2" bestFit="1" customWidth="1"/>
    <col min="21" max="21" width="2" style="68" bestFit="1" customWidth="1"/>
    <col min="22" max="22" width="2" bestFit="1" customWidth="1"/>
    <col min="23" max="23" width="23.6640625" style="77" bestFit="1" customWidth="1"/>
  </cols>
  <sheetData>
    <row r="1" spans="1:23" x14ac:dyDescent="0.3">
      <c r="A1" s="100" t="s">
        <v>351</v>
      </c>
      <c r="B1" s="100"/>
      <c r="C1" s="100" t="s">
        <v>315</v>
      </c>
      <c r="D1" s="100" t="s">
        <v>226</v>
      </c>
      <c r="E1" s="198" t="s">
        <v>316</v>
      </c>
      <c r="F1" s="100" t="s">
        <v>226</v>
      </c>
      <c r="G1" s="100" t="s">
        <v>317</v>
      </c>
      <c r="H1" s="100" t="s">
        <v>226</v>
      </c>
      <c r="I1" s="198" t="s">
        <v>30</v>
      </c>
      <c r="J1" s="100" t="s">
        <v>226</v>
      </c>
      <c r="K1" s="198" t="s">
        <v>29</v>
      </c>
      <c r="L1" s="100" t="s">
        <v>226</v>
      </c>
      <c r="M1" s="197">
        <v>10</v>
      </c>
      <c r="N1" s="100" t="s">
        <v>226</v>
      </c>
      <c r="O1" s="197" t="s">
        <v>230</v>
      </c>
      <c r="P1" s="100" t="s">
        <v>226</v>
      </c>
      <c r="Q1" s="198" t="s">
        <v>227</v>
      </c>
      <c r="R1" s="100" t="s">
        <v>226</v>
      </c>
      <c r="S1" s="198" t="s">
        <v>228</v>
      </c>
      <c r="T1" s="100" t="s">
        <v>226</v>
      </c>
      <c r="U1" s="197">
        <v>2</v>
      </c>
      <c r="V1" s="100" t="s">
        <v>226</v>
      </c>
      <c r="W1" s="198" t="s">
        <v>229</v>
      </c>
    </row>
    <row r="2" spans="1:23" x14ac:dyDescent="0.3">
      <c r="A2" s="72" t="s">
        <v>91</v>
      </c>
      <c r="B2" s="72"/>
      <c r="C2" s="72" t="s">
        <v>318</v>
      </c>
      <c r="D2" s="72" t="s">
        <v>226</v>
      </c>
      <c r="E2" s="196"/>
      <c r="F2" s="72" t="s">
        <v>226</v>
      </c>
      <c r="G2" s="72" t="s">
        <v>319</v>
      </c>
      <c r="H2" s="72" t="s">
        <v>226</v>
      </c>
      <c r="I2" s="196" t="s">
        <v>143</v>
      </c>
      <c r="J2" s="72" t="s">
        <v>226</v>
      </c>
      <c r="K2" s="196" t="s">
        <v>276</v>
      </c>
      <c r="L2" s="72" t="s">
        <v>226</v>
      </c>
      <c r="M2" s="195">
        <v>10</v>
      </c>
      <c r="N2" s="72" t="s">
        <v>226</v>
      </c>
      <c r="O2" s="195">
        <v>40250</v>
      </c>
      <c r="P2" s="72" t="s">
        <v>226</v>
      </c>
      <c r="Q2" s="196" t="s">
        <v>91</v>
      </c>
      <c r="R2" s="72" t="s">
        <v>226</v>
      </c>
      <c r="S2" s="196" t="s">
        <v>115</v>
      </c>
      <c r="T2" s="72" t="s">
        <v>226</v>
      </c>
      <c r="U2" s="195">
        <v>2</v>
      </c>
      <c r="V2" s="72" t="s">
        <v>226</v>
      </c>
      <c r="W2" s="196" t="s">
        <v>76</v>
      </c>
    </row>
    <row r="3" spans="1:23" x14ac:dyDescent="0.3">
      <c r="A3" s="72" t="s">
        <v>93</v>
      </c>
      <c r="B3" s="72"/>
      <c r="C3" s="72" t="s">
        <v>318</v>
      </c>
      <c r="D3" s="72" t="s">
        <v>226</v>
      </c>
      <c r="E3" s="196"/>
      <c r="F3" s="72" t="s">
        <v>226</v>
      </c>
      <c r="G3" s="72" t="s">
        <v>319</v>
      </c>
      <c r="H3" s="72" t="s">
        <v>226</v>
      </c>
      <c r="I3" s="196" t="s">
        <v>121</v>
      </c>
      <c r="J3" s="72" t="s">
        <v>226</v>
      </c>
      <c r="K3" s="196" t="s">
        <v>269</v>
      </c>
      <c r="L3" s="72" t="s">
        <v>226</v>
      </c>
      <c r="M3" s="195">
        <v>10</v>
      </c>
      <c r="N3" s="72" t="s">
        <v>226</v>
      </c>
      <c r="O3" s="195">
        <v>64826</v>
      </c>
      <c r="P3" s="72" t="s">
        <v>226</v>
      </c>
      <c r="Q3" s="196" t="s">
        <v>93</v>
      </c>
      <c r="R3" s="72" t="s">
        <v>226</v>
      </c>
      <c r="S3" s="196" t="s">
        <v>122</v>
      </c>
      <c r="T3" s="72" t="s">
        <v>226</v>
      </c>
      <c r="U3" s="195">
        <v>2</v>
      </c>
      <c r="V3" s="72" t="s">
        <v>226</v>
      </c>
      <c r="W3" s="196" t="s">
        <v>116</v>
      </c>
    </row>
    <row r="4" spans="1:23" x14ac:dyDescent="0.3">
      <c r="A4" s="72" t="s">
        <v>95</v>
      </c>
      <c r="B4" s="72"/>
      <c r="C4" s="72" t="s">
        <v>318</v>
      </c>
      <c r="D4" s="72" t="s">
        <v>226</v>
      </c>
      <c r="E4" s="196"/>
      <c r="F4" s="72" t="s">
        <v>226</v>
      </c>
      <c r="G4" s="72" t="s">
        <v>319</v>
      </c>
      <c r="H4" s="72" t="s">
        <v>226</v>
      </c>
      <c r="I4" s="196" t="s">
        <v>119</v>
      </c>
      <c r="J4" s="72" t="s">
        <v>226</v>
      </c>
      <c r="K4" s="196" t="s">
        <v>270</v>
      </c>
      <c r="L4" s="72" t="s">
        <v>226</v>
      </c>
      <c r="M4" s="195">
        <v>10</v>
      </c>
      <c r="N4" s="72" t="s">
        <v>226</v>
      </c>
      <c r="O4" s="195">
        <v>9937</v>
      </c>
      <c r="P4" s="72" t="s">
        <v>226</v>
      </c>
      <c r="Q4" s="196" t="s">
        <v>95</v>
      </c>
      <c r="R4" s="72" t="s">
        <v>226</v>
      </c>
      <c r="S4" s="196" t="s">
        <v>120</v>
      </c>
      <c r="T4" s="72" t="s">
        <v>226</v>
      </c>
      <c r="U4" s="195">
        <v>2</v>
      </c>
      <c r="V4" s="72" t="s">
        <v>226</v>
      </c>
      <c r="W4" s="196" t="s">
        <v>112</v>
      </c>
    </row>
    <row r="5" spans="1:23" x14ac:dyDescent="0.3">
      <c r="A5" s="72" t="s">
        <v>97</v>
      </c>
      <c r="B5" s="72"/>
      <c r="C5" s="72" t="s">
        <v>318</v>
      </c>
      <c r="D5" s="72" t="s">
        <v>226</v>
      </c>
      <c r="E5" s="196"/>
      <c r="F5" s="72" t="s">
        <v>226</v>
      </c>
      <c r="G5" s="72" t="s">
        <v>319</v>
      </c>
      <c r="H5" s="72" t="s">
        <v>226</v>
      </c>
      <c r="I5" s="196" t="s">
        <v>113</v>
      </c>
      <c r="J5" s="72" t="s">
        <v>226</v>
      </c>
      <c r="K5" s="196" t="s">
        <v>271</v>
      </c>
      <c r="L5" s="72" t="s">
        <v>226</v>
      </c>
      <c r="M5" s="195">
        <v>10</v>
      </c>
      <c r="N5" s="72" t="s">
        <v>226</v>
      </c>
      <c r="O5" s="195">
        <v>24086</v>
      </c>
      <c r="P5" s="72" t="s">
        <v>226</v>
      </c>
      <c r="Q5" s="196" t="s">
        <v>97</v>
      </c>
      <c r="R5" s="72" t="s">
        <v>226</v>
      </c>
      <c r="S5" s="196" t="s">
        <v>114</v>
      </c>
      <c r="T5" s="72" t="s">
        <v>226</v>
      </c>
      <c r="U5" s="195">
        <v>2</v>
      </c>
      <c r="V5" s="72" t="s">
        <v>226</v>
      </c>
      <c r="W5" s="196" t="s">
        <v>112</v>
      </c>
    </row>
    <row r="6" spans="1:23" x14ac:dyDescent="0.3">
      <c r="A6" s="72" t="s">
        <v>102</v>
      </c>
      <c r="B6" s="72"/>
      <c r="C6" s="72" t="s">
        <v>318</v>
      </c>
      <c r="D6" s="72" t="s">
        <v>226</v>
      </c>
      <c r="E6" s="196"/>
      <c r="F6" s="72" t="s">
        <v>226</v>
      </c>
      <c r="G6" s="72" t="s">
        <v>319</v>
      </c>
      <c r="H6" s="72" t="s">
        <v>226</v>
      </c>
      <c r="I6" s="196" t="s">
        <v>77</v>
      </c>
      <c r="J6" s="72" t="s">
        <v>226</v>
      </c>
      <c r="K6" s="196" t="s">
        <v>274</v>
      </c>
      <c r="L6" s="72" t="s">
        <v>226</v>
      </c>
      <c r="M6" s="195">
        <v>10</v>
      </c>
      <c r="N6" s="72" t="s">
        <v>226</v>
      </c>
      <c r="O6" s="195">
        <v>15200</v>
      </c>
      <c r="P6" s="72" t="s">
        <v>226</v>
      </c>
      <c r="Q6" s="196" t="s">
        <v>104</v>
      </c>
      <c r="R6" s="72" t="s">
        <v>226</v>
      </c>
      <c r="S6" s="196" t="s">
        <v>78</v>
      </c>
      <c r="T6" s="72" t="s">
        <v>226</v>
      </c>
      <c r="U6" s="195">
        <v>2</v>
      </c>
      <c r="V6" s="72" t="s">
        <v>226</v>
      </c>
      <c r="W6" s="196" t="s">
        <v>76</v>
      </c>
    </row>
    <row r="7" spans="1:23" x14ac:dyDescent="0.3">
      <c r="A7" s="72" t="s">
        <v>105</v>
      </c>
      <c r="B7" s="72"/>
      <c r="C7" s="72" t="s">
        <v>318</v>
      </c>
      <c r="D7" s="72" t="s">
        <v>226</v>
      </c>
      <c r="E7" s="196"/>
      <c r="F7" s="72" t="s">
        <v>226</v>
      </c>
      <c r="G7" s="72" t="s">
        <v>319</v>
      </c>
      <c r="H7" s="72" t="s">
        <v>226</v>
      </c>
      <c r="I7" s="196" t="s">
        <v>113</v>
      </c>
      <c r="J7" s="72" t="s">
        <v>226</v>
      </c>
      <c r="K7" s="196" t="s">
        <v>275</v>
      </c>
      <c r="L7" s="72" t="s">
        <v>226</v>
      </c>
      <c r="M7" s="195">
        <v>10</v>
      </c>
      <c r="N7" s="72" t="s">
        <v>226</v>
      </c>
      <c r="O7" s="195">
        <v>14000</v>
      </c>
      <c r="P7" s="72" t="s">
        <v>226</v>
      </c>
      <c r="Q7" s="196" t="s">
        <v>105</v>
      </c>
      <c r="R7" s="72" t="s">
        <v>226</v>
      </c>
      <c r="S7" s="196" t="s">
        <v>114</v>
      </c>
      <c r="T7" s="72" t="s">
        <v>226</v>
      </c>
      <c r="U7" s="195">
        <v>2</v>
      </c>
      <c r="V7" s="72" t="s">
        <v>226</v>
      </c>
      <c r="W7" s="196" t="s">
        <v>112</v>
      </c>
    </row>
    <row r="8" spans="1:23" x14ac:dyDescent="0.3">
      <c r="A8" s="72" t="s">
        <v>107</v>
      </c>
      <c r="B8" s="72"/>
      <c r="C8" s="72" t="s">
        <v>318</v>
      </c>
      <c r="D8" s="72" t="s">
        <v>226</v>
      </c>
      <c r="E8" s="196"/>
      <c r="F8" s="72" t="s">
        <v>226</v>
      </c>
      <c r="G8" s="72" t="s">
        <v>319</v>
      </c>
      <c r="H8" s="72" t="s">
        <v>226</v>
      </c>
      <c r="I8" s="196" t="s">
        <v>83</v>
      </c>
      <c r="J8" s="72" t="s">
        <v>226</v>
      </c>
      <c r="K8" s="196" t="s">
        <v>277</v>
      </c>
      <c r="L8" s="72" t="s">
        <v>226</v>
      </c>
      <c r="M8" s="195">
        <v>10</v>
      </c>
      <c r="N8" s="72" t="s">
        <v>226</v>
      </c>
      <c r="O8" s="195">
        <v>21500</v>
      </c>
      <c r="P8" s="72" t="s">
        <v>226</v>
      </c>
      <c r="Q8" s="196" t="s">
        <v>107</v>
      </c>
      <c r="R8" s="72" t="s">
        <v>226</v>
      </c>
      <c r="S8" s="196" t="s">
        <v>78</v>
      </c>
      <c r="T8" s="72" t="s">
        <v>226</v>
      </c>
      <c r="U8" s="195">
        <v>2</v>
      </c>
      <c r="V8" s="72" t="s">
        <v>226</v>
      </c>
      <c r="W8" s="196" t="s">
        <v>131</v>
      </c>
    </row>
  </sheetData>
  <sheetProtection sheet="1" objects="1" scenarios="1"/>
  <pageMargins left="0.7" right="0.7" top="0.75" bottom="0.75" header="0.3" footer="0.3"/>
  <pageSetup scale="4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803A-1E69-46A4-9718-832EECD3B20C}">
  <sheetPr codeName="Sheet5">
    <tabColor theme="7" tint="0.39997558519241921"/>
  </sheetPr>
  <dimension ref="A1:P36"/>
  <sheetViews>
    <sheetView zoomScale="115" zoomScaleNormal="115" workbookViewId="0">
      <selection activeCell="D10" sqref="D10"/>
    </sheetView>
  </sheetViews>
  <sheetFormatPr defaultColWidth="8.77734375" defaultRowHeight="14.4" outlineLevelCol="2" x14ac:dyDescent="0.3"/>
  <cols>
    <col min="2" max="2" width="21.6640625" customWidth="1"/>
    <col min="3" max="3" width="13.109375" customWidth="1"/>
    <col min="4" max="4" width="13.33203125" customWidth="1"/>
    <col min="5" max="5" width="13.109375" customWidth="1"/>
    <col min="6" max="7" width="11.33203125" customWidth="1" outlineLevel="1"/>
    <col min="8" max="8" width="15.6640625" customWidth="1" outlineLevel="1"/>
    <col min="9" max="10" width="21.33203125" customWidth="1" outlineLevel="1"/>
    <col min="11" max="11" width="17.44140625" customWidth="1" outlineLevel="2"/>
    <col min="12" max="12" width="25.33203125" customWidth="1" outlineLevel="2"/>
    <col min="13" max="13" width="28.6640625" bestFit="1" customWidth="1"/>
    <col min="14" max="14" width="28.33203125" bestFit="1" customWidth="1"/>
    <col min="15" max="15" width="21.33203125" customWidth="1"/>
  </cols>
  <sheetData>
    <row r="1" spans="1:16" ht="34.950000000000003" customHeight="1" thickBot="1" x14ac:dyDescent="0.35">
      <c r="B1" s="1"/>
    </row>
    <row r="2" spans="1:16" ht="29.4" thickBot="1" x14ac:dyDescent="0.35">
      <c r="A2" s="172" t="s">
        <v>21</v>
      </c>
      <c r="B2" s="172" t="s">
        <v>22</v>
      </c>
      <c r="C2" s="173" t="s">
        <v>487</v>
      </c>
      <c r="D2" s="200" t="s">
        <v>539</v>
      </c>
      <c r="E2" s="174" t="s">
        <v>24</v>
      </c>
      <c r="F2" s="174" t="s">
        <v>488</v>
      </c>
      <c r="G2" s="285" t="s">
        <v>801</v>
      </c>
      <c r="H2" s="173" t="s">
        <v>87</v>
      </c>
      <c r="I2" s="87" t="s">
        <v>351</v>
      </c>
      <c r="J2" s="2" t="s">
        <v>30</v>
      </c>
      <c r="K2" s="2" t="s">
        <v>29</v>
      </c>
      <c r="L2" s="2" t="s">
        <v>230</v>
      </c>
      <c r="M2" s="2" t="s">
        <v>227</v>
      </c>
      <c r="N2" s="2" t="s">
        <v>228</v>
      </c>
      <c r="O2" s="2" t="s">
        <v>229</v>
      </c>
      <c r="P2" s="89" t="s">
        <v>1630</v>
      </c>
    </row>
    <row r="3" spans="1:16" x14ac:dyDescent="0.3">
      <c r="A3" s="175">
        <v>1</v>
      </c>
      <c r="B3" s="393" t="s">
        <v>330</v>
      </c>
      <c r="C3" s="394">
        <v>14005</v>
      </c>
      <c r="D3" s="270"/>
      <c r="E3" s="268"/>
      <c r="F3" s="268"/>
      <c r="G3" s="268"/>
      <c r="H3" s="395">
        <f>[1]!Operators[[#This Row],['#Calculated Amount]]+[1]!Operators[[#This Row],[Payment Addition]]-[1]!Operators[[#This Row],[Monthly Deductions]]-[1]!Operators[[#This Row],[salary deductions]]-[1]!Operators[[#This Row],[Hold salary]]</f>
        <v>14005</v>
      </c>
      <c r="I3" s="393" t="s">
        <v>330</v>
      </c>
      <c r="J3" s="2" t="str">
        <f>_xlfn.XLOOKUP([1]!Operators[[#This Row],[EMP NAME]],[1]!Operator_Bank[Emp Name],[1]!Operator_Bank[IFSC CODE])</f>
        <v>IDIB000S023</v>
      </c>
      <c r="K3" s="2" t="str">
        <f>_xlfn.XLOOKUP([1]!Operators[[#This Row],[EMP NAME]],[1]!Operator_Bank[Emp Name],[1]!Operator_Bank[ACCOUNT NO])</f>
        <v>6473272520</v>
      </c>
      <c r="L3" s="2">
        <f>[1]!Operators[[#This Row],[Earned Salary]]</f>
        <v>14005</v>
      </c>
      <c r="M3" s="2" t="str">
        <f>_xlfn.XLOOKUP([1]!Operators[[#This Row],[EMP NAME]],[1]!Operator_Bank[Emp Name],[1]!Operator_Bank[Account Name])</f>
        <v>AMBIKA N</v>
      </c>
      <c r="N3" s="2" t="str">
        <f>_xlfn.XLOOKUP([1]!Operators[[#This Row],[EMP NAME]],[1]!Operator_Bank[Emp Name],[1]!Operator_Bank[Branch])</f>
        <v>SHOOLAGIRI</v>
      </c>
      <c r="O3" s="400" t="str">
        <f>_xlfn.XLOOKUP([1]!Operators[[#This Row],[EMP NAME]],[1]!Operator_Bank[Emp Name],[1]!Operator_Bank[BANK NAME])</f>
        <v>INDIAN BANK</v>
      </c>
    </row>
    <row r="4" spans="1:16" x14ac:dyDescent="0.3">
      <c r="A4" s="175">
        <v>2</v>
      </c>
      <c r="B4" s="270" t="s">
        <v>32</v>
      </c>
      <c r="C4" s="396">
        <v>18150</v>
      </c>
      <c r="D4" s="270"/>
      <c r="E4" s="268"/>
      <c r="F4" s="268"/>
      <c r="G4" s="268"/>
      <c r="H4" s="395">
        <f>[1]!Operators[[#This Row],['#Calculated Amount]]+[1]!Operators[[#This Row],[Payment Addition]]-[1]!Operators[[#This Row],[Monthly Deductions]]-[1]!Operators[[#This Row],[salary deductions]]-[1]!Operators[[#This Row],[Hold salary]]</f>
        <v>18150</v>
      </c>
      <c r="I4" s="270" t="s">
        <v>32</v>
      </c>
      <c r="J4" s="2" t="str">
        <f>_xlfn.XLOOKUP([1]!Operators[[#This Row],[EMP NAME]],[1]!Operator_Bank[Emp Name],[1]!Operator_Bank[IFSC CODE])</f>
        <v>IDIB0PLB001</v>
      </c>
      <c r="K4" s="2" t="str">
        <f>_xlfn.XLOOKUP([1]!Operators[[#This Row],[EMP NAME]],[1]!Operator_Bank[Emp Name],[1]!Operator_Bank[ACCOUNT NO])</f>
        <v>10134337472</v>
      </c>
      <c r="L4" s="2">
        <f>[1]!Operators[[#This Row],[Earned Salary]]</f>
        <v>18150</v>
      </c>
      <c r="M4" s="2" t="str">
        <f>_xlfn.XLOOKUP([1]!Operators[[#This Row],[EMP NAME]],[1]!Operator_Bank[Emp Name],[1]!Operator_Bank[Account Name])</f>
        <v>ANANDAN</v>
      </c>
      <c r="N4" s="2" t="str">
        <f>_xlfn.XLOOKUP([1]!Operators[[#This Row],[EMP NAME]],[1]!Operator_Bank[Emp Name],[1]!Operator_Bank[Branch])</f>
        <v>SHOOLAGIRI</v>
      </c>
      <c r="O4" s="400" t="str">
        <f>_xlfn.XLOOKUP([1]!Operators[[#This Row],[EMP NAME]],[1]!Operator_Bank[Emp Name],[1]!Operator_Bank[BANK NAME])</f>
        <v>TAMIL NADU GRAMA BANK</v>
      </c>
    </row>
    <row r="5" spans="1:16" x14ac:dyDescent="0.3">
      <c r="A5" s="175">
        <v>3</v>
      </c>
      <c r="B5" s="270" t="s">
        <v>34</v>
      </c>
      <c r="C5" s="396">
        <v>21569</v>
      </c>
      <c r="D5" s="270"/>
      <c r="E5" s="271"/>
      <c r="F5" s="271"/>
      <c r="G5" s="271"/>
      <c r="H5" s="395">
        <f>[1]!Operators[[#This Row],['#Calculated Amount]]+[1]!Operators[[#This Row],[Payment Addition]]-[1]!Operators[[#This Row],[Monthly Deductions]]-[1]!Operators[[#This Row],[salary deductions]]-[1]!Operators[[#This Row],[Hold salary]]</f>
        <v>21569</v>
      </c>
      <c r="I5" s="270" t="s">
        <v>34</v>
      </c>
      <c r="J5" s="2" t="str">
        <f>_xlfn.XLOOKUP([1]!Operators[[#This Row],[EMP NAME]],[1]!Operator_Bank[Emp Name],[1]!Operator_Bank[IFSC CODE])</f>
        <v>KVBL0001279</v>
      </c>
      <c r="K5" s="2" t="str">
        <f>_xlfn.XLOOKUP([1]!Operators[[#This Row],[EMP NAME]],[1]!Operator_Bank[Emp Name],[1]!Operator_Bank[ACCOUNT NO])</f>
        <v>1279166000003491</v>
      </c>
      <c r="L5" s="2">
        <f>[1]!Operators[[#This Row],[Earned Salary]]</f>
        <v>21569</v>
      </c>
      <c r="M5" s="2" t="str">
        <f>_xlfn.XLOOKUP([1]!Operators[[#This Row],[EMP NAME]],[1]!Operator_Bank[Emp Name],[1]!Operator_Bank[Account Name])</f>
        <v>BASKAR</v>
      </c>
      <c r="N5" s="2" t="str">
        <f>_xlfn.XLOOKUP([1]!Operators[[#This Row],[EMP NAME]],[1]!Operator_Bank[Emp Name],[1]!Operator_Bank[Branch])</f>
        <v>SOMANUR</v>
      </c>
      <c r="O5" s="400" t="str">
        <f>_xlfn.XLOOKUP([1]!Operators[[#This Row],[EMP NAME]],[1]!Operator_Bank[Emp Name],[1]!Operator_Bank[BANK NAME])</f>
        <v>KARUR VYSYA BANK</v>
      </c>
    </row>
    <row r="6" spans="1:16" x14ac:dyDescent="0.3">
      <c r="A6" s="175">
        <v>4</v>
      </c>
      <c r="B6" s="270" t="s">
        <v>35</v>
      </c>
      <c r="C6" s="396">
        <v>14656</v>
      </c>
      <c r="D6" s="270"/>
      <c r="E6" s="268"/>
      <c r="F6" s="271"/>
      <c r="G6" s="271"/>
      <c r="H6" s="395">
        <f>[1]!Operators[[#This Row],['#Calculated Amount]]+[1]!Operators[[#This Row],[Payment Addition]]-[1]!Operators[[#This Row],[Monthly Deductions]]-[1]!Operators[[#This Row],[salary deductions]]-[1]!Operators[[#This Row],[Hold salary]]</f>
        <v>14656</v>
      </c>
      <c r="I6" s="270" t="s">
        <v>35</v>
      </c>
      <c r="J6" s="2" t="str">
        <f>_xlfn.XLOOKUP([1]!Operators[[#This Row],[EMP NAME]],[1]!Operator_Bank[Emp Name],[1]!Operator_Bank[IFSC CODE])</f>
        <v>IDIB0PLB001</v>
      </c>
      <c r="K6" s="2" t="str">
        <f>_xlfn.XLOOKUP([1]!Operators[[#This Row],[EMP NAME]],[1]!Operator_Bank[Emp Name],[1]!Operator_Bank[ACCOUNT NO])</f>
        <v>10003276824</v>
      </c>
      <c r="L6" s="2">
        <f>[1]!Operators[[#This Row],[Earned Salary]]</f>
        <v>14656</v>
      </c>
      <c r="M6" s="2" t="str">
        <f>_xlfn.XLOOKUP([1]!Operators[[#This Row],[EMP NAME]],[1]!Operator_Bank[Emp Name],[1]!Operator_Bank[Account Name])</f>
        <v>CHAITHRA</v>
      </c>
      <c r="N6" s="2" t="str">
        <f>_xlfn.XLOOKUP([1]!Operators[[#This Row],[EMP NAME]],[1]!Operator_Bank[Emp Name],[1]!Operator_Bank[Branch])</f>
        <v>SHOOLAGIRI</v>
      </c>
      <c r="O6" s="400" t="str">
        <f>_xlfn.XLOOKUP([1]!Operators[[#This Row],[EMP NAME]],[1]!Operator_Bank[Emp Name],[1]!Operator_Bank[BANK NAME])</f>
        <v>PALLAVAN GRAMA BANK</v>
      </c>
    </row>
    <row r="7" spans="1:16" x14ac:dyDescent="0.3">
      <c r="A7" s="175">
        <v>5</v>
      </c>
      <c r="B7" s="393" t="s">
        <v>37</v>
      </c>
      <c r="C7" s="394">
        <v>28628</v>
      </c>
      <c r="D7" s="270"/>
      <c r="E7" s="268"/>
      <c r="F7" s="271"/>
      <c r="G7" s="271"/>
      <c r="H7" s="395">
        <f>[1]!Operators[[#This Row],['#Calculated Amount]]+[1]!Operators[[#This Row],[Payment Addition]]-[1]!Operators[[#This Row],[Monthly Deductions]]-[1]!Operators[[#This Row],[salary deductions]]-[1]!Operators[[#This Row],[Hold salary]]</f>
        <v>28628</v>
      </c>
      <c r="I7" s="393" t="s">
        <v>37</v>
      </c>
      <c r="J7" s="2" t="str">
        <f>_xlfn.XLOOKUP([1]!Operators[[#This Row],[EMP NAME]],[1]!Operator_Bank[Emp Name],[1]!Operator_Bank[IFSC CODE])</f>
        <v>IDIB000S023</v>
      </c>
      <c r="K7" s="2" t="str">
        <f>_xlfn.XLOOKUP([1]!Operators[[#This Row],[EMP NAME]],[1]!Operator_Bank[Emp Name],[1]!Operator_Bank[ACCOUNT NO])</f>
        <v>965022245</v>
      </c>
      <c r="L7" s="2">
        <f>[1]!Operators[[#This Row],[Earned Salary]]</f>
        <v>28628</v>
      </c>
      <c r="M7" s="2" t="str">
        <f>_xlfn.XLOOKUP([1]!Operators[[#This Row],[EMP NAME]],[1]!Operator_Bank[Emp Name],[1]!Operator_Bank[Account Name])</f>
        <v>DHANAVEL</v>
      </c>
      <c r="N7" s="2" t="str">
        <f>_xlfn.XLOOKUP([1]!Operators[[#This Row],[EMP NAME]],[1]!Operator_Bank[Emp Name],[1]!Operator_Bank[Branch])</f>
        <v>SHOOLAGIRI</v>
      </c>
      <c r="O7" s="400" t="str">
        <f>_xlfn.XLOOKUP([1]!Operators[[#This Row],[EMP NAME]],[1]!Operator_Bank[Emp Name],[1]!Operator_Bank[BANK NAME])</f>
        <v>INDIAN BANK</v>
      </c>
    </row>
    <row r="8" spans="1:16" x14ac:dyDescent="0.3">
      <c r="A8" s="175">
        <v>6</v>
      </c>
      <c r="B8" s="270" t="s">
        <v>135</v>
      </c>
      <c r="C8" s="396">
        <v>14828</v>
      </c>
      <c r="D8" s="270"/>
      <c r="E8" s="268"/>
      <c r="F8" s="268"/>
      <c r="G8" s="268">
        <f>[1]!Operators[[#This Row],['#Calculated Amount]]</f>
        <v>14828</v>
      </c>
      <c r="H8" s="395">
        <f>[1]!Operators[[#This Row],['#Calculated Amount]]+[1]!Operators[[#This Row],[Payment Addition]]-[1]!Operators[[#This Row],[Monthly Deductions]]-[1]!Operators[[#This Row],[salary deductions]]-[1]!Operators[[#This Row],[Hold salary]]</f>
        <v>0</v>
      </c>
      <c r="I8" s="270" t="s">
        <v>135</v>
      </c>
      <c r="J8" s="2" t="str">
        <f>_xlfn.XLOOKUP([1]!Operators[[#This Row],[EMP NAME]],[1]!Operator_Bank[Emp Name],[1]!Operator_Bank[IFSC CODE])</f>
        <v>IDIB0PLB001</v>
      </c>
      <c r="K8" s="2" t="str">
        <f>_xlfn.XLOOKUP([1]!Operators[[#This Row],[EMP NAME]],[1]!Operator_Bank[Emp Name],[1]!Operator_Bank[ACCOUNT NO])</f>
        <v>10234584520</v>
      </c>
      <c r="L8" s="2">
        <f>[1]!Operators[[#This Row],[Earned Salary]]</f>
        <v>0</v>
      </c>
      <c r="M8" s="2" t="str">
        <f>_xlfn.XLOOKUP([1]!Operators[[#This Row],[EMP NAME]],[1]!Operator_Bank[Emp Name],[1]!Operator_Bank[Account Name])</f>
        <v>LAVANYA</v>
      </c>
      <c r="N8" s="2" t="str">
        <f>_xlfn.XLOOKUP([1]!Operators[[#This Row],[EMP NAME]],[1]!Operator_Bank[Emp Name],[1]!Operator_Bank[Branch])</f>
        <v>SHOOLAGIRI</v>
      </c>
      <c r="O8" s="400" t="str">
        <f>_xlfn.XLOOKUP([1]!Operators[[#This Row],[EMP NAME]],[1]!Operator_Bank[Emp Name],[1]!Operator_Bank[BANK NAME])</f>
        <v>PALLAVAN GRAMA BANK</v>
      </c>
    </row>
    <row r="9" spans="1:16" x14ac:dyDescent="0.3">
      <c r="A9" s="175">
        <v>7</v>
      </c>
      <c r="B9" s="72" t="s">
        <v>818</v>
      </c>
      <c r="C9" s="396">
        <v>19077</v>
      </c>
      <c r="D9" s="273"/>
      <c r="E9" s="268"/>
      <c r="F9" s="268"/>
      <c r="G9" s="268"/>
      <c r="H9" s="395">
        <f>[1]!Operators[[#This Row],['#Calculated Amount]]+[1]!Operators[[#This Row],[Payment Addition]]-[1]!Operators[[#This Row],[Monthly Deductions]]-[1]!Operators[[#This Row],[salary deductions]]-[1]!Operators[[#This Row],[Hold salary]]</f>
        <v>19077</v>
      </c>
      <c r="I9" s="72" t="s">
        <v>818</v>
      </c>
      <c r="J9" s="2" t="str">
        <f>_xlfn.XLOOKUP([1]!Operators[[#This Row],[EMP NAME]],[1]!Operator_Bank[Emp Name],[1]!Operator_Bank[IFSC CODE])</f>
        <v>IDIB000N174</v>
      </c>
      <c r="K9" s="2" t="str">
        <f>_xlfn.XLOOKUP([1]!Operators[[#This Row],[EMP NAME]],[1]!Operator_Bank[Emp Name],[1]!Operator_Bank[ACCOUNT NO])</f>
        <v>7131141760</v>
      </c>
      <c r="L9" s="2">
        <f>[1]!Operators[[#This Row],[Earned Salary]]</f>
        <v>19077</v>
      </c>
      <c r="M9" s="2" t="str">
        <f>_xlfn.XLOOKUP([1]!Operators[[#This Row],[EMP NAME]],[1]!Operator_Bank[Emp Name],[1]!Operator_Bank[Account Name])</f>
        <v>MANJULA</v>
      </c>
      <c r="N9" s="2" t="str">
        <f>_xlfn.XLOOKUP([1]!Operators[[#This Row],[EMP NAME]],[1]!Operator_Bank[Emp Name],[1]!Operator_Bank[Branch])</f>
        <v>NACHIKUPPAM</v>
      </c>
      <c r="O9" s="400" t="str">
        <f>_xlfn.XLOOKUP([1]!Operators[[#This Row],[EMP NAME]],[1]!Operator_Bank[Emp Name],[1]!Operator_Bank[BANK NAME])</f>
        <v>INDIAN BANK</v>
      </c>
    </row>
    <row r="10" spans="1:16" x14ac:dyDescent="0.3">
      <c r="A10" s="175">
        <v>8</v>
      </c>
      <c r="B10" s="270" t="s">
        <v>333</v>
      </c>
      <c r="C10" s="396">
        <v>15157</v>
      </c>
      <c r="D10" s="270"/>
      <c r="E10" s="268"/>
      <c r="F10" s="268"/>
      <c r="G10" s="268"/>
      <c r="H10" s="395">
        <f>[1]!Operators[[#This Row],['#Calculated Amount]]+[1]!Operators[[#This Row],[Payment Addition]]-[1]!Operators[[#This Row],[Monthly Deductions]]-[1]!Operators[[#This Row],[salary deductions]]-[1]!Operators[[#This Row],[Hold salary]]</f>
        <v>15157</v>
      </c>
      <c r="I10" s="270" t="s">
        <v>333</v>
      </c>
      <c r="J10" s="2" t="str">
        <f>_xlfn.XLOOKUP([1]!Operators[[#This Row],[EMP NAME]],[1]!Operator_Bank[Emp Name],[1]!Operator_Bank[IFSC CODE])</f>
        <v>IDIB000S023</v>
      </c>
      <c r="K10" s="2" t="str">
        <f>_xlfn.XLOOKUP([1]!Operators[[#This Row],[EMP NAME]],[1]!Operator_Bank[Emp Name],[1]!Operator_Bank[ACCOUNT NO])</f>
        <v>876139796</v>
      </c>
      <c r="L10" s="2">
        <f>[1]!Operators[[#This Row],[Earned Salary]]</f>
        <v>15157</v>
      </c>
      <c r="M10" s="2" t="str">
        <f>_xlfn.XLOOKUP([1]!Operators[[#This Row],[EMP NAME]],[1]!Operator_Bank[Emp Name],[1]!Operator_Bank[Account Name])</f>
        <v>MANJULA C M</v>
      </c>
      <c r="N10" s="2" t="str">
        <f>_xlfn.XLOOKUP([1]!Operators[[#This Row],[EMP NAME]],[1]!Operator_Bank[Emp Name],[1]!Operator_Bank[Branch])</f>
        <v>SHOOLAGIRI</v>
      </c>
      <c r="O10" s="400" t="str">
        <f>_xlfn.XLOOKUP([1]!Operators[[#This Row],[EMP NAME]],[1]!Operator_Bank[Emp Name],[1]!Operator_Bank[BANK NAME])</f>
        <v>INDIAN BANK</v>
      </c>
    </row>
    <row r="11" spans="1:16" x14ac:dyDescent="0.3">
      <c r="A11" s="175">
        <v>10</v>
      </c>
      <c r="B11" s="270" t="s">
        <v>138</v>
      </c>
      <c r="C11" s="396">
        <v>12084</v>
      </c>
      <c r="D11" s="270"/>
      <c r="E11" s="268"/>
      <c r="F11" s="268"/>
      <c r="G11" s="268"/>
      <c r="H11" s="395">
        <f>[1]!Operators[[#This Row],['#Calculated Amount]]+[1]!Operators[[#This Row],[Payment Addition]]-[1]!Operators[[#This Row],[Monthly Deductions]]-[1]!Operators[[#This Row],[salary deductions]]-[1]!Operators[[#This Row],[Hold salary]]</f>
        <v>12084</v>
      </c>
      <c r="I11" s="270" t="s">
        <v>138</v>
      </c>
      <c r="J11" s="2" t="str">
        <f>_xlfn.XLOOKUP([1]!Operators[[#This Row],[EMP NAME]],[1]!Operator_Bank[Emp Name],[1]!Operator_Bank[IFSC CODE])</f>
        <v>IDIB000S023</v>
      </c>
      <c r="K11" s="2" t="str">
        <f>_xlfn.XLOOKUP([1]!Operators[[#This Row],[EMP NAME]],[1]!Operator_Bank[Emp Name],[1]!Operator_Bank[ACCOUNT NO])</f>
        <v>8768908341</v>
      </c>
      <c r="L11" s="2">
        <f>[1]!Operators[[#This Row],[Earned Salary]]</f>
        <v>12084</v>
      </c>
      <c r="M11" s="2" t="str">
        <f>_xlfn.XLOOKUP([1]!Operators[[#This Row],[EMP NAME]],[1]!Operator_Bank[Emp Name],[1]!Operator_Bank[Account Name])</f>
        <v>MEENAKSHI</v>
      </c>
      <c r="N11" s="2" t="str">
        <f>_xlfn.XLOOKUP([1]!Operators[[#This Row],[EMP NAME]],[1]!Operator_Bank[Emp Name],[1]!Operator_Bank[Branch])</f>
        <v>SHOOLAGIRI</v>
      </c>
      <c r="O11" s="400" t="str">
        <f>_xlfn.XLOOKUP([1]!Operators[[#This Row],[EMP NAME]],[1]!Operator_Bank[Emp Name],[1]!Operator_Bank[BANK NAME])</f>
        <v>INDIAN BANK</v>
      </c>
    </row>
    <row r="12" spans="1:16" x14ac:dyDescent="0.3">
      <c r="A12" s="175">
        <v>11</v>
      </c>
      <c r="B12" s="270" t="s">
        <v>140</v>
      </c>
      <c r="C12" s="396">
        <v>1050</v>
      </c>
      <c r="D12" s="270"/>
      <c r="E12" s="268"/>
      <c r="F12" s="268"/>
      <c r="G12" s="396">
        <v>1050</v>
      </c>
      <c r="H12" s="395">
        <f>[1]!Operators[[#This Row],['#Calculated Amount]]+[1]!Operators[[#This Row],[Payment Addition]]-[1]!Operators[[#This Row],[Monthly Deductions]]-[1]!Operators[[#This Row],[salary deductions]]-[1]!Operators[[#This Row],[Hold salary]]</f>
        <v>0</v>
      </c>
      <c r="I12" s="270" t="s">
        <v>140</v>
      </c>
      <c r="J12" s="2" t="str">
        <f>_xlfn.XLOOKUP([1]!Operators[[#This Row],[EMP NAME]],[1]!Operator_Bank[Emp Name],[1]!Operator_Bank[IFSC CODE])</f>
        <v>KKBK0008658</v>
      </c>
      <c r="K12" s="2" t="str">
        <f>_xlfn.XLOOKUP([1]!Operators[[#This Row],[EMP NAME]],[1]!Operator_Bank[Emp Name],[1]!Operator_Bank[ACCOUNT NO])</f>
        <v>2348408524</v>
      </c>
      <c r="L12" s="2">
        <f>[1]!Operators[[#This Row],[Earned Salary]]</f>
        <v>0</v>
      </c>
      <c r="M12" s="2" t="str">
        <f>_xlfn.XLOOKUP([1]!Operators[[#This Row],[EMP NAME]],[1]!Operator_Bank[Emp Name],[1]!Operator_Bank[Account Name])</f>
        <v>MUTHURAMAN</v>
      </c>
      <c r="N12" s="2" t="str">
        <f>_xlfn.XLOOKUP([1]!Operators[[#This Row],[EMP NAME]],[1]!Operator_Bank[Emp Name],[1]!Operator_Bank[Branch])</f>
        <v>SOMANUR</v>
      </c>
      <c r="O12" s="400" t="str">
        <f>_xlfn.XLOOKUP([1]!Operators[[#This Row],[EMP NAME]],[1]!Operator_Bank[Emp Name],[1]!Operator_Bank[BANK NAME])</f>
        <v>KARUR VYSYA BANK</v>
      </c>
    </row>
    <row r="13" spans="1:16" x14ac:dyDescent="0.3">
      <c r="A13" s="175">
        <v>12</v>
      </c>
      <c r="B13" s="393" t="s">
        <v>334</v>
      </c>
      <c r="C13" s="394">
        <v>15630</v>
      </c>
      <c r="D13" s="270"/>
      <c r="E13" s="268"/>
      <c r="F13" s="268"/>
      <c r="G13" s="268"/>
      <c r="H13" s="395">
        <f>[1]!Operators[[#This Row],['#Calculated Amount]]+[1]!Operators[[#This Row],[Payment Addition]]-[1]!Operators[[#This Row],[Monthly Deductions]]-[1]!Operators[[#This Row],[salary deductions]]-[1]!Operators[[#This Row],[Hold salary]]</f>
        <v>15630</v>
      </c>
      <c r="I13" s="393" t="s">
        <v>334</v>
      </c>
      <c r="J13" s="2" t="str">
        <f>_xlfn.XLOOKUP([1]!Operators[[#This Row],[EMP NAME]],[1]!Operator_Bank[Emp Name],[1]!Operator_Bank[IFSC CODE])</f>
        <v>IDIB0PLB001</v>
      </c>
      <c r="K13" s="2" t="str">
        <f>_xlfn.XLOOKUP([1]!Operators[[#This Row],[EMP NAME]],[1]!Operator_Bank[Emp Name],[1]!Operator_Bank[ACCOUNT NO])</f>
        <v>10146712699</v>
      </c>
      <c r="L13" s="2">
        <f>[1]!Operators[[#This Row],[Earned Salary]]</f>
        <v>15630</v>
      </c>
      <c r="M13" s="2" t="str">
        <f>_xlfn.XLOOKUP([1]!Operators[[#This Row],[EMP NAME]],[1]!Operator_Bank[Emp Name],[1]!Operator_Bank[Account Name])</f>
        <v>NAGESH T</v>
      </c>
      <c r="N13" s="2" t="str">
        <f>_xlfn.XLOOKUP([1]!Operators[[#This Row],[EMP NAME]],[1]!Operator_Bank[Emp Name],[1]!Operator_Bank[Branch])</f>
        <v>CHINNAR</v>
      </c>
      <c r="O13" s="400" t="str">
        <f>_xlfn.XLOOKUP([1]!Operators[[#This Row],[EMP NAME]],[1]!Operator_Bank[Emp Name],[1]!Operator_Bank[BANK NAME])</f>
        <v>TAMIL NADU GRAMA BANK</v>
      </c>
    </row>
    <row r="14" spans="1:16" x14ac:dyDescent="0.3">
      <c r="A14" s="175">
        <v>13</v>
      </c>
      <c r="B14" s="270" t="s">
        <v>43</v>
      </c>
      <c r="C14" s="396">
        <v>20782</v>
      </c>
      <c r="D14" s="270"/>
      <c r="E14" s="268"/>
      <c r="F14" s="268"/>
      <c r="G14" s="268"/>
      <c r="H14" s="395">
        <f>[1]!Operators[[#This Row],['#Calculated Amount]]+[1]!Operators[[#This Row],[Payment Addition]]-[1]!Operators[[#This Row],[Monthly Deductions]]-[1]!Operators[[#This Row],[salary deductions]]-[1]!Operators[[#This Row],[Hold salary]]</f>
        <v>20782</v>
      </c>
      <c r="I14" s="270" t="s">
        <v>43</v>
      </c>
      <c r="J14" s="2" t="str">
        <f>_xlfn.XLOOKUP([1]!Operators[[#This Row],[EMP NAME]],[1]!Operator_Bank[Emp Name],[1]!Operator_Bank[IFSC CODE])</f>
        <v>IDIB000S023</v>
      </c>
      <c r="K14" s="2" t="str">
        <f>_xlfn.XLOOKUP([1]!Operators[[#This Row],[EMP NAME]],[1]!Operator_Bank[Emp Name],[1]!Operator_Bank[ACCOUNT NO])</f>
        <v>6640947551</v>
      </c>
      <c r="L14" s="2">
        <f>[1]!Operators[[#This Row],[Earned Salary]]</f>
        <v>20782</v>
      </c>
      <c r="M14" s="2" t="str">
        <f>_xlfn.XLOOKUP([1]!Operators[[#This Row],[EMP NAME]],[1]!Operator_Bank[Emp Name],[1]!Operator_Bank[Account Name])</f>
        <v>NARASIMMAN</v>
      </c>
      <c r="N14" s="2" t="str">
        <f>_xlfn.XLOOKUP([1]!Operators[[#This Row],[EMP NAME]],[1]!Operator_Bank[Emp Name],[1]!Operator_Bank[Branch])</f>
        <v>SHOOLAGIRI</v>
      </c>
      <c r="O14" s="400" t="str">
        <f>_xlfn.XLOOKUP([1]!Operators[[#This Row],[EMP NAME]],[1]!Operator_Bank[Emp Name],[1]!Operator_Bank[BANK NAME])</f>
        <v>INDIAN BANK</v>
      </c>
    </row>
    <row r="15" spans="1:16" x14ac:dyDescent="0.3">
      <c r="A15" s="175">
        <v>14</v>
      </c>
      <c r="B15" s="270" t="s">
        <v>44</v>
      </c>
      <c r="C15" s="396">
        <v>19246</v>
      </c>
      <c r="D15" s="270"/>
      <c r="E15" s="268">
        <v>657</v>
      </c>
      <c r="F15" s="268">
        <v>4499</v>
      </c>
      <c r="G15" s="268"/>
      <c r="H15" s="395">
        <f>[1]!Operators[[#This Row],['#Calculated Amount]]+[1]!Operators[[#This Row],[Payment Addition]]-[1]!Operators[[#This Row],[Monthly Deductions]]-[1]!Operators[[#This Row],[salary deductions]]-[1]!Operators[[#This Row],[Hold salary]]</f>
        <v>14090</v>
      </c>
      <c r="I15" s="270" t="s">
        <v>44</v>
      </c>
      <c r="J15" s="2" t="str">
        <f>_xlfn.XLOOKUP([1]!Operators[[#This Row],[EMP NAME]],[1]!Operator_Bank[Emp Name],[1]!Operator_Bank[IFSC CODE])</f>
        <v>CNRB0004385</v>
      </c>
      <c r="K15" s="2" t="str">
        <f>_xlfn.XLOOKUP([1]!Operators[[#This Row],[EMP NAME]],[1]!Operator_Bank[Emp Name],[1]!Operator_Bank[ACCOUNT NO])</f>
        <v>4385131001820</v>
      </c>
      <c r="L15" s="2">
        <f>[1]!Operators[[#This Row],[Earned Salary]]</f>
        <v>14090</v>
      </c>
      <c r="M15" s="2" t="str">
        <f>_xlfn.XLOOKUP([1]!Operators[[#This Row],[EMP NAME]],[1]!Operator_Bank[Emp Name],[1]!Operator_Bank[Account Name])</f>
        <v>NISHADEVI</v>
      </c>
      <c r="N15" s="2" t="str">
        <f>_xlfn.XLOOKUP([1]!Operators[[#This Row],[EMP NAME]],[1]!Operator_Bank[Emp Name],[1]!Operator_Bank[Branch])</f>
        <v>HOSUR</v>
      </c>
      <c r="O15" s="400" t="str">
        <f>_xlfn.XLOOKUP([1]!Operators[[#This Row],[EMP NAME]],[1]!Operator_Bank[Emp Name],[1]!Operator_Bank[BANK NAME])</f>
        <v>CANARA BANK</v>
      </c>
    </row>
    <row r="16" spans="1:16" x14ac:dyDescent="0.3">
      <c r="A16" s="175">
        <v>15</v>
      </c>
      <c r="B16" s="270" t="s">
        <v>545</v>
      </c>
      <c r="C16" s="396">
        <v>12661</v>
      </c>
      <c r="D16" s="270"/>
      <c r="E16" s="272"/>
      <c r="F16" s="272"/>
      <c r="G16" s="272"/>
      <c r="H16" s="395">
        <f>[1]!Operators[[#This Row],['#Calculated Amount]]+[1]!Operators[[#This Row],[Payment Addition]]-[1]!Operators[[#This Row],[Monthly Deductions]]-[1]!Operators[[#This Row],[salary deductions]]-[1]!Operators[[#This Row],[Hold salary]]</f>
        <v>12661</v>
      </c>
      <c r="I16" s="270" t="s">
        <v>545</v>
      </c>
      <c r="J16" s="2" t="str">
        <f>_xlfn.XLOOKUP([1]!Operators[[#This Row],[EMP NAME]],[1]!Operator_Bank[Emp Name],[1]!Operator_Bank[IFSC CODE])</f>
        <v>IDIB000N174</v>
      </c>
      <c r="K16" s="2" t="str">
        <f>_xlfn.XLOOKUP([1]!Operators[[#This Row],[EMP NAME]],[1]!Operator_Bank[Emp Name],[1]!Operator_Bank[ACCOUNT NO])</f>
        <v>7461187142</v>
      </c>
      <c r="L16" s="2">
        <f>[1]!Operators[[#This Row],[Earned Salary]]</f>
        <v>12661</v>
      </c>
      <c r="M16" s="2" t="str">
        <f>_xlfn.XLOOKUP([1]!Operators[[#This Row],[EMP NAME]],[1]!Operator_Bank[Emp Name],[1]!Operator_Bank[Account Name])</f>
        <v>PARVATI</v>
      </c>
      <c r="N16" s="2" t="str">
        <f>_xlfn.XLOOKUP([1]!Operators[[#This Row],[EMP NAME]],[1]!Operator_Bank[Emp Name],[1]!Operator_Bank[Branch])</f>
        <v>NACHIKKUPPAM</v>
      </c>
      <c r="O16" s="400" t="str">
        <f>_xlfn.XLOOKUP([1]!Operators[[#This Row],[EMP NAME]],[1]!Operator_Bank[Emp Name],[1]!Operator_Bank[BANK NAME])</f>
        <v>INDIAN BANK</v>
      </c>
    </row>
    <row r="17" spans="1:15" x14ac:dyDescent="0.3">
      <c r="A17" s="175">
        <v>17</v>
      </c>
      <c r="B17" s="270" t="s">
        <v>45</v>
      </c>
      <c r="C17" s="397">
        <v>14650</v>
      </c>
      <c r="D17" s="270"/>
      <c r="E17" s="398"/>
      <c r="F17" s="398"/>
      <c r="G17" s="268"/>
      <c r="H17" s="395">
        <f>[1]!Operators[[#This Row],['#Calculated Amount]]+[1]!Operators[[#This Row],[Payment Addition]]-[1]!Operators[[#This Row],[Monthly Deductions]]-[1]!Operators[[#This Row],[salary deductions]]-[1]!Operators[[#This Row],[Hold salary]]</f>
        <v>14650</v>
      </c>
      <c r="I17" s="270" t="s">
        <v>45</v>
      </c>
      <c r="J17" s="2" t="str">
        <f>_xlfn.XLOOKUP([1]!Operators[[#This Row],[EMP NAME]],[1]!Operator_Bank[Emp Name],[1]!Operator_Bank[IFSC CODE])</f>
        <v>IDIB0PLB001</v>
      </c>
      <c r="K17" s="2" t="str">
        <f>_xlfn.XLOOKUP([1]!Operators[[#This Row],[EMP NAME]],[1]!Operator_Bank[Emp Name],[1]!Operator_Bank[ACCOUNT NO])</f>
        <v>10109116849</v>
      </c>
      <c r="L17" s="2">
        <f>[1]!Operators[[#This Row],[Earned Salary]]</f>
        <v>14650</v>
      </c>
      <c r="M17" s="2" t="str">
        <f>_xlfn.XLOOKUP([1]!Operators[[#This Row],[EMP NAME]],[1]!Operator_Bank[Emp Name],[1]!Operator_Bank[Account Name])</f>
        <v>PREETAM</v>
      </c>
      <c r="N17" s="2" t="str">
        <f>_xlfn.XLOOKUP([1]!Operators[[#This Row],[EMP NAME]],[1]!Operator_Bank[Emp Name],[1]!Operator_Bank[Branch])</f>
        <v>SHOOLAGIRI</v>
      </c>
      <c r="O17" s="400" t="str">
        <f>_xlfn.XLOOKUP([1]!Operators[[#This Row],[EMP NAME]],[1]!Operator_Bank[Emp Name],[1]!Operator_Bank[BANK NAME])</f>
        <v>PALLAVAN GRAMA BANK</v>
      </c>
    </row>
    <row r="18" spans="1:15" x14ac:dyDescent="0.3">
      <c r="A18" s="175">
        <v>18</v>
      </c>
      <c r="B18" s="393" t="s">
        <v>796</v>
      </c>
      <c r="C18" s="394">
        <v>15619</v>
      </c>
      <c r="D18" s="270"/>
      <c r="E18" s="268"/>
      <c r="F18" s="268"/>
      <c r="G18" s="268"/>
      <c r="H18" s="395">
        <f>[1]!Operators[[#This Row],['#Calculated Amount]]+[1]!Operators[[#This Row],[Payment Addition]]-[1]!Operators[[#This Row],[Monthly Deductions]]-[1]!Operators[[#This Row],[salary deductions]]-[1]!Operators[[#This Row],[Hold salary]]</f>
        <v>15619</v>
      </c>
      <c r="I18" s="393" t="s">
        <v>796</v>
      </c>
      <c r="J18" s="2" t="str">
        <f>_xlfn.XLOOKUP([1]!Operators[[#This Row],[EMP NAME]],[1]!Operator_Bank[Emp Name],[1]!Operator_Bank[IFSC CODE])</f>
        <v>IDIB0PLB001</v>
      </c>
      <c r="K18" s="2" t="str">
        <f>_xlfn.XLOOKUP([1]!Operators[[#This Row],[EMP NAME]],[1]!Operator_Bank[Emp Name],[1]!Operator_Bank[ACCOUNT NO])</f>
        <v>10135782604</v>
      </c>
      <c r="L18" s="2">
        <f>[1]!Operators[[#This Row],[Earned Salary]]</f>
        <v>15619</v>
      </c>
      <c r="M18" s="2" t="str">
        <f>_xlfn.XLOOKUP([1]!Operators[[#This Row],[EMP NAME]],[1]!Operator_Bank[Emp Name],[1]!Operator_Bank[Account Name])</f>
        <v>PUNITHA</v>
      </c>
      <c r="N18" s="2" t="str">
        <f>_xlfn.XLOOKUP([1]!Operators[[#This Row],[EMP NAME]],[1]!Operator_Bank[Emp Name],[1]!Operator_Bank[Branch])</f>
        <v>SHOOLAGIRI</v>
      </c>
      <c r="O18" s="400" t="str">
        <f>_xlfn.XLOOKUP([1]!Operators[[#This Row],[EMP NAME]],[1]!Operator_Bank[Emp Name],[1]!Operator_Bank[BANK NAME])</f>
        <v>TAMILNADU GRAMA BANK</v>
      </c>
    </row>
    <row r="19" spans="1:15" x14ac:dyDescent="0.3">
      <c r="A19" s="175">
        <v>19</v>
      </c>
      <c r="B19" s="270" t="s">
        <v>797</v>
      </c>
      <c r="C19" s="396">
        <v>15298</v>
      </c>
      <c r="D19" s="270"/>
      <c r="E19" s="268"/>
      <c r="F19" s="268"/>
      <c r="G19" s="396">
        <v>15298</v>
      </c>
      <c r="H19" s="395">
        <f>[1]!Operators[[#This Row],['#Calculated Amount]]+[1]!Operators[[#This Row],[Payment Addition]]-[1]!Operators[[#This Row],[Monthly Deductions]]-[1]!Operators[[#This Row],[salary deductions]]-[1]!Operators[[#This Row],[Hold salary]]</f>
        <v>0</v>
      </c>
      <c r="I19" s="270" t="s">
        <v>797</v>
      </c>
      <c r="J19" s="2" t="str">
        <f>_xlfn.XLOOKUP([1]!Operators[[#This Row],[EMP NAME]],[1]!Operator_Bank[Emp Name],[1]!Operator_Bank[IFSC CODE])</f>
        <v>IDIB0PLB001</v>
      </c>
      <c r="K19" s="2" t="str">
        <f>_xlfn.XLOOKUP([1]!Operators[[#This Row],[EMP NAME]],[1]!Operator_Bank[Emp Name],[1]!Operator_Bank[ACCOUNT NO])</f>
        <v>10004644652</v>
      </c>
      <c r="L19" s="2">
        <f>[1]!Operators[[#This Row],[Earned Salary]]</f>
        <v>0</v>
      </c>
      <c r="M19" s="2" t="str">
        <f>_xlfn.XLOOKUP([1]!Operators[[#This Row],[EMP NAME]],[1]!Operator_Bank[Emp Name],[1]!Operator_Bank[Account Name])</f>
        <v>ROJA</v>
      </c>
      <c r="N19" s="2" t="str">
        <f>_xlfn.XLOOKUP([1]!Operators[[#This Row],[EMP NAME]],[1]!Operator_Bank[Emp Name],[1]!Operator_Bank[Branch])</f>
        <v>SHOOLAGIRI</v>
      </c>
      <c r="O19" s="400" t="str">
        <f>_xlfn.XLOOKUP([1]!Operators[[#This Row],[EMP NAME]],[1]!Operator_Bank[Emp Name],[1]!Operator_Bank[BANK NAME])</f>
        <v>PALLAVAN GRAMA BANK</v>
      </c>
    </row>
    <row r="20" spans="1:15" x14ac:dyDescent="0.3">
      <c r="A20" s="175">
        <v>20</v>
      </c>
      <c r="B20" s="270" t="s">
        <v>817</v>
      </c>
      <c r="C20" s="396">
        <v>4754</v>
      </c>
      <c r="D20" s="270"/>
      <c r="E20" s="268"/>
      <c r="F20" s="268"/>
      <c r="G20" s="268"/>
      <c r="H20" s="395">
        <f>[1]!Operators[[#This Row],['#Calculated Amount]]+[1]!Operators[[#This Row],[Payment Addition]]-[1]!Operators[[#This Row],[Monthly Deductions]]-[1]!Operators[[#This Row],[salary deductions]]-[1]!Operators[[#This Row],[Hold salary]]</f>
        <v>4754</v>
      </c>
      <c r="I20" s="270" t="s">
        <v>817</v>
      </c>
      <c r="J20" s="2" t="str">
        <f>_xlfn.XLOOKUP([1]!Operators[[#This Row],[EMP NAME]],[1]!Operator_Bank[Emp Name],[1]!Operator_Bank[IFSC CODE])</f>
        <v>BARB0VEPANA</v>
      </c>
      <c r="K20" s="2" t="str">
        <f>_xlfn.XLOOKUP([1]!Operators[[#This Row],[EMP NAME]],[1]!Operator_Bank[Emp Name],[1]!Operator_Bank[ACCOUNT NO])</f>
        <v>11280100006617</v>
      </c>
      <c r="L20" s="2">
        <f>[1]!Operators[[#This Row],[Earned Salary]]</f>
        <v>4754</v>
      </c>
      <c r="M20" s="2" t="str">
        <f>_xlfn.XLOOKUP([1]!Operators[[#This Row],[EMP NAME]],[1]!Operator_Bank[Emp Name],[1]!Operator_Bank[Account Name])</f>
        <v>RUKMANI</v>
      </c>
      <c r="N20" s="2" t="str">
        <f>_xlfn.XLOOKUP([1]!Operators[[#This Row],[EMP NAME]],[1]!Operator_Bank[Emp Name],[1]!Operator_Bank[Branch])</f>
        <v>VEPANAPALLI</v>
      </c>
      <c r="O20" s="400" t="str">
        <f>_xlfn.XLOOKUP([1]!Operators[[#This Row],[EMP NAME]],[1]!Operator_Bank[Emp Name],[1]!Operator_Bank[BANK NAME])</f>
        <v>BANK OF BARODA</v>
      </c>
    </row>
    <row r="21" spans="1:15" x14ac:dyDescent="0.3">
      <c r="A21" s="175">
        <v>21</v>
      </c>
      <c r="B21" s="270" t="s">
        <v>335</v>
      </c>
      <c r="C21" s="396">
        <v>20874</v>
      </c>
      <c r="D21" s="269"/>
      <c r="E21" s="268"/>
      <c r="F21" s="268"/>
      <c r="G21" s="268"/>
      <c r="H21" s="395">
        <f>[1]!Operators[[#This Row],['#Calculated Amount]]+[1]!Operators[[#This Row],[Payment Addition]]-[1]!Operators[[#This Row],[Monthly Deductions]]-[1]!Operators[[#This Row],[salary deductions]]-[1]!Operators[[#This Row],[Hold salary]]</f>
        <v>20874</v>
      </c>
      <c r="I21" s="270" t="s">
        <v>335</v>
      </c>
      <c r="J21" s="2" t="str">
        <f>_xlfn.XLOOKUP([1]!Operators[[#This Row],[EMP NAME]],[1]!Operator_Bank[Emp Name],[1]!Operator_Bank[IFSC CODE])</f>
        <v>IDIB000S023</v>
      </c>
      <c r="K21" s="2" t="str">
        <f>_xlfn.XLOOKUP([1]!Operators[[#This Row],[EMP NAME]],[1]!Operator_Bank[Emp Name],[1]!Operator_Bank[ACCOUNT NO])</f>
        <v>6079177859</v>
      </c>
      <c r="L21" s="2">
        <f>[1]!Operators[[#This Row],[Earned Salary]]</f>
        <v>20874</v>
      </c>
      <c r="M21" s="2" t="str">
        <f>_xlfn.XLOOKUP([1]!Operators[[#This Row],[EMP NAME]],[1]!Operator_Bank[Emp Name],[1]!Operator_Bank[Account Name])</f>
        <v>SHILPA S</v>
      </c>
      <c r="N21" s="2" t="str">
        <f>_xlfn.XLOOKUP([1]!Operators[[#This Row],[EMP NAME]],[1]!Operator_Bank[Emp Name],[1]!Operator_Bank[Branch])</f>
        <v>SHOOLAGIRI</v>
      </c>
      <c r="O21" s="400" t="str">
        <f>_xlfn.XLOOKUP([1]!Operators[[#This Row],[EMP NAME]],[1]!Operator_Bank[Emp Name],[1]!Operator_Bank[BANK NAME])</f>
        <v>INDIAN BANK</v>
      </c>
    </row>
    <row r="22" spans="1:15" x14ac:dyDescent="0.3">
      <c r="A22" s="175">
        <v>22</v>
      </c>
      <c r="B22" s="270" t="s">
        <v>336</v>
      </c>
      <c r="C22" s="396">
        <v>14650</v>
      </c>
      <c r="D22" s="269"/>
      <c r="E22" s="268"/>
      <c r="F22" s="268"/>
      <c r="G22" s="268"/>
      <c r="H22" s="395">
        <f>[1]!Operators[[#This Row],['#Calculated Amount]]+[1]!Operators[[#This Row],[Payment Addition]]-[1]!Operators[[#This Row],[Monthly Deductions]]-[1]!Operators[[#This Row],[salary deductions]]-[1]!Operators[[#This Row],[Hold salary]]</f>
        <v>14650</v>
      </c>
      <c r="I22" s="270" t="s">
        <v>336</v>
      </c>
      <c r="J22" s="2" t="str">
        <f>_xlfn.XLOOKUP([1]!Operators[[#This Row],[EMP NAME]],[1]!Operator_Bank[Emp Name],[1]!Operator_Bank[IFSC CODE])</f>
        <v>IDIB000S023</v>
      </c>
      <c r="K22" s="2" t="str">
        <f>_xlfn.XLOOKUP([1]!Operators[[#This Row],[EMP NAME]],[1]!Operator_Bank[Emp Name],[1]!Operator_Bank[ACCOUNT NO])</f>
        <v>6017044888</v>
      </c>
      <c r="L22" s="2">
        <f>[1]!Operators[[#This Row],[Earned Salary]]</f>
        <v>14650</v>
      </c>
      <c r="M22" s="2" t="str">
        <f>_xlfn.XLOOKUP([1]!Operators[[#This Row],[EMP NAME]],[1]!Operator_Bank[Emp Name],[1]!Operator_Bank[Account Name])</f>
        <v>SHILPA V</v>
      </c>
      <c r="N22" s="2" t="str">
        <f>_xlfn.XLOOKUP([1]!Operators[[#This Row],[EMP NAME]],[1]!Operator_Bank[Emp Name],[1]!Operator_Bank[Branch])</f>
        <v>SHOOLAGIRI</v>
      </c>
      <c r="O22" s="400" t="str">
        <f>_xlfn.XLOOKUP([1]!Operators[[#This Row],[EMP NAME]],[1]!Operator_Bank[Emp Name],[1]!Operator_Bank[BANK NAME])</f>
        <v>INDIAN BANK</v>
      </c>
    </row>
    <row r="23" spans="1:15" x14ac:dyDescent="0.3">
      <c r="A23" s="175">
        <v>23</v>
      </c>
      <c r="B23" s="71" t="s">
        <v>824</v>
      </c>
      <c r="C23" s="396">
        <v>9823</v>
      </c>
      <c r="D23" s="269"/>
      <c r="E23" s="268"/>
      <c r="F23" s="268"/>
      <c r="G23" s="268"/>
      <c r="H23" s="395">
        <f>[1]!Operators[[#This Row],['#Calculated Amount]]+[1]!Operators[[#This Row],[Payment Addition]]-[1]!Operators[[#This Row],[Monthly Deductions]]-[1]!Operators[[#This Row],[salary deductions]]-[1]!Operators[[#This Row],[Hold salary]]</f>
        <v>9823</v>
      </c>
      <c r="I23" s="71" t="s">
        <v>824</v>
      </c>
      <c r="J23" s="2" t="str">
        <f>_xlfn.XLOOKUP([1]!Operators[[#This Row],[EMP NAME]],[1]!Operator_Bank[Emp Name],[1]!Operator_Bank[IFSC CODE])</f>
        <v>SBIN0008114</v>
      </c>
      <c r="K23" s="2" t="str">
        <f>_xlfn.XLOOKUP([1]!Operators[[#This Row],[EMP NAME]],[1]!Operator_Bank[Emp Name],[1]!Operator_Bank[ACCOUNT NO])</f>
        <v>40975557941</v>
      </c>
      <c r="L23" s="2">
        <f>[1]!Operators[[#This Row],[Earned Salary]]</f>
        <v>9823</v>
      </c>
      <c r="M23" s="2" t="str">
        <f>_xlfn.XLOOKUP([1]!Operators[[#This Row],[EMP NAME]],[1]!Operator_Bank[Emp Name],[1]!Operator_Bank[Account Name])</f>
        <v>SIDDARAJ M</v>
      </c>
      <c r="N23" s="2" t="str">
        <f>_xlfn.XLOOKUP([1]!Operators[[#This Row],[EMP NAME]],[1]!Operator_Bank[Emp Name],[1]!Operator_Bank[Branch])</f>
        <v>KAMANDODDI</v>
      </c>
      <c r="O23" s="400" t="str">
        <f>_xlfn.XLOOKUP([1]!Operators[[#This Row],[EMP NAME]],[1]!Operator_Bank[Emp Name],[1]!Operator_Bank[BANK NAME])</f>
        <v>STATE BANK INDIA</v>
      </c>
    </row>
    <row r="24" spans="1:15" x14ac:dyDescent="0.3">
      <c r="A24" s="175">
        <v>24</v>
      </c>
      <c r="B24" s="270" t="s">
        <v>815</v>
      </c>
      <c r="C24" s="396">
        <v>15000</v>
      </c>
      <c r="D24" s="270"/>
      <c r="E24" s="268"/>
      <c r="F24" s="268"/>
      <c r="G24" s="268"/>
      <c r="H24" s="395">
        <f>[1]!Operators[[#This Row],['#Calculated Amount]]+[1]!Operators[[#This Row],[Payment Addition]]-[1]!Operators[[#This Row],[Monthly Deductions]]-[1]!Operators[[#This Row],[salary deductions]]-[1]!Operators[[#This Row],[Hold salary]]</f>
        <v>15000</v>
      </c>
      <c r="I24" s="270" t="s">
        <v>815</v>
      </c>
      <c r="J24" s="2" t="str">
        <f>_xlfn.XLOOKUP([1]!Operators[[#This Row],[EMP NAME]],[1]!Operator_Bank[Emp Name],[1]!Operator_Bank[IFSC CODE])</f>
        <v>IDIB0PLB001</v>
      </c>
      <c r="K24" s="2">
        <f>_xlfn.XLOOKUP([1]!Operators[[#This Row],[EMP NAME]],[1]!Operator_Bank[Emp Name],[1]!Operator_Bank[ACCOUNT NO])</f>
        <v>10051509229</v>
      </c>
      <c r="L24" s="2">
        <f>[1]!Operators[[#This Row],[Earned Salary]]</f>
        <v>15000</v>
      </c>
      <c r="M24" s="2" t="str">
        <f>_xlfn.XLOOKUP([1]!Operators[[#This Row],[EMP NAME]],[1]!Operator_Bank[Emp Name],[1]!Operator_Bank[Account Name])</f>
        <v>SIVA</v>
      </c>
      <c r="N24" s="279" t="str">
        <f>_xlfn.XLOOKUP([1]!Operators[[#This Row],[EMP NAME]],[1]!Operator_Bank[Emp Name],[1]!Operator_Bank[Branch])</f>
        <v>CHINNAR</v>
      </c>
      <c r="O24" s="400" t="str">
        <f>_xlfn.XLOOKUP([1]!Operators[[#This Row],[EMP NAME]],[1]!Operator_Bank[Emp Name],[1]!Operator_Bank[BANK NAME])</f>
        <v>PALLAVAN GRAMA BANK</v>
      </c>
    </row>
    <row r="25" spans="1:15" x14ac:dyDescent="0.3">
      <c r="A25" s="175">
        <v>25</v>
      </c>
      <c r="B25" s="393" t="s">
        <v>816</v>
      </c>
      <c r="C25" s="394">
        <v>10008</v>
      </c>
      <c r="D25" s="269"/>
      <c r="E25" s="268"/>
      <c r="F25" s="268"/>
      <c r="G25" s="268"/>
      <c r="H25" s="395">
        <f>[1]!Operators[[#This Row],['#Calculated Amount]]+[1]!Operators[[#This Row],[Payment Addition]]-[1]!Operators[[#This Row],[Monthly Deductions]]-[1]!Operators[[#This Row],[salary deductions]]-[1]!Operators[[#This Row],[Hold salary]]</f>
        <v>10008</v>
      </c>
      <c r="I25" s="393" t="s">
        <v>816</v>
      </c>
      <c r="J25" s="2" t="str">
        <f>_xlfn.XLOOKUP([1]!Operators[[#This Row],[EMP NAME]],[1]!Operator_Bank[Emp Name],[1]!Operator_Bank[IFSC CODE])</f>
        <v>IDIB000S023</v>
      </c>
      <c r="K25" s="2">
        <f>_xlfn.XLOOKUP([1]!Operators[[#This Row],[EMP NAME]],[1]!Operator_Bank[Emp Name],[1]!Operator_Bank[ACCOUNT NO])</f>
        <v>6614746437</v>
      </c>
      <c r="L25" s="2">
        <f>[1]!Operators[[#This Row],[Earned Salary]]</f>
        <v>10008</v>
      </c>
      <c r="M25" s="2" t="str">
        <f>_xlfn.XLOOKUP([1]!Operators[[#This Row],[EMP NAME]],[1]!Operator_Bank[Emp Name],[1]!Operator_Bank[Account Name])</f>
        <v>SOUNDARYA</v>
      </c>
      <c r="N25" s="279" t="str">
        <f>_xlfn.XLOOKUP([1]!Operators[[#This Row],[EMP NAME]],[1]!Operator_Bank[Emp Name],[1]!Operator_Bank[Branch])</f>
        <v>SHOOLAGIRI</v>
      </c>
      <c r="O25" s="400" t="str">
        <f>_xlfn.XLOOKUP([1]!Operators[[#This Row],[EMP NAME]],[1]!Operator_Bank[Emp Name],[1]!Operator_Bank[BANK NAME])</f>
        <v>INDIAN BANK</v>
      </c>
    </row>
    <row r="26" spans="1:15" x14ac:dyDescent="0.3">
      <c r="A26" s="175">
        <v>26</v>
      </c>
      <c r="B26" s="270" t="s">
        <v>814</v>
      </c>
      <c r="C26" s="396">
        <v>9208</v>
      </c>
      <c r="D26" s="269"/>
      <c r="E26" s="398"/>
      <c r="F26" s="398"/>
      <c r="G26" s="268"/>
      <c r="H26" s="395">
        <f>[1]!Operators[[#This Row],['#Calculated Amount]]+[1]!Operators[[#This Row],[Payment Addition]]-[1]!Operators[[#This Row],[Monthly Deductions]]-[1]!Operators[[#This Row],[salary deductions]]-[1]!Operators[[#This Row],[Hold salary]]</f>
        <v>9208</v>
      </c>
      <c r="I26" s="270" t="s">
        <v>814</v>
      </c>
      <c r="J26" s="2" t="str">
        <f>_xlfn.XLOOKUP([1]!Operators[[#This Row],[EMP NAME]],[1]!Operator_Bank[Emp Name],[1]!Operator_Bank[IFSC CODE])</f>
        <v>IDIB000N174</v>
      </c>
      <c r="K26" s="2">
        <f>_xlfn.XLOOKUP([1]!Operators[[#This Row],[EMP NAME]],[1]!Operator_Bank[Emp Name],[1]!Operator_Bank[ACCOUNT NO])</f>
        <v>7890268951</v>
      </c>
      <c r="L26" s="2">
        <f>[1]!Operators[[#This Row],[Earned Salary]]</f>
        <v>9208</v>
      </c>
      <c r="M26" s="2" t="str">
        <f>_xlfn.XLOOKUP([1]!Operators[[#This Row],[EMP NAME]],[1]!Operator_Bank[Emp Name],[1]!Operator_Bank[Account Name])</f>
        <v>SAVITHIRI</v>
      </c>
      <c r="N26" s="279" t="str">
        <f>_xlfn.XLOOKUP([1]!Operators[[#This Row],[EMP NAME]],[1]!Operator_Bank[Emp Name],[1]!Operator_Bank[Branch])</f>
        <v>NACHIKUPPAM</v>
      </c>
      <c r="O26" s="400" t="str">
        <f>_xlfn.XLOOKUP([1]!Operators[[#This Row],[EMP NAME]],[1]!Operator_Bank[Emp Name],[1]!Operator_Bank[BANK NAME])</f>
        <v>INDIAN BANK</v>
      </c>
    </row>
    <row r="27" spans="1:15" x14ac:dyDescent="0.3">
      <c r="A27" s="175">
        <v>27</v>
      </c>
      <c r="B27" s="270" t="s">
        <v>338</v>
      </c>
      <c r="C27" s="396">
        <v>14810</v>
      </c>
      <c r="D27" s="269"/>
      <c r="E27" s="268"/>
      <c r="F27" s="268"/>
      <c r="G27" s="268"/>
      <c r="H27" s="395">
        <f>[1]!Operators[[#This Row],['#Calculated Amount]]+[1]!Operators[[#This Row],[Payment Addition]]-[1]!Operators[[#This Row],[Monthly Deductions]]-[1]!Operators[[#This Row],[salary deductions]]-[1]!Operators[[#This Row],[Hold salary]]</f>
        <v>14810</v>
      </c>
      <c r="I27" s="270" t="s">
        <v>338</v>
      </c>
      <c r="J27" s="2" t="str">
        <f>_xlfn.XLOOKUP([1]!Operators[[#This Row],[EMP NAME]],[1]!Operator_Bank[Emp Name],[1]!Operator_Bank[IFSC CODE])</f>
        <v>IDIB000S023</v>
      </c>
      <c r="K27" s="2" t="str">
        <f>_xlfn.XLOOKUP([1]!Operators[[#This Row],[EMP NAME]],[1]!Operator_Bank[Emp Name],[1]!Operator_Bank[ACCOUNT NO])</f>
        <v>875724574</v>
      </c>
      <c r="L27" s="2">
        <f>[1]!Operators[[#This Row],[Earned Salary]]</f>
        <v>14810</v>
      </c>
      <c r="M27" s="2" t="str">
        <f>_xlfn.XLOOKUP([1]!Operators[[#This Row],[EMP NAME]],[1]!Operator_Bank[Emp Name],[1]!Operator_Bank[Account Name])</f>
        <v>SUGUNA B</v>
      </c>
      <c r="N27" s="279" t="str">
        <f>_xlfn.XLOOKUP([1]!Operators[[#This Row],[EMP NAME]],[1]!Operator_Bank[Emp Name],[1]!Operator_Bank[Branch])</f>
        <v>SHOOLAGIRI</v>
      </c>
      <c r="O27" s="400" t="str">
        <f>_xlfn.XLOOKUP([1]!Operators[[#This Row],[EMP NAME]],[1]!Operator_Bank[Emp Name],[1]!Operator_Bank[BANK NAME])</f>
        <v>INDIAN BANK</v>
      </c>
    </row>
    <row r="28" spans="1:15" x14ac:dyDescent="0.3">
      <c r="A28" s="175">
        <v>28</v>
      </c>
      <c r="B28" s="270" t="s">
        <v>339</v>
      </c>
      <c r="C28" s="396">
        <v>14410</v>
      </c>
      <c r="D28" s="269"/>
      <c r="E28" s="398">
        <v>608</v>
      </c>
      <c r="F28" s="398">
        <v>4281</v>
      </c>
      <c r="G28" s="268"/>
      <c r="H28" s="395">
        <f>[1]!Operators[[#This Row],['#Calculated Amount]]+[1]!Operators[[#This Row],[Payment Addition]]-[1]!Operators[[#This Row],[Monthly Deductions]]-[1]!Operators[[#This Row],[salary deductions]]-[1]!Operators[[#This Row],[Hold salary]]</f>
        <v>9521</v>
      </c>
      <c r="I28" s="270" t="s">
        <v>339</v>
      </c>
      <c r="J28" s="2" t="str">
        <f>_xlfn.XLOOKUP([1]!Operators[[#This Row],[EMP NAME]],[1]!Operator_Bank[Emp Name],[1]!Operator_Bank[IFSC CODE])</f>
        <v>IDIB0PLB001</v>
      </c>
      <c r="K28" s="2" t="str">
        <f>_xlfn.XLOOKUP([1]!Operators[[#This Row],[EMP NAME]],[1]!Operator_Bank[Emp Name],[1]!Operator_Bank[ACCOUNT NO])</f>
        <v>10044273359</v>
      </c>
      <c r="L28" s="2">
        <f>[1]!Operators[[#This Row],[Earned Salary]]</f>
        <v>9521</v>
      </c>
      <c r="M28" s="2" t="str">
        <f>_xlfn.XLOOKUP([1]!Operators[[#This Row],[EMP NAME]],[1]!Operator_Bank[Emp Name],[1]!Operator_Bank[Account Name])</f>
        <v>SUGUNA M</v>
      </c>
      <c r="N28" s="279" t="str">
        <f>_xlfn.XLOOKUP([1]!Operators[[#This Row],[EMP NAME]],[1]!Operator_Bank[Emp Name],[1]!Operator_Bank[Branch])</f>
        <v>SHOOLAGIRI</v>
      </c>
      <c r="O28" s="400" t="str">
        <f>_xlfn.XLOOKUP([1]!Operators[[#This Row],[EMP NAME]],[1]!Operator_Bank[Emp Name],[1]!Operator_Bank[BANK NAME])</f>
        <v>PALLAVAN GRAMA BANK</v>
      </c>
    </row>
    <row r="29" spans="1:15" x14ac:dyDescent="0.3">
      <c r="A29" s="175">
        <v>29</v>
      </c>
      <c r="B29" s="393" t="s">
        <v>340</v>
      </c>
      <c r="C29" s="394">
        <v>18761</v>
      </c>
      <c r="D29" s="269"/>
      <c r="E29" s="268"/>
      <c r="F29" s="268"/>
      <c r="G29" s="268"/>
      <c r="H29" s="395">
        <f>[1]!Operators[[#This Row],['#Calculated Amount]]+[1]!Operators[[#This Row],[Payment Addition]]-[1]!Operators[[#This Row],[Monthly Deductions]]-[1]!Operators[[#This Row],[salary deductions]]-[1]!Operators[[#This Row],[Hold salary]]</f>
        <v>18761</v>
      </c>
      <c r="I29" s="393" t="s">
        <v>340</v>
      </c>
      <c r="J29" s="2" t="str">
        <f>_xlfn.XLOOKUP([1]!Operators[[#This Row],[EMP NAME]],[1]!Operator_Bank[Emp Name],[1]!Operator_Bank[IFSC CODE])</f>
        <v>IDIB0PLB001</v>
      </c>
      <c r="K29" s="2" t="str">
        <f>_xlfn.XLOOKUP([1]!Operators[[#This Row],[EMP NAME]],[1]!Operator_Bank[Emp Name],[1]!Operator_Bank[ACCOUNT NO])</f>
        <v>10109936918</v>
      </c>
      <c r="L29" s="2">
        <f>[1]!Operators[[#This Row],[Earned Salary]]</f>
        <v>18761</v>
      </c>
      <c r="M29" s="2" t="str">
        <f>_xlfn.XLOOKUP([1]!Operators[[#This Row],[EMP NAME]],[1]!Operator_Bank[Emp Name],[1]!Operator_Bank[Account Name])</f>
        <v>SUJATHA G</v>
      </c>
      <c r="N29" s="279" t="str">
        <f>_xlfn.XLOOKUP([1]!Operators[[#This Row],[EMP NAME]],[1]!Operator_Bank[Emp Name],[1]!Operator_Bank[Branch])</f>
        <v>SHOOLAGIRI</v>
      </c>
      <c r="O29" s="400" t="str">
        <f>_xlfn.XLOOKUP([1]!Operators[[#This Row],[EMP NAME]],[1]!Operator_Bank[Emp Name],[1]!Operator_Bank[BANK NAME])</f>
        <v>PALLAVAN GRAMA BANK</v>
      </c>
    </row>
    <row r="30" spans="1:15" x14ac:dyDescent="0.3">
      <c r="A30" s="175">
        <v>30</v>
      </c>
      <c r="B30" s="270" t="s">
        <v>342</v>
      </c>
      <c r="C30" s="396">
        <v>18804</v>
      </c>
      <c r="D30" s="269"/>
      <c r="E30" s="268">
        <v>507</v>
      </c>
      <c r="F30" s="268">
        <v>3569</v>
      </c>
      <c r="G30" s="268"/>
      <c r="H30" s="395">
        <f>[1]!Operators[[#This Row],['#Calculated Amount]]+[1]!Operators[[#This Row],[Payment Addition]]-[1]!Operators[[#This Row],[Monthly Deductions]]-[1]!Operators[[#This Row],[salary deductions]]-[1]!Operators[[#This Row],[Hold salary]]</f>
        <v>14728</v>
      </c>
      <c r="I30" s="270" t="s">
        <v>342</v>
      </c>
      <c r="J30" s="2" t="str">
        <f>_xlfn.XLOOKUP([1]!Operators[[#This Row],[EMP NAME]],[1]!Operator_Bank[Emp Name],[1]!Operator_Bank[IFSC CODE])</f>
        <v>IDIB000S023</v>
      </c>
      <c r="K30" s="2" t="str">
        <f>_xlfn.XLOOKUP([1]!Operators[[#This Row],[EMP NAME]],[1]!Operator_Bank[Emp Name],[1]!Operator_Bank[ACCOUNT NO])</f>
        <v>6033522120</v>
      </c>
      <c r="L30" s="2">
        <f>[1]!Operators[[#This Row],[Earned Salary]]</f>
        <v>14728</v>
      </c>
      <c r="M30" s="2" t="str">
        <f>_xlfn.XLOOKUP([1]!Operators[[#This Row],[EMP NAME]],[1]!Operator_Bank[Emp Name],[1]!Operator_Bank[Account Name])</f>
        <v>SUJATHA S</v>
      </c>
      <c r="N30" s="279" t="str">
        <f>_xlfn.XLOOKUP([1]!Operators[[#This Row],[EMP NAME]],[1]!Operator_Bank[Emp Name],[1]!Operator_Bank[Branch])</f>
        <v>SHOOLAGIRI</v>
      </c>
      <c r="O30" s="400" t="str">
        <f>_xlfn.XLOOKUP([1]!Operators[[#This Row],[EMP NAME]],[1]!Operator_Bank[Emp Name],[1]!Operator_Bank[BANK NAME])</f>
        <v>INDIAN BANK</v>
      </c>
    </row>
    <row r="31" spans="1:15" x14ac:dyDescent="0.3">
      <c r="A31" s="175">
        <v>31</v>
      </c>
      <c r="B31" s="270" t="s">
        <v>153</v>
      </c>
      <c r="C31" s="396">
        <v>16750</v>
      </c>
      <c r="D31" s="270"/>
      <c r="E31" s="268"/>
      <c r="F31" s="268"/>
      <c r="G31" s="268"/>
      <c r="H31" s="395">
        <f>[1]!Operators[[#This Row],['#Calculated Amount]]+[1]!Operators[[#This Row],[Payment Addition]]-[1]!Operators[[#This Row],[Monthly Deductions]]-[1]!Operators[[#This Row],[salary deductions]]-[1]!Operators[[#This Row],[Hold salary]]</f>
        <v>16750</v>
      </c>
      <c r="I31" s="270" t="s">
        <v>153</v>
      </c>
      <c r="J31" s="2" t="str">
        <f>_xlfn.XLOOKUP([1]!Operators[[#This Row],[EMP NAME]],[1]!Operator_Bank[Emp Name],[1]!Operator_Bank[IFSC CODE])</f>
        <v>IDIB000S023</v>
      </c>
      <c r="K31" s="2" t="str">
        <f>_xlfn.XLOOKUP([1]!Operators[[#This Row],[EMP NAME]],[1]!Operator_Bank[Emp Name],[1]!Operator_Bank[ACCOUNT NO])</f>
        <v>7118556691</v>
      </c>
      <c r="L31" s="2">
        <f>[1]!Operators[[#This Row],[Earned Salary]]</f>
        <v>16750</v>
      </c>
      <c r="M31" s="2" t="str">
        <f>_xlfn.XLOOKUP([1]!Operators[[#This Row],[EMP NAME]],[1]!Operator_Bank[Emp Name],[1]!Operator_Bank[Account Name])</f>
        <v>THIMMARAJ</v>
      </c>
      <c r="N31" s="279" t="str">
        <f>_xlfn.XLOOKUP([1]!Operators[[#This Row],[EMP NAME]],[1]!Operator_Bank[Emp Name],[1]!Operator_Bank[Branch])</f>
        <v>SHOOLAGIRI</v>
      </c>
      <c r="O31" s="400" t="str">
        <f>_xlfn.XLOOKUP([1]!Operators[[#This Row],[EMP NAME]],[1]!Operator_Bank[Emp Name],[1]!Operator_Bank[BANK NAME])</f>
        <v>INDIAN BANK</v>
      </c>
    </row>
    <row r="32" spans="1:15" x14ac:dyDescent="0.3">
      <c r="A32" s="300">
        <v>32</v>
      </c>
      <c r="B32" s="393" t="s">
        <v>343</v>
      </c>
      <c r="C32" s="394">
        <v>15040</v>
      </c>
      <c r="D32" s="269"/>
      <c r="E32" s="268"/>
      <c r="F32" s="268"/>
      <c r="G32" s="268"/>
      <c r="H32" s="395">
        <f>[1]!Operators[[#This Row],['#Calculated Amount]]+[1]!Operators[[#This Row],[Payment Addition]]-[1]!Operators[[#This Row],[Monthly Deductions]]-[1]!Operators[[#This Row],[salary deductions]]-[1]!Operators[[#This Row],[Hold salary]]</f>
        <v>15040</v>
      </c>
      <c r="I32" s="393" t="s">
        <v>343</v>
      </c>
      <c r="J32" s="2" t="str">
        <f>_xlfn.XLOOKUP([1]!Operators[[#This Row],[EMP NAME]],[1]!Operator_Bank[Emp Name],[1]!Operator_Bank[IFSC CODE])</f>
        <v>IDIB000K202</v>
      </c>
      <c r="K32" s="2" t="str">
        <f>_xlfn.XLOOKUP([1]!Operators[[#This Row],[EMP NAME]],[1]!Operator_Bank[Emp Name],[1]!Operator_Bank[ACCOUNT NO])</f>
        <v>6107106130</v>
      </c>
      <c r="L32" s="2">
        <f>[1]!Operators[[#This Row],[Earned Salary]]</f>
        <v>15040</v>
      </c>
      <c r="M32" s="2" t="str">
        <f>_xlfn.XLOOKUP([1]!Operators[[#This Row],[EMP NAME]],[1]!Operator_Bank[Emp Name],[1]!Operator_Bank[Account Name])</f>
        <v>VEDIYAPPAN M</v>
      </c>
      <c r="N32" s="279" t="str">
        <f>_xlfn.XLOOKUP([1]!Operators[[#This Row],[EMP NAME]],[1]!Operator_Bank[Emp Name],[1]!Operator_Bank[Branch])</f>
        <v>KURUBARAPALLI</v>
      </c>
      <c r="O32" s="400" t="str">
        <f>_xlfn.XLOOKUP([1]!Operators[[#This Row],[EMP NAME]],[1]!Operator_Bank[Emp Name],[1]!Operator_Bank[BANK NAME])</f>
        <v>INDIAN BANK</v>
      </c>
    </row>
    <row r="33" spans="1:15" x14ac:dyDescent="0.3">
      <c r="A33" s="175">
        <v>33</v>
      </c>
      <c r="B33" s="12" t="s">
        <v>52</v>
      </c>
      <c r="C33" s="394">
        <v>10844</v>
      </c>
      <c r="D33" s="270"/>
      <c r="E33" s="268"/>
      <c r="F33" s="268"/>
      <c r="G33" s="268"/>
      <c r="H33" s="395">
        <f>[1]!Operators[[#This Row],['#Calculated Amount]]+[1]!Operators[[#This Row],[Payment Addition]]-[1]!Operators[[#This Row],[Monthly Deductions]]-[1]!Operators[[#This Row],[salary deductions]]-[1]!Operators[[#This Row],[Hold salary]]</f>
        <v>10844</v>
      </c>
      <c r="I33" s="12" t="s">
        <v>52</v>
      </c>
      <c r="J33" s="2" t="str">
        <f>_xlfn.XLOOKUP([1]!Operators[[#This Row],[EMP NAME]],[1]!Operator_Bank[Emp Name],[1]!Operator_Bank[IFSC CODE])</f>
        <v>CNRB0016470</v>
      </c>
      <c r="K33" s="2" t="str">
        <f>_xlfn.XLOOKUP([1]!Operators[[#This Row],[EMP NAME]],[1]!Operator_Bank[Emp Name],[1]!Operator_Bank[ACCOUNT NO])</f>
        <v>110156874725</v>
      </c>
      <c r="L33" s="2">
        <f>[1]!Operators[[#This Row],[Earned Salary]]</f>
        <v>10844</v>
      </c>
      <c r="M33" s="2" t="str">
        <f>_xlfn.XLOOKUP([1]!Operators[[#This Row],[EMP NAME]],[1]!Operator_Bank[Emp Name],[1]!Operator_Bank[Account Name])</f>
        <v>VENKATARAJ</v>
      </c>
      <c r="N33" s="279" t="str">
        <f>_xlfn.XLOOKUP([1]!Operators[[#This Row],[EMP NAME]],[1]!Operator_Bank[Emp Name],[1]!Operator_Bank[Branch])</f>
        <v>SHOOLAGIRI</v>
      </c>
      <c r="O33" s="400" t="str">
        <f>_xlfn.XLOOKUP([1]!Operators[[#This Row],[EMP NAME]],[1]!Operator_Bank[Emp Name],[1]!Operator_Bank[BANK NAME])</f>
        <v>CANARA BANK</v>
      </c>
    </row>
    <row r="34" spans="1:15" x14ac:dyDescent="0.3">
      <c r="A34" s="175">
        <v>34</v>
      </c>
      <c r="B34" s="270" t="s">
        <v>53</v>
      </c>
      <c r="C34" s="396">
        <v>15750</v>
      </c>
      <c r="D34" s="269"/>
      <c r="E34" s="268"/>
      <c r="F34" s="268"/>
      <c r="G34" s="268"/>
      <c r="H34" s="395">
        <f>[1]!Operators[[#This Row],['#Calculated Amount]]+[1]!Operators[[#This Row],[Payment Addition]]-[1]!Operators[[#This Row],[Monthly Deductions]]-[1]!Operators[[#This Row],[salary deductions]]-[1]!Operators[[#This Row],[Hold salary]]</f>
        <v>15750</v>
      </c>
      <c r="I34" s="270" t="s">
        <v>53</v>
      </c>
      <c r="J34" s="2" t="str">
        <f>_xlfn.XLOOKUP([1]!Operators[[#This Row],[EMP NAME]],[1]!Operator_Bank[Emp Name],[1]!Operator_Bank[IFSC CODE])</f>
        <v>IDIB000S023</v>
      </c>
      <c r="K34" s="2" t="str">
        <f>_xlfn.XLOOKUP([1]!Operators[[#This Row],[EMP NAME]],[1]!Operator_Bank[Emp Name],[1]!Operator_Bank[ACCOUNT NO])</f>
        <v>6797283511</v>
      </c>
      <c r="L34" s="2">
        <f>[1]!Operators[[#This Row],[Earned Salary]]</f>
        <v>15750</v>
      </c>
      <c r="M34" s="2" t="str">
        <f>_xlfn.XLOOKUP([1]!Operators[[#This Row],[EMP NAME]],[1]!Operator_Bank[Emp Name],[1]!Operator_Bank[Account Name])</f>
        <v>VENNILA</v>
      </c>
      <c r="N34" s="279" t="str">
        <f>_xlfn.XLOOKUP([1]!Operators[[#This Row],[EMP NAME]],[1]!Operator_Bank[Emp Name],[1]!Operator_Bank[Branch])</f>
        <v>SHOOLAGIRI</v>
      </c>
      <c r="O34" s="400" t="str">
        <f>_xlfn.XLOOKUP([1]!Operators[[#This Row],[EMP NAME]],[1]!Operator_Bank[Emp Name],[1]!Operator_Bank[BANK NAME])</f>
        <v>INDIAN BANK</v>
      </c>
    </row>
    <row r="35" spans="1:15" x14ac:dyDescent="0.3">
      <c r="A35" s="175">
        <v>35</v>
      </c>
      <c r="B35" s="275">
        <f>COUNT([1]!Operators[NAME])</f>
        <v>0</v>
      </c>
      <c r="C35" s="399">
        <f>SUM([1]!Operators['#Calculated Amount])</f>
        <v>482576</v>
      </c>
      <c r="D35" s="109"/>
      <c r="E35" s="299">
        <f>SUM([1]!Operators[Monthly Deductions])</f>
        <v>1772</v>
      </c>
      <c r="F35" s="299">
        <f>SUM([1]!Operators[salary deductions])</f>
        <v>12349</v>
      </c>
      <c r="G35" s="299">
        <f>SUM([1]!Operators[Hold salary])</f>
        <v>31176</v>
      </c>
      <c r="H35" s="299">
        <f>SUM([1]!Operators[Earned Salary])</f>
        <v>437279</v>
      </c>
      <c r="I35" s="280"/>
      <c r="J35" s="281"/>
      <c r="K35" s="282"/>
      <c r="L35" s="283">
        <f>SUBTOTAL(109,[1]!Operators[AMOUNT OF TRANSFER])</f>
        <v>437279</v>
      </c>
      <c r="M35" s="284"/>
      <c r="N35" s="284"/>
      <c r="O35" s="400"/>
    </row>
    <row r="36" spans="1:15" x14ac:dyDescent="0.3">
      <c r="C36" s="176"/>
      <c r="F36" s="176"/>
      <c r="G36" s="99"/>
    </row>
  </sheetData>
  <sheetProtection formatCells="0" formatColumns="0" formatRows="0" sort="0" autoFilter="0" pivotTables="0"/>
  <conditionalFormatting sqref="F36:G36 C36">
    <cfRule type="cellIs" dxfId="167" priority="52" operator="greaterThanOrEqual">
      <formula>17000</formula>
    </cfRule>
  </conditionalFormatting>
  <conditionalFormatting sqref="F36:G36 C36">
    <cfRule type="cellIs" dxfId="166" priority="51" operator="between">
      <formula>14000</formula>
      <formula>17000</formula>
    </cfRule>
  </conditionalFormatting>
  <conditionalFormatting sqref="F36:G36 C36">
    <cfRule type="cellIs" dxfId="165" priority="50" operator="between">
      <formula>10000</formula>
      <formula>14000</formula>
    </cfRule>
  </conditionalFormatting>
  <conditionalFormatting sqref="J2:O2">
    <cfRule type="expression" dxfId="164" priority="45">
      <formula>ISNA(J2)</formula>
    </cfRule>
  </conditionalFormatting>
  <conditionalFormatting sqref="D27:H27 D32:H32 D25:G25 D34:H34 D28:E28 G28 D26:E26 G26 D29:H30 C35:I35 H3:I34">
    <cfRule type="cellIs" dxfId="163" priority="12" operator="greaterThanOrEqual">
      <formula>17000</formula>
    </cfRule>
  </conditionalFormatting>
  <conditionalFormatting sqref="D27:H27 D32:H32 D25:G25 D34:H34 D28:E28 G28 D26:E26 G26 D29:H30 C35:I35 H3:I34">
    <cfRule type="cellIs" dxfId="162" priority="11" operator="between">
      <formula>14000</formula>
      <formula>17000</formula>
    </cfRule>
  </conditionalFormatting>
  <conditionalFormatting sqref="D27:H27 D32:H32 D25:G25 D34:H34 D28:E28 G28 D26:E26 G26 D29:H30 C35:I35 H3:I34">
    <cfRule type="cellIs" dxfId="161" priority="10" operator="between">
      <formula>10000</formula>
      <formula>14000</formula>
    </cfRule>
  </conditionalFormatting>
  <conditionalFormatting sqref="J3:P34">
    <cfRule type="expression" dxfId="160" priority="9">
      <formula>ISNA(J3)</formula>
    </cfRule>
  </conditionalFormatting>
  <conditionalFormatting sqref="D16:E16 D21:H23">
    <cfRule type="cellIs" dxfId="159" priority="8" operator="greaterThanOrEqual">
      <formula>17000</formula>
    </cfRule>
  </conditionalFormatting>
  <conditionalFormatting sqref="D16:E16 D21:H23">
    <cfRule type="cellIs" dxfId="158" priority="7" operator="between">
      <formula>14000</formula>
      <formula>17000</formula>
    </cfRule>
  </conditionalFormatting>
  <conditionalFormatting sqref="D16:E16 D21:H23">
    <cfRule type="cellIs" dxfId="157" priority="6" operator="between">
      <formula>10000</formula>
      <formula>14000</formula>
    </cfRule>
  </conditionalFormatting>
  <conditionalFormatting sqref="J35:K35">
    <cfRule type="duplicateValues" dxfId="156" priority="13"/>
  </conditionalFormatting>
  <conditionalFormatting sqref="M3:M35">
    <cfRule type="expression" dxfId="155" priority="5">
      <formula>$L$3&lt;&gt;$H$3</formula>
    </cfRule>
  </conditionalFormatting>
  <conditionalFormatting sqref="B23:C23">
    <cfRule type="duplicateValues" dxfId="154" priority="4"/>
  </conditionalFormatting>
  <conditionalFormatting sqref="I23:J23">
    <cfRule type="duplicateValues" dxfId="153" priority="3"/>
  </conditionalFormatting>
  <conditionalFormatting sqref="I33:J33">
    <cfRule type="duplicateValues" dxfId="152" priority="2"/>
  </conditionalFormatting>
  <conditionalFormatting sqref="B33:C33">
    <cfRule type="duplicateValues" dxfId="151" priority="14"/>
  </conditionalFormatting>
  <conditionalFormatting sqref="L3:L35">
    <cfRule type="expression" dxfId="150" priority="1">
      <formula>$L$3&lt;&gt;$H$3</formula>
    </cfRule>
  </conditionalFormatting>
  <pageMargins left="0.7" right="0.7" top="0.75" bottom="0.75" header="0.3" footer="0.3"/>
  <pageSetup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Copy_Operators_BankSheet">
                <anchor moveWithCells="1" sizeWithCells="1">
                  <from>
                    <xdr:col>1</xdr:col>
                    <xdr:colOff>22860</xdr:colOff>
                    <xdr:row>0</xdr:row>
                    <xdr:rowOff>53340</xdr:rowOff>
                  </from>
                  <to>
                    <xdr:col>2</xdr:col>
                    <xdr:colOff>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58D0-7819-4F95-BF3F-D3AA96F7465D}">
  <sheetPr codeName="Sheet18"/>
  <dimension ref="A1:W4"/>
  <sheetViews>
    <sheetView workbookViewId="0">
      <selection activeCell="O8" sqref="O8"/>
    </sheetView>
  </sheetViews>
  <sheetFormatPr defaultColWidth="8.77734375" defaultRowHeight="14.4" x14ac:dyDescent="0.3"/>
  <cols>
    <col min="1" max="1" width="13.6640625" bestFit="1" customWidth="1"/>
    <col min="2" max="2" width="4.77734375" bestFit="1" customWidth="1"/>
    <col min="3" max="3" width="14.33203125" bestFit="1" customWidth="1"/>
    <col min="4" max="4" width="2" bestFit="1" customWidth="1"/>
    <col min="5" max="5" width="20.109375" style="77" bestFit="1" customWidth="1"/>
    <col min="6" max="6" width="2" bestFit="1" customWidth="1"/>
    <col min="7" max="7" width="27.44140625" bestFit="1" customWidth="1"/>
    <col min="8" max="8" width="2" bestFit="1" customWidth="1"/>
    <col min="9" max="9" width="12.109375" style="77" bestFit="1" customWidth="1"/>
    <col min="10" max="10" width="2" bestFit="1" customWidth="1"/>
    <col min="11" max="11" width="17.109375" style="77" bestFit="1" customWidth="1"/>
    <col min="12" max="12" width="2" bestFit="1" customWidth="1"/>
    <col min="13" max="13" width="3" style="68" bestFit="1" customWidth="1"/>
    <col min="14" max="14" width="2" bestFit="1" customWidth="1"/>
    <col min="15" max="15" width="21" style="68" bestFit="1" customWidth="1"/>
    <col min="16" max="16" width="2" bestFit="1" customWidth="1"/>
    <col min="17" max="17" width="19.33203125" style="77" bestFit="1" customWidth="1"/>
    <col min="18" max="18" width="2" bestFit="1" customWidth="1"/>
    <col min="19" max="19" width="26.109375" style="77" bestFit="1" customWidth="1"/>
    <col min="20" max="20" width="2" bestFit="1" customWidth="1"/>
    <col min="21" max="21" width="2" style="68" bestFit="1" customWidth="1"/>
    <col min="22" max="22" width="2" bestFit="1" customWidth="1"/>
    <col min="23" max="23" width="23.6640625" style="77" bestFit="1" customWidth="1"/>
  </cols>
  <sheetData>
    <row r="1" spans="1:23" x14ac:dyDescent="0.3">
      <c r="A1" s="100" t="s">
        <v>351</v>
      </c>
      <c r="B1" s="100"/>
      <c r="C1" s="100" t="s">
        <v>315</v>
      </c>
      <c r="D1" s="100" t="s">
        <v>226</v>
      </c>
      <c r="E1" s="198" t="s">
        <v>316</v>
      </c>
      <c r="F1" s="100" t="s">
        <v>226</v>
      </c>
      <c r="G1" s="100" t="s">
        <v>317</v>
      </c>
      <c r="H1" s="100" t="s">
        <v>226</v>
      </c>
      <c r="I1" s="198" t="s">
        <v>30</v>
      </c>
      <c r="J1" s="100" t="s">
        <v>226</v>
      </c>
      <c r="K1" s="198" t="s">
        <v>29</v>
      </c>
      <c r="L1" s="100" t="s">
        <v>226</v>
      </c>
      <c r="M1" s="197">
        <v>10</v>
      </c>
      <c r="N1" s="100" t="s">
        <v>226</v>
      </c>
      <c r="O1" s="197" t="s">
        <v>230</v>
      </c>
      <c r="P1" s="100" t="s">
        <v>226</v>
      </c>
      <c r="Q1" s="198" t="s">
        <v>227</v>
      </c>
      <c r="R1" s="100" t="s">
        <v>226</v>
      </c>
      <c r="S1" s="198" t="s">
        <v>228</v>
      </c>
      <c r="T1" s="100" t="s">
        <v>226</v>
      </c>
      <c r="U1" s="197">
        <v>2</v>
      </c>
      <c r="V1" s="100" t="s">
        <v>226</v>
      </c>
      <c r="W1" s="198" t="s">
        <v>229</v>
      </c>
    </row>
    <row r="2" spans="1:23" x14ac:dyDescent="0.3">
      <c r="A2" s="72" t="s">
        <v>56</v>
      </c>
      <c r="B2" s="72"/>
      <c r="C2" s="72" t="s">
        <v>318</v>
      </c>
      <c r="D2" s="72" t="s">
        <v>226</v>
      </c>
      <c r="E2" s="196"/>
      <c r="F2" s="72" t="s">
        <v>226</v>
      </c>
      <c r="G2" s="72" t="s">
        <v>319</v>
      </c>
      <c r="H2" s="72" t="s">
        <v>226</v>
      </c>
      <c r="I2" s="196" t="s">
        <v>136</v>
      </c>
      <c r="J2" s="72" t="s">
        <v>226</v>
      </c>
      <c r="K2" s="196" t="s">
        <v>279</v>
      </c>
      <c r="L2" s="72" t="s">
        <v>226</v>
      </c>
      <c r="M2" s="195">
        <v>10</v>
      </c>
      <c r="N2" s="72" t="s">
        <v>226</v>
      </c>
      <c r="O2" s="195">
        <v>19171</v>
      </c>
      <c r="P2" s="72" t="s">
        <v>226</v>
      </c>
      <c r="Q2" s="196"/>
      <c r="R2" s="72" t="s">
        <v>226</v>
      </c>
      <c r="S2" s="196" t="s">
        <v>159</v>
      </c>
      <c r="T2" s="72" t="s">
        <v>226</v>
      </c>
      <c r="U2" s="195">
        <v>2</v>
      </c>
      <c r="V2" s="72" t="s">
        <v>226</v>
      </c>
      <c r="W2" s="196" t="s">
        <v>76</v>
      </c>
    </row>
    <row r="3" spans="1:23" x14ac:dyDescent="0.3">
      <c r="A3" s="72" t="s">
        <v>155</v>
      </c>
      <c r="B3" s="72"/>
      <c r="C3" s="72" t="s">
        <v>318</v>
      </c>
      <c r="D3" s="72" t="s">
        <v>226</v>
      </c>
      <c r="E3" s="196"/>
      <c r="F3" s="72" t="s">
        <v>226</v>
      </c>
      <c r="G3" s="72" t="s">
        <v>319</v>
      </c>
      <c r="H3" s="72" t="s">
        <v>226</v>
      </c>
      <c r="I3" s="196" t="s">
        <v>156</v>
      </c>
      <c r="J3" s="72" t="s">
        <v>226</v>
      </c>
      <c r="K3" s="196" t="s">
        <v>268</v>
      </c>
      <c r="L3" s="72" t="s">
        <v>226</v>
      </c>
      <c r="M3" s="195">
        <v>10</v>
      </c>
      <c r="N3" s="72" t="s">
        <v>226</v>
      </c>
      <c r="O3" s="195">
        <v>21980</v>
      </c>
      <c r="P3" s="72" t="s">
        <v>226</v>
      </c>
      <c r="Q3" s="196"/>
      <c r="R3" s="72" t="s">
        <v>226</v>
      </c>
      <c r="S3" s="196" t="s">
        <v>78</v>
      </c>
      <c r="T3" s="72" t="s">
        <v>226</v>
      </c>
      <c r="U3" s="195">
        <v>2</v>
      </c>
      <c r="V3" s="72" t="s">
        <v>226</v>
      </c>
      <c r="W3" s="196" t="s">
        <v>79</v>
      </c>
    </row>
    <row r="4" spans="1:23" x14ac:dyDescent="0.3">
      <c r="A4" s="72" t="s">
        <v>1612</v>
      </c>
      <c r="B4" s="72"/>
      <c r="C4" s="72" t="s">
        <v>318</v>
      </c>
      <c r="D4" s="72" t="s">
        <v>226</v>
      </c>
      <c r="E4" s="196"/>
      <c r="F4" s="72" t="s">
        <v>226</v>
      </c>
      <c r="G4" s="72" t="s">
        <v>319</v>
      </c>
      <c r="H4" s="72" t="s">
        <v>226</v>
      </c>
      <c r="I4" s="196" t="s">
        <v>83</v>
      </c>
      <c r="J4" s="72" t="s">
        <v>226</v>
      </c>
      <c r="K4" s="196" t="s">
        <v>1613</v>
      </c>
      <c r="L4" s="72" t="s">
        <v>226</v>
      </c>
      <c r="M4" s="195">
        <v>10</v>
      </c>
      <c r="N4" s="72" t="s">
        <v>226</v>
      </c>
      <c r="O4" s="195">
        <v>7315</v>
      </c>
      <c r="P4" s="72" t="s">
        <v>226</v>
      </c>
      <c r="Q4" s="196"/>
      <c r="R4" s="72" t="s">
        <v>226</v>
      </c>
      <c r="S4" s="196" t="s">
        <v>78</v>
      </c>
      <c r="T4" s="72" t="s">
        <v>226</v>
      </c>
      <c r="U4" s="195">
        <v>2</v>
      </c>
      <c r="V4" s="72" t="s">
        <v>226</v>
      </c>
      <c r="W4" s="196" t="s">
        <v>131</v>
      </c>
    </row>
  </sheetData>
  <sheetProtection sheet="1" objects="1" scenarios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68B94-CF52-47B1-B039-68F40A2D2FC3}">
  <sheetPr codeName="Sheet6">
    <tabColor theme="0"/>
  </sheetPr>
  <dimension ref="A1:L23"/>
  <sheetViews>
    <sheetView zoomScale="145" zoomScaleNormal="145" workbookViewId="0">
      <selection activeCell="F4" sqref="F4"/>
    </sheetView>
  </sheetViews>
  <sheetFormatPr defaultColWidth="9.33203125" defaultRowHeight="14.25" customHeight="1" x14ac:dyDescent="0.25"/>
  <cols>
    <col min="1" max="1" width="9" style="1" customWidth="1"/>
    <col min="2" max="2" width="13.33203125" style="1" customWidth="1"/>
    <col min="3" max="3" width="24.33203125" style="1" customWidth="1"/>
    <col min="4" max="4" width="10.6640625" style="44" bestFit="1" customWidth="1"/>
    <col min="5" max="5" width="20.33203125" style="44" customWidth="1"/>
    <col min="6" max="6" width="15.44140625" style="1" customWidth="1"/>
    <col min="7" max="7" width="27.77734375" style="1" customWidth="1"/>
    <col min="8" max="8" width="16.6640625" style="1" customWidth="1"/>
    <col min="9" max="9" width="20.33203125" style="1" customWidth="1"/>
    <col min="10" max="10" width="12.44140625" style="1" bestFit="1" customWidth="1"/>
    <col min="11" max="11" width="15.109375" style="1" bestFit="1" customWidth="1"/>
    <col min="12" max="12" width="27.6640625" style="1" customWidth="1"/>
    <col min="13" max="16384" width="9.33203125" style="1"/>
  </cols>
  <sheetData>
    <row r="1" spans="1:12" ht="31.95" customHeight="1" thickBot="1" x14ac:dyDescent="0.5">
      <c r="D1" s="417"/>
      <c r="E1" s="417"/>
      <c r="F1" s="8"/>
      <c r="G1" s="40" t="s">
        <v>88</v>
      </c>
    </row>
    <row r="2" spans="1:12" ht="42" customHeight="1" x14ac:dyDescent="0.25">
      <c r="A2" s="377" t="s">
        <v>21</v>
      </c>
      <c r="B2" s="377" t="s">
        <v>1625</v>
      </c>
      <c r="C2" s="378" t="s">
        <v>22</v>
      </c>
      <c r="D2" s="138" t="s">
        <v>23</v>
      </c>
      <c r="E2" s="138" t="s">
        <v>25</v>
      </c>
      <c r="F2" s="139" t="s">
        <v>26</v>
      </c>
      <c r="G2" s="379" t="s">
        <v>351</v>
      </c>
      <c r="H2" s="379" t="s">
        <v>30</v>
      </c>
      <c r="I2" s="379" t="s">
        <v>29</v>
      </c>
      <c r="J2" s="379" t="s">
        <v>230</v>
      </c>
      <c r="K2" s="379" t="s">
        <v>228</v>
      </c>
      <c r="L2" s="379" t="s">
        <v>229</v>
      </c>
    </row>
    <row r="3" spans="1:12" s="382" customFormat="1" ht="15.75" customHeight="1" x14ac:dyDescent="0.3">
      <c r="A3" s="380">
        <f>ROW() - ROW(I_B[[#Headers],[S.NO]])</f>
        <v>1</v>
      </c>
      <c r="B3" s="380" t="s">
        <v>55</v>
      </c>
      <c r="C3" s="108" t="s">
        <v>56</v>
      </c>
      <c r="D3" s="201">
        <v>19171</v>
      </c>
      <c r="E3" s="140"/>
      <c r="F3" s="141">
        <f>I_B[[#This Row],[Piece Rate Payment]]-I_B[[#This Row],[Deductions]]</f>
        <v>19171</v>
      </c>
      <c r="G3" s="381" t="str">
        <f>I_B[[#This Row],[NAME]]</f>
        <v>GOVINDARAJ</v>
      </c>
      <c r="H3" s="381" t="str">
        <f>_xlfn.XLOOKUP(I_B[[#This Row],[EMP NAME]],I_B_Bank[EMP NAME],I_B_Bank[IFSC CODE])</f>
        <v>IDIB000N174</v>
      </c>
      <c r="I3" s="381" t="str">
        <f>_xlfn.XLOOKUP(I_B[[#This Row],[EMP NAME]],I_B_Bank[EMP NAME],I_B_Bank[ACCOUNT NO])</f>
        <v>7410270460</v>
      </c>
      <c r="J3" s="381">
        <f>I_B[[#This Row],[EARN SALARY]]</f>
        <v>19171</v>
      </c>
      <c r="K3" s="381" t="str">
        <f>_xlfn.XLOOKUP(I_B[[#This Row],[EMP NAME]],I_B_Bank[EMP NAME],I_B_Bank[Branch])</f>
        <v>NACHIKUPPAM</v>
      </c>
      <c r="L3" s="381" t="str">
        <f>_xlfn.XLOOKUP(I_B[[#This Row],[EMP NAME]],I_B_Bank[EMP NAME],I_B_Bank[BANK NAME])</f>
        <v>INDIAN BANK</v>
      </c>
    </row>
    <row r="4" spans="1:12" s="382" customFormat="1" ht="15.75" customHeight="1" x14ac:dyDescent="0.3">
      <c r="A4" s="380">
        <f>ROW() - ROW(I_B[[#Headers],[S.NO]])</f>
        <v>2</v>
      </c>
      <c r="B4" s="380" t="s">
        <v>55</v>
      </c>
      <c r="C4" s="108" t="s">
        <v>155</v>
      </c>
      <c r="D4" s="201">
        <v>21980</v>
      </c>
      <c r="E4" s="140"/>
      <c r="F4" s="141">
        <f>I_B[[#This Row],[Piece Rate Payment]]-I_B[[#This Row],[Deductions]]</f>
        <v>21980</v>
      </c>
      <c r="G4" s="381" t="str">
        <f>I_B[[#This Row],[NAME]]</f>
        <v>MURUGAN</v>
      </c>
      <c r="H4" s="381" t="str">
        <f>_xlfn.XLOOKUP(I_B[[#This Row],[EMP NAME]],I_B_Bank[EMP NAME],I_B_Bank[IFSC CODE])</f>
        <v>KVBL0001832</v>
      </c>
      <c r="I4" s="381" t="str">
        <f>_xlfn.XLOOKUP(I_B[[#This Row],[EMP NAME]],I_B_Bank[EMP NAME],I_B_Bank[ACCOUNT NO])</f>
        <v>1832155000029198</v>
      </c>
      <c r="J4" s="381">
        <f>I_B[[#This Row],[EARN SALARY]]</f>
        <v>21980</v>
      </c>
      <c r="K4" s="381" t="str">
        <f>_xlfn.XLOOKUP(I_B[[#This Row],[EMP NAME]],I_B_Bank[EMP NAME],I_B_Bank[Branch])</f>
        <v>SHOOLAGIRI</v>
      </c>
      <c r="L4" s="381" t="str">
        <f>_xlfn.XLOOKUP(I_B[[#This Row],[EMP NAME]],I_B_Bank[EMP NAME],I_B_Bank[BANK NAME])</f>
        <v>KARUR VYSYA BANK</v>
      </c>
    </row>
    <row r="5" spans="1:12" s="382" customFormat="1" ht="15.75" customHeight="1" x14ac:dyDescent="0.3">
      <c r="A5" s="380">
        <f>ROW() - ROW(I_B[[#Headers],[S.NO]])</f>
        <v>3</v>
      </c>
      <c r="B5" s="380" t="s">
        <v>55</v>
      </c>
      <c r="C5" s="108" t="s">
        <v>820</v>
      </c>
      <c r="D5" s="201">
        <v>7315</v>
      </c>
      <c r="E5" s="140"/>
      <c r="F5" s="141">
        <f>I_B[[#This Row],[Piece Rate Payment]]-I_B[[#This Row],[Deductions]]</f>
        <v>7315</v>
      </c>
      <c r="G5" s="383" t="s">
        <v>1612</v>
      </c>
      <c r="H5" s="381" t="str">
        <f>_xlfn.XLOOKUP(I_B[[#This Row],[EMP NAME]],I_B_Bank[EMP NAME],I_B_Bank[IFSC CODE])</f>
        <v>IDIB0PLB001</v>
      </c>
      <c r="I5" s="381" t="str">
        <f>_xlfn.XLOOKUP(I_B[[#This Row],[EMP NAME]],I_B_Bank[EMP NAME],I_B_Bank[ACCOUNT NO])</f>
        <v>10227773468</v>
      </c>
      <c r="J5" s="381">
        <f>I_B[[#This Row],[EARN SALARY]]</f>
        <v>7315</v>
      </c>
      <c r="K5" s="381" t="str">
        <f>_xlfn.XLOOKUP(I_B[[#This Row],[EMP NAME]],I_B_Bank[EMP NAME],I_B_Bank[Branch])</f>
        <v>SHOOLAGIRI</v>
      </c>
      <c r="L5" s="381" t="str">
        <f>_xlfn.XLOOKUP(I_B[[#This Row],[EMP NAME]],I_B_Bank[EMP NAME],I_B_Bank[BANK NAME])</f>
        <v>TAMILNADU GRAMA BANK</v>
      </c>
    </row>
    <row r="6" spans="1:12" s="192" customFormat="1" ht="14.25" customHeight="1" x14ac:dyDescent="0.25">
      <c r="A6" s="153">
        <f>COUNT(I_B[S.NO])</f>
        <v>3</v>
      </c>
      <c r="B6" s="190"/>
      <c r="C6" s="191"/>
      <c r="D6" s="45">
        <f>SUM(D3:D5)</f>
        <v>48466</v>
      </c>
      <c r="E6" s="45">
        <f>SUM(E3:E5)</f>
        <v>0</v>
      </c>
      <c r="F6" s="45">
        <f>SUM(F3:F5)</f>
        <v>48466</v>
      </c>
      <c r="G6" s="191"/>
    </row>
    <row r="7" spans="1:12" ht="13.8" x14ac:dyDescent="0.25"/>
    <row r="8" spans="1:12" ht="13.8" x14ac:dyDescent="0.25"/>
    <row r="9" spans="1:12" ht="13.8" x14ac:dyDescent="0.25"/>
    <row r="10" spans="1:12" ht="13.8" x14ac:dyDescent="0.25">
      <c r="G10" s="7"/>
    </row>
    <row r="11" spans="1:12" ht="13.8" x14ac:dyDescent="0.25">
      <c r="G11" s="7"/>
    </row>
    <row r="12" spans="1:12" ht="13.8" x14ac:dyDescent="0.25">
      <c r="G12" s="7"/>
    </row>
    <row r="13" spans="1:12" ht="13.8" x14ac:dyDescent="0.25">
      <c r="G13" s="7"/>
    </row>
    <row r="14" spans="1:12" ht="13.8" x14ac:dyDescent="0.25">
      <c r="G14" s="7"/>
    </row>
    <row r="15" spans="1:12" ht="13.8" x14ac:dyDescent="0.25">
      <c r="G15" s="7"/>
    </row>
    <row r="16" spans="1:12" ht="13.8" x14ac:dyDescent="0.25">
      <c r="G16" s="7"/>
    </row>
    <row r="17" spans="7:7" ht="13.8" x14ac:dyDescent="0.25">
      <c r="G17" s="7"/>
    </row>
    <row r="18" spans="7:7" ht="13.8" x14ac:dyDescent="0.25">
      <c r="G18" s="7"/>
    </row>
    <row r="19" spans="7:7" ht="13.8" x14ac:dyDescent="0.25">
      <c r="G19" s="7"/>
    </row>
    <row r="20" spans="7:7" ht="13.8" x14ac:dyDescent="0.25">
      <c r="G20" s="7"/>
    </row>
    <row r="21" spans="7:7" ht="13.8" x14ac:dyDescent="0.25">
      <c r="G21" s="7"/>
    </row>
    <row r="22" spans="7:7" ht="13.8" x14ac:dyDescent="0.25">
      <c r="G22" s="7"/>
    </row>
    <row r="23" spans="7:7" ht="13.8" x14ac:dyDescent="0.25">
      <c r="G23" s="7"/>
    </row>
  </sheetData>
  <protectedRanges>
    <protectedRange sqref="G1 G6:G1048576 A7:E1048576 B6:F6 A1:E2 A3:B5" name="Range1"/>
    <protectedRange sqref="C3:E5" name="Range1_1"/>
  </protectedRanges>
  <mergeCells count="1">
    <mergeCell ref="D1:E1"/>
  </mergeCells>
  <conditionalFormatting sqref="D3:D5">
    <cfRule type="cellIs" dxfId="112" priority="4" operator="greaterThanOrEqual">
      <formula>17000</formula>
    </cfRule>
  </conditionalFormatting>
  <conditionalFormatting sqref="D3:D5">
    <cfRule type="cellIs" dxfId="111" priority="3" operator="between">
      <formula>14000</formula>
      <formula>17000</formula>
    </cfRule>
  </conditionalFormatting>
  <conditionalFormatting sqref="D3:D5">
    <cfRule type="cellIs" dxfId="110" priority="2" operator="between">
      <formula>10000</formula>
      <formula>14000</formula>
    </cfRule>
  </conditionalFormatting>
  <conditionalFormatting sqref="G5">
    <cfRule type="duplicateValues" dxfId="109" priority="1"/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1764B-FCE8-4B88-AFDD-78063CDC0DFF}">
  <sheetPr codeName="Sheet14">
    <pageSetUpPr fitToPage="1"/>
  </sheetPr>
  <dimension ref="A1:G432"/>
  <sheetViews>
    <sheetView workbookViewId="0">
      <selection activeCell="C7" sqref="C7"/>
    </sheetView>
  </sheetViews>
  <sheetFormatPr defaultColWidth="8.77734375" defaultRowHeight="14.4" x14ac:dyDescent="0.3"/>
  <cols>
    <col min="1" max="1" width="29.6640625" customWidth="1"/>
    <col min="2" max="2" width="27.33203125" bestFit="1" customWidth="1"/>
    <col min="3" max="3" width="32.77734375" style="77" customWidth="1"/>
    <col min="4" max="4" width="25" customWidth="1"/>
    <col min="5" max="5" width="28.44140625" customWidth="1"/>
    <col min="6" max="6" width="25.77734375" customWidth="1"/>
  </cols>
  <sheetData>
    <row r="1" spans="1:6" ht="30.75" customHeight="1" x14ac:dyDescent="0.3">
      <c r="A1" s="13" t="s">
        <v>123</v>
      </c>
    </row>
    <row r="2" spans="1:6" ht="26.25" customHeight="1" x14ac:dyDescent="0.3">
      <c r="A2" s="9" t="s">
        <v>349</v>
      </c>
      <c r="B2" s="9" t="s">
        <v>27</v>
      </c>
      <c r="C2" s="10" t="s">
        <v>28</v>
      </c>
      <c r="D2" s="78" t="s">
        <v>29</v>
      </c>
      <c r="E2" s="10" t="s">
        <v>30</v>
      </c>
      <c r="F2" s="11" t="s">
        <v>31</v>
      </c>
    </row>
    <row r="3" spans="1:6" ht="20.25" customHeight="1" x14ac:dyDescent="0.3">
      <c r="A3" s="12" t="s">
        <v>330</v>
      </c>
      <c r="B3" s="12" t="s">
        <v>330</v>
      </c>
      <c r="C3" s="12" t="s">
        <v>76</v>
      </c>
      <c r="D3" s="79" t="s">
        <v>231</v>
      </c>
      <c r="E3" s="12" t="s">
        <v>77</v>
      </c>
      <c r="F3" s="12" t="s">
        <v>78</v>
      </c>
    </row>
    <row r="4" spans="1:6" ht="20.25" customHeight="1" x14ac:dyDescent="0.3">
      <c r="A4" s="12" t="s">
        <v>32</v>
      </c>
      <c r="B4" s="12" t="s">
        <v>32</v>
      </c>
      <c r="C4" s="12" t="s">
        <v>124</v>
      </c>
      <c r="D4" s="79" t="s">
        <v>232</v>
      </c>
      <c r="E4" s="12" t="s">
        <v>83</v>
      </c>
      <c r="F4" s="12" t="s">
        <v>78</v>
      </c>
    </row>
    <row r="5" spans="1:6" ht="20.25" customHeight="1" x14ac:dyDescent="0.3">
      <c r="A5" s="12" t="s">
        <v>33</v>
      </c>
      <c r="B5" s="12" t="s">
        <v>33</v>
      </c>
      <c r="C5" s="12" t="s">
        <v>125</v>
      </c>
      <c r="D5" s="79" t="s">
        <v>233</v>
      </c>
      <c r="E5" s="12" t="s">
        <v>126</v>
      </c>
      <c r="F5" s="12" t="s">
        <v>127</v>
      </c>
    </row>
    <row r="6" spans="1:6" ht="20.25" customHeight="1" x14ac:dyDescent="0.3">
      <c r="A6" s="72" t="s">
        <v>34</v>
      </c>
      <c r="B6" s="72" t="s">
        <v>34</v>
      </c>
      <c r="C6" s="12" t="s">
        <v>79</v>
      </c>
      <c r="D6" s="79" t="s">
        <v>234</v>
      </c>
      <c r="E6" s="12" t="s">
        <v>128</v>
      </c>
      <c r="F6" s="12" t="s">
        <v>129</v>
      </c>
    </row>
    <row r="7" spans="1:6" ht="20.25" customHeight="1" x14ac:dyDescent="0.3">
      <c r="A7" s="12" t="s">
        <v>35</v>
      </c>
      <c r="B7" s="12" t="s">
        <v>35</v>
      </c>
      <c r="C7" s="12" t="s">
        <v>82</v>
      </c>
      <c r="D7" s="79" t="s">
        <v>235</v>
      </c>
      <c r="E7" s="12" t="s">
        <v>83</v>
      </c>
      <c r="F7" s="12" t="s">
        <v>78</v>
      </c>
    </row>
    <row r="8" spans="1:6" ht="20.25" customHeight="1" x14ac:dyDescent="0.3">
      <c r="A8" s="12" t="s">
        <v>36</v>
      </c>
      <c r="B8" s="12" t="s">
        <v>36</v>
      </c>
      <c r="C8" s="12" t="s">
        <v>116</v>
      </c>
      <c r="D8" s="79" t="s">
        <v>236</v>
      </c>
      <c r="E8" s="12" t="s">
        <v>130</v>
      </c>
      <c r="F8" s="12" t="s">
        <v>78</v>
      </c>
    </row>
    <row r="9" spans="1:6" ht="20.25" customHeight="1" x14ac:dyDescent="0.3">
      <c r="A9" s="12" t="s">
        <v>37</v>
      </c>
      <c r="B9" s="12" t="s">
        <v>37</v>
      </c>
      <c r="C9" s="12" t="s">
        <v>76</v>
      </c>
      <c r="D9" s="79" t="s">
        <v>237</v>
      </c>
      <c r="E9" s="12" t="s">
        <v>77</v>
      </c>
      <c r="F9" s="12" t="s">
        <v>78</v>
      </c>
    </row>
    <row r="10" spans="1:6" ht="20.25" customHeight="1" x14ac:dyDescent="0.3">
      <c r="A10" s="12" t="s">
        <v>38</v>
      </c>
      <c r="B10" s="12" t="s">
        <v>38</v>
      </c>
      <c r="C10" s="12" t="s">
        <v>76</v>
      </c>
      <c r="D10" s="79" t="s">
        <v>238</v>
      </c>
      <c r="E10" s="12" t="s">
        <v>77</v>
      </c>
      <c r="F10" s="12" t="s">
        <v>78</v>
      </c>
    </row>
    <row r="11" spans="1:6" ht="20.25" customHeight="1" x14ac:dyDescent="0.3">
      <c r="A11" s="12" t="s">
        <v>331</v>
      </c>
      <c r="B11" s="12" t="s">
        <v>331</v>
      </c>
      <c r="C11" s="12" t="s">
        <v>116</v>
      </c>
      <c r="D11" s="79" t="s">
        <v>239</v>
      </c>
      <c r="E11" s="12" t="s">
        <v>130</v>
      </c>
      <c r="F11" s="12" t="s">
        <v>78</v>
      </c>
    </row>
    <row r="12" spans="1:6" ht="20.25" customHeight="1" x14ac:dyDescent="0.3">
      <c r="A12" s="12" t="s">
        <v>332</v>
      </c>
      <c r="B12" s="12" t="s">
        <v>332</v>
      </c>
      <c r="C12" s="12" t="s">
        <v>131</v>
      </c>
      <c r="D12" s="79" t="s">
        <v>240</v>
      </c>
      <c r="E12" s="12" t="s">
        <v>83</v>
      </c>
      <c r="F12" s="12" t="s">
        <v>78</v>
      </c>
    </row>
    <row r="13" spans="1:6" ht="20.25" customHeight="1" x14ac:dyDescent="0.3">
      <c r="A13" s="12" t="s">
        <v>135</v>
      </c>
      <c r="B13" s="12" t="s">
        <v>135</v>
      </c>
      <c r="C13" s="12" t="s">
        <v>82</v>
      </c>
      <c r="D13" s="79" t="s">
        <v>241</v>
      </c>
      <c r="E13" s="12" t="s">
        <v>83</v>
      </c>
      <c r="F13" s="12" t="s">
        <v>78</v>
      </c>
    </row>
    <row r="14" spans="1:6" ht="20.25" customHeight="1" x14ac:dyDescent="0.3">
      <c r="A14" s="12" t="s">
        <v>333</v>
      </c>
      <c r="B14" s="12" t="s">
        <v>333</v>
      </c>
      <c r="C14" s="12" t="s">
        <v>76</v>
      </c>
      <c r="D14" s="79" t="s">
        <v>242</v>
      </c>
      <c r="E14" s="12" t="s">
        <v>77</v>
      </c>
      <c r="F14" s="12" t="s">
        <v>78</v>
      </c>
    </row>
    <row r="15" spans="1:6" ht="20.25" customHeight="1" x14ac:dyDescent="0.3">
      <c r="A15" s="12" t="s">
        <v>40</v>
      </c>
      <c r="B15" s="12" t="s">
        <v>40</v>
      </c>
      <c r="C15" s="12" t="s">
        <v>76</v>
      </c>
      <c r="D15" s="79" t="s">
        <v>243</v>
      </c>
      <c r="E15" s="12" t="s">
        <v>77</v>
      </c>
      <c r="F15" s="12" t="s">
        <v>78</v>
      </c>
    </row>
    <row r="16" spans="1:6" ht="20.25" customHeight="1" x14ac:dyDescent="0.3">
      <c r="A16" s="12" t="s">
        <v>139</v>
      </c>
      <c r="B16" s="12" t="s">
        <v>139</v>
      </c>
      <c r="C16" s="12" t="s">
        <v>76</v>
      </c>
      <c r="D16" s="79" t="s">
        <v>244</v>
      </c>
      <c r="E16" s="12" t="s">
        <v>77</v>
      </c>
      <c r="F16" s="12" t="s">
        <v>78</v>
      </c>
    </row>
    <row r="17" spans="1:6" ht="20.25" customHeight="1" x14ac:dyDescent="0.3">
      <c r="A17" s="12" t="s">
        <v>334</v>
      </c>
      <c r="B17" s="12" t="s">
        <v>334</v>
      </c>
      <c r="C17" s="12" t="s">
        <v>124</v>
      </c>
      <c r="D17" s="79" t="s">
        <v>246</v>
      </c>
      <c r="E17" s="12" t="s">
        <v>83</v>
      </c>
      <c r="F17" s="12" t="s">
        <v>144</v>
      </c>
    </row>
    <row r="18" spans="1:6" ht="20.25" customHeight="1" x14ac:dyDescent="0.3">
      <c r="A18" s="12" t="s">
        <v>43</v>
      </c>
      <c r="B18" s="12" t="s">
        <v>43</v>
      </c>
      <c r="C18" s="12" t="s">
        <v>76</v>
      </c>
      <c r="D18" s="79" t="s">
        <v>247</v>
      </c>
      <c r="E18" s="12" t="s">
        <v>77</v>
      </c>
      <c r="F18" s="12" t="s">
        <v>78</v>
      </c>
    </row>
    <row r="19" spans="1:6" ht="20.25" customHeight="1" x14ac:dyDescent="0.3">
      <c r="A19" s="12" t="s">
        <v>44</v>
      </c>
      <c r="B19" s="12" t="s">
        <v>44</v>
      </c>
      <c r="C19" s="12" t="s">
        <v>116</v>
      </c>
      <c r="D19" s="79" t="s">
        <v>248</v>
      </c>
      <c r="E19" s="12" t="s">
        <v>145</v>
      </c>
      <c r="F19" s="12" t="s">
        <v>111</v>
      </c>
    </row>
    <row r="20" spans="1:6" ht="20.25" customHeight="1" x14ac:dyDescent="0.3">
      <c r="A20" s="12" t="s">
        <v>545</v>
      </c>
      <c r="B20" s="12" t="s">
        <v>545</v>
      </c>
      <c r="C20" s="12" t="s">
        <v>76</v>
      </c>
      <c r="D20" s="79" t="s">
        <v>250</v>
      </c>
      <c r="E20" s="12" t="s">
        <v>136</v>
      </c>
      <c r="F20" s="12" t="s">
        <v>137</v>
      </c>
    </row>
    <row r="21" spans="1:6" ht="20.25" customHeight="1" x14ac:dyDescent="0.3">
      <c r="A21" s="12" t="s">
        <v>45</v>
      </c>
      <c r="B21" s="12" t="s">
        <v>45</v>
      </c>
      <c r="C21" s="12" t="s">
        <v>82</v>
      </c>
      <c r="D21" s="79" t="s">
        <v>251</v>
      </c>
      <c r="E21" s="12" t="s">
        <v>83</v>
      </c>
      <c r="F21" s="12" t="s">
        <v>78</v>
      </c>
    </row>
    <row r="22" spans="1:6" ht="20.25" customHeight="1" x14ac:dyDescent="0.3">
      <c r="A22" s="12" t="s">
        <v>336</v>
      </c>
      <c r="B22" s="12" t="s">
        <v>336</v>
      </c>
      <c r="C22" s="12" t="s">
        <v>76</v>
      </c>
      <c r="D22" s="79" t="s">
        <v>253</v>
      </c>
      <c r="E22" s="12" t="s">
        <v>77</v>
      </c>
      <c r="F22" s="12" t="s">
        <v>78</v>
      </c>
    </row>
    <row r="23" spans="1:6" ht="20.25" customHeight="1" x14ac:dyDescent="0.3">
      <c r="A23" s="12" t="s">
        <v>46</v>
      </c>
      <c r="B23" s="12" t="s">
        <v>46</v>
      </c>
      <c r="C23" s="12" t="s">
        <v>124</v>
      </c>
      <c r="D23" s="79" t="s">
        <v>255</v>
      </c>
      <c r="E23" s="12" t="s">
        <v>83</v>
      </c>
      <c r="F23" s="12" t="s">
        <v>134</v>
      </c>
    </row>
    <row r="24" spans="1:6" ht="20.25" customHeight="1" x14ac:dyDescent="0.3">
      <c r="A24" s="12" t="s">
        <v>337</v>
      </c>
      <c r="B24" s="12" t="s">
        <v>337</v>
      </c>
      <c r="C24" s="12" t="s">
        <v>76</v>
      </c>
      <c r="D24" s="79" t="s">
        <v>256</v>
      </c>
      <c r="E24" s="12" t="s">
        <v>77</v>
      </c>
      <c r="F24" s="12" t="s">
        <v>78</v>
      </c>
    </row>
    <row r="25" spans="1:6" ht="20.25" customHeight="1" x14ac:dyDescent="0.3">
      <c r="A25" s="12" t="s">
        <v>338</v>
      </c>
      <c r="B25" s="12" t="s">
        <v>338</v>
      </c>
      <c r="C25" s="12" t="s">
        <v>76</v>
      </c>
      <c r="D25" s="79" t="s">
        <v>257</v>
      </c>
      <c r="E25" s="12" t="s">
        <v>77</v>
      </c>
      <c r="F25" s="12" t="s">
        <v>78</v>
      </c>
    </row>
    <row r="26" spans="1:6" ht="20.25" customHeight="1" x14ac:dyDescent="0.3">
      <c r="A26" s="12" t="s">
        <v>339</v>
      </c>
      <c r="B26" s="12" t="s">
        <v>339</v>
      </c>
      <c r="C26" s="12" t="s">
        <v>82</v>
      </c>
      <c r="D26" s="79" t="s">
        <v>258</v>
      </c>
      <c r="E26" s="12" t="s">
        <v>83</v>
      </c>
      <c r="F26" s="12" t="s">
        <v>78</v>
      </c>
    </row>
    <row r="27" spans="1:6" ht="20.25" customHeight="1" x14ac:dyDescent="0.3">
      <c r="A27" s="12" t="s">
        <v>341</v>
      </c>
      <c r="B27" s="12" t="s">
        <v>341</v>
      </c>
      <c r="C27" s="12" t="s">
        <v>76</v>
      </c>
      <c r="D27" s="79" t="s">
        <v>259</v>
      </c>
      <c r="E27" s="12" t="s">
        <v>77</v>
      </c>
      <c r="F27" s="12" t="s">
        <v>78</v>
      </c>
    </row>
    <row r="28" spans="1:6" ht="20.25" customHeight="1" x14ac:dyDescent="0.3">
      <c r="A28" s="12" t="s">
        <v>340</v>
      </c>
      <c r="B28" s="12" t="s">
        <v>340</v>
      </c>
      <c r="C28" s="12" t="s">
        <v>82</v>
      </c>
      <c r="D28" s="79" t="s">
        <v>260</v>
      </c>
      <c r="E28" s="12" t="s">
        <v>83</v>
      </c>
      <c r="F28" s="12" t="s">
        <v>78</v>
      </c>
    </row>
    <row r="29" spans="1:6" ht="20.25" customHeight="1" x14ac:dyDescent="0.3">
      <c r="A29" s="12" t="s">
        <v>342</v>
      </c>
      <c r="B29" s="12" t="s">
        <v>342</v>
      </c>
      <c r="C29" s="12" t="s">
        <v>76</v>
      </c>
      <c r="D29" s="79" t="s">
        <v>261</v>
      </c>
      <c r="E29" s="12" t="s">
        <v>77</v>
      </c>
      <c r="F29" s="12" t="s">
        <v>78</v>
      </c>
    </row>
    <row r="30" spans="1:6" ht="20.25" customHeight="1" x14ac:dyDescent="0.3">
      <c r="A30" s="12" t="s">
        <v>50</v>
      </c>
      <c r="B30" s="12" t="s">
        <v>50</v>
      </c>
      <c r="C30" s="12" t="s">
        <v>82</v>
      </c>
      <c r="D30" s="79" t="s">
        <v>262</v>
      </c>
      <c r="E30" s="12" t="s">
        <v>83</v>
      </c>
      <c r="F30" s="12" t="s">
        <v>144</v>
      </c>
    </row>
    <row r="31" spans="1:6" ht="20.25" customHeight="1" x14ac:dyDescent="0.3">
      <c r="A31" s="12" t="s">
        <v>153</v>
      </c>
      <c r="B31" s="12" t="s">
        <v>153</v>
      </c>
      <c r="C31" s="12" t="s">
        <v>76</v>
      </c>
      <c r="D31" s="79" t="s">
        <v>263</v>
      </c>
      <c r="E31" s="12" t="s">
        <v>77</v>
      </c>
      <c r="F31" s="12" t="s">
        <v>78</v>
      </c>
    </row>
    <row r="32" spans="1:6" ht="20.25" customHeight="1" x14ac:dyDescent="0.3">
      <c r="A32" s="12" t="s">
        <v>51</v>
      </c>
      <c r="B32" s="12" t="s">
        <v>51</v>
      </c>
      <c r="C32" s="12" t="s">
        <v>76</v>
      </c>
      <c r="D32" s="79" t="s">
        <v>264</v>
      </c>
      <c r="E32" s="12" t="s">
        <v>154</v>
      </c>
      <c r="F32" s="12" t="s">
        <v>142</v>
      </c>
    </row>
    <row r="33" spans="1:6" ht="20.25" customHeight="1" x14ac:dyDescent="0.3">
      <c r="A33" s="12" t="s">
        <v>343</v>
      </c>
      <c r="B33" s="12" t="s">
        <v>343</v>
      </c>
      <c r="C33" s="12" t="s">
        <v>76</v>
      </c>
      <c r="D33" s="79" t="s">
        <v>265</v>
      </c>
      <c r="E33" s="12" t="s">
        <v>132</v>
      </c>
      <c r="F33" s="12" t="s">
        <v>133</v>
      </c>
    </row>
    <row r="34" spans="1:6" ht="20.25" customHeight="1" x14ac:dyDescent="0.3">
      <c r="A34" s="12" t="s">
        <v>52</v>
      </c>
      <c r="B34" s="12" t="s">
        <v>52</v>
      </c>
      <c r="C34" s="12" t="s">
        <v>116</v>
      </c>
      <c r="D34" s="79" t="s">
        <v>266</v>
      </c>
      <c r="E34" s="12" t="s">
        <v>130</v>
      </c>
      <c r="F34" s="12" t="s">
        <v>78</v>
      </c>
    </row>
    <row r="35" spans="1:6" ht="20.25" customHeight="1" x14ac:dyDescent="0.3">
      <c r="A35" s="12" t="s">
        <v>53</v>
      </c>
      <c r="B35" s="12" t="s">
        <v>53</v>
      </c>
      <c r="C35" s="12" t="s">
        <v>76</v>
      </c>
      <c r="D35" s="79" t="s">
        <v>267</v>
      </c>
      <c r="E35" s="12" t="s">
        <v>77</v>
      </c>
      <c r="F35" s="12" t="s">
        <v>78</v>
      </c>
    </row>
    <row r="36" spans="1:6" ht="20.25" customHeight="1" x14ac:dyDescent="0.3">
      <c r="A36" s="69" t="s">
        <v>311</v>
      </c>
      <c r="B36" s="69" t="s">
        <v>311</v>
      </c>
      <c r="C36" s="69" t="s">
        <v>312</v>
      </c>
      <c r="D36" s="85">
        <v>5216352180</v>
      </c>
      <c r="E36" s="69" t="s">
        <v>313</v>
      </c>
      <c r="F36" s="69" t="s">
        <v>111</v>
      </c>
    </row>
    <row r="37" spans="1:6" ht="20.25" customHeight="1" x14ac:dyDescent="0.3">
      <c r="A37" s="69" t="s">
        <v>353</v>
      </c>
      <c r="B37" s="69" t="s">
        <v>353</v>
      </c>
      <c r="C37" s="85" t="s">
        <v>76</v>
      </c>
      <c r="D37" s="102" t="s">
        <v>354</v>
      </c>
      <c r="E37" s="12" t="s">
        <v>77</v>
      </c>
      <c r="F37" s="12" t="s">
        <v>78</v>
      </c>
    </row>
    <row r="38" spans="1:6" ht="20.25" customHeight="1" x14ac:dyDescent="0.3">
      <c r="A38" s="12" t="s">
        <v>39</v>
      </c>
      <c r="B38" s="12" t="s">
        <v>331</v>
      </c>
      <c r="C38" s="12" t="s">
        <v>116</v>
      </c>
      <c r="D38" s="79" t="s">
        <v>239</v>
      </c>
      <c r="E38" s="12" t="s">
        <v>130</v>
      </c>
      <c r="F38" s="12" t="s">
        <v>78</v>
      </c>
    </row>
    <row r="39" spans="1:6" ht="20.25" customHeight="1" x14ac:dyDescent="0.3">
      <c r="A39" s="12" t="s">
        <v>335</v>
      </c>
      <c r="B39" s="12" t="s">
        <v>335</v>
      </c>
      <c r="C39" s="12" t="s">
        <v>76</v>
      </c>
      <c r="D39" s="79" t="s">
        <v>254</v>
      </c>
      <c r="E39" s="12" t="s">
        <v>77</v>
      </c>
      <c r="F39" s="12" t="s">
        <v>78</v>
      </c>
    </row>
    <row r="40" spans="1:6" ht="20.25" customHeight="1" x14ac:dyDescent="0.3">
      <c r="A40" s="72" t="s">
        <v>794</v>
      </c>
      <c r="B40" s="72" t="s">
        <v>794</v>
      </c>
      <c r="C40" s="12" t="s">
        <v>124</v>
      </c>
      <c r="D40" s="79" t="s">
        <v>530</v>
      </c>
      <c r="E40" s="12" t="s">
        <v>83</v>
      </c>
      <c r="F40" s="12" t="s">
        <v>144</v>
      </c>
    </row>
    <row r="41" spans="1:6" ht="20.25" customHeight="1" x14ac:dyDescent="0.3">
      <c r="A41" s="12" t="s">
        <v>544</v>
      </c>
      <c r="B41" s="12" t="str">
        <f>Operator_Bank[[#This Row],[Emp Name]]</f>
        <v>NIKITHA</v>
      </c>
      <c r="C41" s="12" t="s">
        <v>76</v>
      </c>
      <c r="D41" s="79" t="s">
        <v>531</v>
      </c>
      <c r="E41" s="12" t="s">
        <v>77</v>
      </c>
      <c r="F41" s="12" t="s">
        <v>78</v>
      </c>
    </row>
    <row r="42" spans="1:6" ht="20.25" customHeight="1" x14ac:dyDescent="0.3">
      <c r="A42" s="12" t="s">
        <v>149</v>
      </c>
      <c r="B42" s="12" t="s">
        <v>149</v>
      </c>
      <c r="C42" s="12" t="s">
        <v>76</v>
      </c>
      <c r="D42" s="79" t="s">
        <v>252</v>
      </c>
      <c r="E42" s="12" t="s">
        <v>77</v>
      </c>
      <c r="F42" s="12" t="s">
        <v>78</v>
      </c>
    </row>
    <row r="43" spans="1:6" ht="20.25" customHeight="1" x14ac:dyDescent="0.3">
      <c r="A43" s="12" t="s">
        <v>138</v>
      </c>
      <c r="B43" s="12" t="s">
        <v>138</v>
      </c>
      <c r="C43" s="12" t="s">
        <v>76</v>
      </c>
      <c r="D43" s="79" t="s">
        <v>534</v>
      </c>
      <c r="E43" s="12" t="s">
        <v>77</v>
      </c>
      <c r="F43" s="12" t="s">
        <v>78</v>
      </c>
    </row>
    <row r="44" spans="1:6" ht="20.25" customHeight="1" x14ac:dyDescent="0.3">
      <c r="A44" s="12" t="s">
        <v>146</v>
      </c>
      <c r="B44" s="12" t="s">
        <v>146</v>
      </c>
      <c r="C44" s="12" t="s">
        <v>125</v>
      </c>
      <c r="D44" s="79" t="s">
        <v>249</v>
      </c>
      <c r="E44" s="12" t="s">
        <v>141</v>
      </c>
      <c r="F44" s="12" t="s">
        <v>129</v>
      </c>
    </row>
    <row r="45" spans="1:6" ht="20.25" customHeight="1" x14ac:dyDescent="0.3">
      <c r="A45" s="72" t="s">
        <v>818</v>
      </c>
      <c r="B45" s="72" t="s">
        <v>795</v>
      </c>
      <c r="C45" s="323" t="s">
        <v>76</v>
      </c>
      <c r="D45" s="324" t="s">
        <v>799</v>
      </c>
      <c r="E45" s="323" t="s">
        <v>136</v>
      </c>
      <c r="F45" s="323" t="s">
        <v>159</v>
      </c>
    </row>
    <row r="46" spans="1:6" ht="20.25" customHeight="1" x14ac:dyDescent="0.3">
      <c r="A46" s="12" t="s">
        <v>796</v>
      </c>
      <c r="B46" s="12" t="s">
        <v>796</v>
      </c>
      <c r="C46" s="12" t="s">
        <v>131</v>
      </c>
      <c r="D46" s="79" t="s">
        <v>800</v>
      </c>
      <c r="E46" s="12" t="s">
        <v>83</v>
      </c>
      <c r="F46" s="12" t="s">
        <v>78</v>
      </c>
    </row>
    <row r="47" spans="1:6" ht="20.25" customHeight="1" x14ac:dyDescent="0.3">
      <c r="A47" s="278" t="s">
        <v>797</v>
      </c>
      <c r="B47" s="278" t="s">
        <v>797</v>
      </c>
      <c r="C47" s="276" t="s">
        <v>82</v>
      </c>
      <c r="D47" s="277" t="s">
        <v>798</v>
      </c>
      <c r="E47" s="276" t="s">
        <v>83</v>
      </c>
      <c r="F47" s="276" t="s">
        <v>78</v>
      </c>
    </row>
    <row r="48" spans="1:6" ht="20.25" customHeight="1" x14ac:dyDescent="0.3">
      <c r="A48" s="71" t="s">
        <v>814</v>
      </c>
      <c r="B48" s="71" t="s">
        <v>217</v>
      </c>
      <c r="C48" s="270" t="s">
        <v>76</v>
      </c>
      <c r="D48" s="274">
        <v>7890268951</v>
      </c>
      <c r="E48" s="270" t="s">
        <v>136</v>
      </c>
      <c r="F48" s="270" t="s">
        <v>159</v>
      </c>
    </row>
    <row r="49" spans="1:6" ht="20.25" customHeight="1" x14ac:dyDescent="0.3">
      <c r="A49" s="71" t="s">
        <v>824</v>
      </c>
      <c r="B49" s="71" t="s">
        <v>824</v>
      </c>
      <c r="C49" s="276" t="s">
        <v>822</v>
      </c>
      <c r="D49" s="277" t="s">
        <v>823</v>
      </c>
      <c r="E49" s="276" t="s">
        <v>113</v>
      </c>
      <c r="F49" s="276" t="s">
        <v>114</v>
      </c>
    </row>
    <row r="50" spans="1:6" ht="20.25" customHeight="1" x14ac:dyDescent="0.3">
      <c r="A50" s="71" t="s">
        <v>815</v>
      </c>
      <c r="B50" s="71" t="s">
        <v>815</v>
      </c>
      <c r="C50" s="276" t="s">
        <v>82</v>
      </c>
      <c r="D50" s="276">
        <v>10051509229</v>
      </c>
      <c r="E50" s="276" t="s">
        <v>83</v>
      </c>
      <c r="F50" s="276" t="s">
        <v>144</v>
      </c>
    </row>
    <row r="51" spans="1:6" ht="20.25" customHeight="1" x14ac:dyDescent="0.3">
      <c r="A51" s="71" t="s">
        <v>816</v>
      </c>
      <c r="B51" s="71" t="s">
        <v>816</v>
      </c>
      <c r="C51" s="276" t="s">
        <v>112</v>
      </c>
      <c r="D51" s="276">
        <v>43314537597</v>
      </c>
      <c r="E51" s="276" t="s">
        <v>150</v>
      </c>
      <c r="F51" s="276" t="s">
        <v>78</v>
      </c>
    </row>
    <row r="52" spans="1:6" ht="20.25" customHeight="1" x14ac:dyDescent="0.3">
      <c r="A52" s="71" t="s">
        <v>817</v>
      </c>
      <c r="B52" s="71" t="s">
        <v>817</v>
      </c>
      <c r="C52" s="276" t="s">
        <v>147</v>
      </c>
      <c r="D52" s="276" t="s">
        <v>821</v>
      </c>
      <c r="E52" s="276" t="s">
        <v>148</v>
      </c>
      <c r="F52" s="276" t="s">
        <v>134</v>
      </c>
    </row>
    <row r="53" spans="1:6" ht="20.25" customHeight="1" x14ac:dyDescent="0.3">
      <c r="A53" s="41"/>
      <c r="B53" s="41"/>
      <c r="C53" s="42"/>
      <c r="D53" s="82"/>
      <c r="E53" s="42"/>
      <c r="F53" s="43"/>
    </row>
    <row r="54" spans="1:6" x14ac:dyDescent="0.3">
      <c r="A54" s="149" t="s">
        <v>351</v>
      </c>
      <c r="B54" s="149" t="s">
        <v>350</v>
      </c>
      <c r="C54" s="150" t="s">
        <v>28</v>
      </c>
      <c r="D54" s="151" t="s">
        <v>29</v>
      </c>
      <c r="E54" s="150" t="s">
        <v>30</v>
      </c>
      <c r="F54" s="152" t="s">
        <v>31</v>
      </c>
    </row>
    <row r="55" spans="1:6" ht="20.25" customHeight="1" x14ac:dyDescent="0.3">
      <c r="A55" s="12" t="s">
        <v>93</v>
      </c>
      <c r="B55" s="12" t="s">
        <v>93</v>
      </c>
      <c r="C55" s="12" t="s">
        <v>116</v>
      </c>
      <c r="D55" s="79" t="s">
        <v>269</v>
      </c>
      <c r="E55" s="12" t="s">
        <v>121</v>
      </c>
      <c r="F55" s="12" t="s">
        <v>122</v>
      </c>
    </row>
    <row r="56" spans="1:6" ht="20.25" customHeight="1" x14ac:dyDescent="0.3">
      <c r="A56" s="12" t="s">
        <v>95</v>
      </c>
      <c r="B56" s="12" t="s">
        <v>95</v>
      </c>
      <c r="C56" s="12" t="s">
        <v>112</v>
      </c>
      <c r="D56" s="79" t="s">
        <v>270</v>
      </c>
      <c r="E56" s="12" t="s">
        <v>119</v>
      </c>
      <c r="F56" s="12" t="s">
        <v>120</v>
      </c>
    </row>
    <row r="57" spans="1:6" ht="20.25" customHeight="1" x14ac:dyDescent="0.3">
      <c r="A57" s="12" t="s">
        <v>97</v>
      </c>
      <c r="B57" s="12" t="s">
        <v>97</v>
      </c>
      <c r="C57" s="12" t="s">
        <v>112</v>
      </c>
      <c r="D57" s="79" t="s">
        <v>271</v>
      </c>
      <c r="E57" s="12" t="s">
        <v>113</v>
      </c>
      <c r="F57" s="12" t="s">
        <v>114</v>
      </c>
    </row>
    <row r="58" spans="1:6" ht="20.25" customHeight="1" x14ac:dyDescent="0.3">
      <c r="A58" s="12" t="s">
        <v>99</v>
      </c>
      <c r="B58" s="12" t="s">
        <v>99</v>
      </c>
      <c r="C58" s="12" t="s">
        <v>109</v>
      </c>
      <c r="D58" s="79" t="s">
        <v>272</v>
      </c>
      <c r="E58" s="12" t="s">
        <v>110</v>
      </c>
      <c r="F58" s="12" t="s">
        <v>111</v>
      </c>
    </row>
    <row r="59" spans="1:6" ht="20.25" customHeight="1" x14ac:dyDescent="0.3">
      <c r="A59" s="93" t="s">
        <v>100</v>
      </c>
      <c r="B59" s="12" t="s">
        <v>101</v>
      </c>
      <c r="C59" s="12" t="s">
        <v>116</v>
      </c>
      <c r="D59" s="79" t="s">
        <v>273</v>
      </c>
      <c r="E59" s="12" t="s">
        <v>117</v>
      </c>
      <c r="F59" s="12" t="s">
        <v>118</v>
      </c>
    </row>
    <row r="60" spans="1:6" ht="20.25" customHeight="1" x14ac:dyDescent="0.3">
      <c r="A60" s="93" t="s">
        <v>102</v>
      </c>
      <c r="B60" s="12" t="s">
        <v>104</v>
      </c>
      <c r="C60" s="12" t="s">
        <v>76</v>
      </c>
      <c r="D60" s="79" t="s">
        <v>274</v>
      </c>
      <c r="E60" s="12" t="s">
        <v>77</v>
      </c>
      <c r="F60" s="12" t="s">
        <v>78</v>
      </c>
    </row>
    <row r="61" spans="1:6" ht="20.25" customHeight="1" x14ac:dyDescent="0.3">
      <c r="A61" s="12" t="s">
        <v>105</v>
      </c>
      <c r="B61" s="12" t="s">
        <v>105</v>
      </c>
      <c r="C61" s="12" t="s">
        <v>112</v>
      </c>
      <c r="D61" s="79" t="s">
        <v>275</v>
      </c>
      <c r="E61" s="12" t="s">
        <v>113</v>
      </c>
      <c r="F61" s="12" t="s">
        <v>114</v>
      </c>
    </row>
    <row r="62" spans="1:6" ht="20.25" customHeight="1" x14ac:dyDescent="0.3">
      <c r="A62" s="12" t="s">
        <v>91</v>
      </c>
      <c r="B62" s="12" t="s">
        <v>91</v>
      </c>
      <c r="C62" s="12" t="s">
        <v>76</v>
      </c>
      <c r="D62" s="79" t="s">
        <v>276</v>
      </c>
      <c r="E62" s="12" t="s">
        <v>143</v>
      </c>
      <c r="F62" s="12" t="s">
        <v>115</v>
      </c>
    </row>
    <row r="63" spans="1:6" ht="20.25" customHeight="1" x14ac:dyDescent="0.3">
      <c r="A63" s="12" t="s">
        <v>107</v>
      </c>
      <c r="B63" s="12" t="s">
        <v>107</v>
      </c>
      <c r="C63" s="12" t="s">
        <v>131</v>
      </c>
      <c r="D63" s="79" t="s">
        <v>277</v>
      </c>
      <c r="E63" s="12" t="s">
        <v>83</v>
      </c>
      <c r="F63" s="12" t="s">
        <v>78</v>
      </c>
    </row>
    <row r="64" spans="1:6" x14ac:dyDescent="0.3">
      <c r="A64" s="12"/>
      <c r="B64" s="12"/>
      <c r="C64" s="79"/>
      <c r="D64" s="12"/>
      <c r="E64" s="12"/>
    </row>
    <row r="65" spans="1:6" x14ac:dyDescent="0.3">
      <c r="A65" s="12"/>
      <c r="B65" s="12"/>
      <c r="C65" s="79"/>
      <c r="D65" s="12"/>
      <c r="E65" s="12"/>
    </row>
    <row r="66" spans="1:6" ht="18" x14ac:dyDescent="0.3">
      <c r="A66" s="13" t="s">
        <v>157</v>
      </c>
      <c r="B66" s="12"/>
      <c r="C66" s="79"/>
      <c r="D66" s="12"/>
      <c r="E66" s="12"/>
    </row>
    <row r="67" spans="1:6" ht="20.25" customHeight="1" x14ac:dyDescent="0.3">
      <c r="A67" s="42" t="s">
        <v>351</v>
      </c>
      <c r="B67" s="41" t="s">
        <v>27</v>
      </c>
      <c r="C67" s="42" t="s">
        <v>28</v>
      </c>
      <c r="D67" s="82" t="s">
        <v>29</v>
      </c>
      <c r="E67" s="42" t="s">
        <v>30</v>
      </c>
      <c r="F67" s="43" t="s">
        <v>31</v>
      </c>
    </row>
    <row r="68" spans="1:6" ht="20.25" customHeight="1" x14ac:dyDescent="0.3">
      <c r="A68" s="325" t="s">
        <v>820</v>
      </c>
      <c r="B68" s="326"/>
      <c r="C68" s="325"/>
      <c r="D68" s="327"/>
      <c r="E68" s="325"/>
      <c r="F68" s="328"/>
    </row>
    <row r="69" spans="1:6" ht="20.25" customHeight="1" x14ac:dyDescent="0.3">
      <c r="A69" s="12" t="s">
        <v>158</v>
      </c>
      <c r="B69" s="12" t="s">
        <v>158</v>
      </c>
      <c r="C69" s="12" t="s">
        <v>131</v>
      </c>
      <c r="D69" s="79" t="s">
        <v>278</v>
      </c>
      <c r="E69" s="12" t="s">
        <v>83</v>
      </c>
      <c r="F69" s="12" t="s">
        <v>78</v>
      </c>
    </row>
    <row r="70" spans="1:6" ht="20.25" customHeight="1" x14ac:dyDescent="0.3">
      <c r="A70" s="12" t="s">
        <v>1612</v>
      </c>
      <c r="B70" s="12" t="s">
        <v>1612</v>
      </c>
      <c r="C70" s="12" t="s">
        <v>131</v>
      </c>
      <c r="D70" s="79" t="s">
        <v>1613</v>
      </c>
      <c r="E70" s="12" t="s">
        <v>83</v>
      </c>
      <c r="F70" s="12" t="s">
        <v>78</v>
      </c>
    </row>
    <row r="71" spans="1:6" ht="20.25" customHeight="1" x14ac:dyDescent="0.3">
      <c r="A71" s="12" t="s">
        <v>56</v>
      </c>
      <c r="B71" s="12" t="s">
        <v>56</v>
      </c>
      <c r="C71" s="12" t="s">
        <v>76</v>
      </c>
      <c r="D71" s="79" t="s">
        <v>279</v>
      </c>
      <c r="E71" s="12" t="s">
        <v>136</v>
      </c>
      <c r="F71" s="12" t="s">
        <v>159</v>
      </c>
    </row>
    <row r="72" spans="1:6" ht="20.25" customHeight="1" x14ac:dyDescent="0.3">
      <c r="A72" s="12" t="s">
        <v>155</v>
      </c>
      <c r="B72" s="12" t="s">
        <v>155</v>
      </c>
      <c r="C72" s="12" t="s">
        <v>79</v>
      </c>
      <c r="D72" s="79" t="s">
        <v>268</v>
      </c>
      <c r="E72" s="12" t="s">
        <v>156</v>
      </c>
      <c r="F72" s="12" t="s">
        <v>78</v>
      </c>
    </row>
    <row r="73" spans="1:6" ht="20.25" customHeight="1" x14ac:dyDescent="0.3">
      <c r="A73" s="12" t="s">
        <v>60</v>
      </c>
      <c r="B73" s="12" t="s">
        <v>60</v>
      </c>
      <c r="C73" s="12" t="s">
        <v>131</v>
      </c>
      <c r="D73" s="79" t="s">
        <v>280</v>
      </c>
      <c r="E73" s="12" t="s">
        <v>83</v>
      </c>
      <c r="F73" s="12" t="s">
        <v>78</v>
      </c>
    </row>
    <row r="74" spans="1:6" ht="20.25" customHeight="1" x14ac:dyDescent="0.3">
      <c r="A74" s="67" t="s">
        <v>300</v>
      </c>
      <c r="B74" s="67" t="s">
        <v>300</v>
      </c>
      <c r="C74" s="67" t="s">
        <v>76</v>
      </c>
      <c r="D74" s="83">
        <v>846786783</v>
      </c>
      <c r="E74" s="67" t="s">
        <v>77</v>
      </c>
      <c r="F74" s="67" t="s">
        <v>78</v>
      </c>
    </row>
    <row r="75" spans="1:6" ht="20.25" customHeight="1" x14ac:dyDescent="0.3">
      <c r="A75" s="70" t="s">
        <v>309</v>
      </c>
      <c r="B75" s="70" t="s">
        <v>309</v>
      </c>
      <c r="C75" s="70" t="s">
        <v>147</v>
      </c>
      <c r="D75" s="84" t="s">
        <v>310</v>
      </c>
      <c r="E75" s="70" t="s">
        <v>148</v>
      </c>
      <c r="F75" s="70" t="s">
        <v>134</v>
      </c>
    </row>
    <row r="76" spans="1:6" ht="20.25" customHeight="1" x14ac:dyDescent="0.3">
      <c r="A76" s="70" t="s">
        <v>355</v>
      </c>
      <c r="B76" s="70" t="s">
        <v>355</v>
      </c>
      <c r="C76" s="70" t="s">
        <v>76</v>
      </c>
      <c r="D76" s="84" t="s">
        <v>356</v>
      </c>
      <c r="E76" s="70" t="s">
        <v>357</v>
      </c>
      <c r="F76" s="70" t="s">
        <v>358</v>
      </c>
    </row>
    <row r="77" spans="1:6" ht="20.25" customHeight="1" x14ac:dyDescent="0.3">
      <c r="A77" s="70" t="s">
        <v>406</v>
      </c>
      <c r="B77" s="70" t="str">
        <f>I_B_Bank[[#This Row],[EMP NAME]]</f>
        <v>GANAPATHY RAJA GOPAL</v>
      </c>
      <c r="C77" s="70" t="s">
        <v>131</v>
      </c>
      <c r="D77" s="84" t="s">
        <v>407</v>
      </c>
      <c r="E77" s="70" t="s">
        <v>83</v>
      </c>
      <c r="F77" s="70" t="s">
        <v>78</v>
      </c>
    </row>
    <row r="78" spans="1:6" ht="20.25" customHeight="1" x14ac:dyDescent="0.3">
      <c r="A78" s="67" t="s">
        <v>540</v>
      </c>
      <c r="B78" s="67" t="s">
        <v>540</v>
      </c>
      <c r="C78" s="67" t="s">
        <v>541</v>
      </c>
      <c r="D78" s="199" t="s">
        <v>542</v>
      </c>
      <c r="E78" s="67" t="s">
        <v>543</v>
      </c>
      <c r="F78" s="67" t="s">
        <v>129</v>
      </c>
    </row>
    <row r="79" spans="1:6" ht="20.25" customHeight="1" x14ac:dyDescent="0.3">
      <c r="A79" s="202" t="s">
        <v>140</v>
      </c>
      <c r="B79" s="202" t="s">
        <v>140</v>
      </c>
      <c r="C79" s="202" t="s">
        <v>79</v>
      </c>
      <c r="D79" s="203" t="s">
        <v>245</v>
      </c>
      <c r="E79" s="202" t="s">
        <v>535</v>
      </c>
      <c r="F79" s="202" t="s">
        <v>129</v>
      </c>
    </row>
    <row r="80" spans="1:6" x14ac:dyDescent="0.3">
      <c r="A80" s="70" t="s">
        <v>408</v>
      </c>
      <c r="B80" s="70" t="s">
        <v>408</v>
      </c>
      <c r="C80" s="70" t="s">
        <v>409</v>
      </c>
      <c r="D80" s="84" t="s">
        <v>411</v>
      </c>
      <c r="E80" s="84" t="s">
        <v>410</v>
      </c>
      <c r="F80" s="70" t="s">
        <v>412</v>
      </c>
    </row>
    <row r="81" spans="1:7" x14ac:dyDescent="0.3">
      <c r="A81" s="12"/>
      <c r="B81" s="12"/>
      <c r="C81" s="79"/>
      <c r="D81" s="12"/>
      <c r="E81" s="12"/>
    </row>
    <row r="82" spans="1:7" ht="18" x14ac:dyDescent="0.3">
      <c r="A82" s="13" t="s">
        <v>160</v>
      </c>
      <c r="B82" s="12"/>
      <c r="C82" s="79"/>
      <c r="D82" s="12"/>
      <c r="E82" s="12"/>
    </row>
    <row r="83" spans="1:7" x14ac:dyDescent="0.3">
      <c r="A83" s="41"/>
      <c r="B83" s="41"/>
      <c r="C83" s="82"/>
      <c r="D83" s="42"/>
      <c r="E83" s="42"/>
    </row>
    <row r="84" spans="1:7" ht="20.25" customHeight="1" x14ac:dyDescent="0.3">
      <c r="A84" s="42" t="s">
        <v>351</v>
      </c>
      <c r="B84" s="41" t="s">
        <v>27</v>
      </c>
      <c r="C84" s="42" t="s">
        <v>28</v>
      </c>
      <c r="D84" s="82" t="s">
        <v>29</v>
      </c>
      <c r="E84" s="42" t="s">
        <v>30</v>
      </c>
      <c r="F84" s="43" t="s">
        <v>31</v>
      </c>
    </row>
    <row r="85" spans="1:7" ht="20.25" customHeight="1" x14ac:dyDescent="0.3">
      <c r="A85" s="12" t="s">
        <v>352</v>
      </c>
      <c r="B85" s="12" t="s">
        <v>344</v>
      </c>
      <c r="C85" s="12" t="s">
        <v>76</v>
      </c>
      <c r="D85" s="79" t="s">
        <v>281</v>
      </c>
      <c r="E85" s="12" t="s">
        <v>77</v>
      </c>
      <c r="F85" s="12" t="s">
        <v>78</v>
      </c>
    </row>
    <row r="86" spans="1:7" ht="20.25" customHeight="1" x14ac:dyDescent="0.3">
      <c r="A86" s="12" t="s">
        <v>69</v>
      </c>
      <c r="B86" s="12" t="s">
        <v>69</v>
      </c>
      <c r="C86" s="12" t="s">
        <v>79</v>
      </c>
      <c r="D86" s="79" t="s">
        <v>282</v>
      </c>
      <c r="E86" s="12" t="s">
        <v>80</v>
      </c>
      <c r="F86" s="12" t="s">
        <v>78</v>
      </c>
    </row>
    <row r="87" spans="1:7" ht="20.25" customHeight="1" x14ac:dyDescent="0.3">
      <c r="A87" s="12" t="s">
        <v>71</v>
      </c>
      <c r="B87" s="12" t="s">
        <v>168</v>
      </c>
      <c r="C87" s="12" t="s">
        <v>76</v>
      </c>
      <c r="D87" s="79" t="s">
        <v>284</v>
      </c>
      <c r="E87" s="12" t="s">
        <v>77</v>
      </c>
      <c r="F87" s="12" t="s">
        <v>78</v>
      </c>
    </row>
    <row r="88" spans="1:7" ht="20.25" customHeight="1" x14ac:dyDescent="0.3">
      <c r="A88" s="12" t="s">
        <v>74</v>
      </c>
      <c r="B88" s="12" t="s">
        <v>74</v>
      </c>
      <c r="C88" s="12" t="s">
        <v>76</v>
      </c>
      <c r="D88" s="79" t="s">
        <v>285</v>
      </c>
      <c r="E88" s="12" t="s">
        <v>77</v>
      </c>
      <c r="F88" s="12" t="s">
        <v>78</v>
      </c>
    </row>
    <row r="89" spans="1:7" ht="20.25" customHeight="1" x14ac:dyDescent="0.3">
      <c r="A89" s="12" t="s">
        <v>75</v>
      </c>
      <c r="B89" s="12" t="s">
        <v>75</v>
      </c>
      <c r="C89" s="12" t="s">
        <v>84</v>
      </c>
      <c r="D89" s="79" t="s">
        <v>286</v>
      </c>
      <c r="E89" s="12" t="s">
        <v>85</v>
      </c>
      <c r="F89" s="12" t="s">
        <v>86</v>
      </c>
    </row>
    <row r="90" spans="1:7" ht="20.25" customHeight="1" x14ac:dyDescent="0.3">
      <c r="A90" s="12" t="s">
        <v>527</v>
      </c>
      <c r="B90" s="12" t="str">
        <f>Helpers_Bank[[#This Row],[EMP NAME]]</f>
        <v>PAVAN KUMAR</v>
      </c>
      <c r="C90" s="12" t="s">
        <v>1624</v>
      </c>
      <c r="D90" s="79" t="s">
        <v>790</v>
      </c>
      <c r="E90" s="12" t="s">
        <v>77</v>
      </c>
      <c r="F90" s="12" t="s">
        <v>78</v>
      </c>
    </row>
    <row r="91" spans="1:7" ht="20.25" customHeight="1" x14ac:dyDescent="0.3">
      <c r="A91" s="12" t="s">
        <v>477</v>
      </c>
      <c r="B91" s="12" t="s">
        <v>162</v>
      </c>
      <c r="C91" s="12" t="s">
        <v>76</v>
      </c>
      <c r="D91" s="79" t="s">
        <v>287</v>
      </c>
      <c r="E91" s="12" t="s">
        <v>77</v>
      </c>
      <c r="F91" s="12" t="s">
        <v>78</v>
      </c>
    </row>
    <row r="92" spans="1:7" ht="20.25" customHeight="1" x14ac:dyDescent="0.3">
      <c r="A92" s="12" t="s">
        <v>345</v>
      </c>
      <c r="B92" s="12" t="s">
        <v>345</v>
      </c>
      <c r="C92" s="12" t="s">
        <v>76</v>
      </c>
      <c r="D92" s="80">
        <v>7553609625</v>
      </c>
      <c r="E92" s="12" t="s">
        <v>136</v>
      </c>
      <c r="F92" s="12" t="s">
        <v>159</v>
      </c>
    </row>
    <row r="93" spans="1:7" ht="20.25" customHeight="1" x14ac:dyDescent="0.3">
      <c r="A93" s="12" t="s">
        <v>81</v>
      </c>
      <c r="B93" s="12" t="s">
        <v>81</v>
      </c>
      <c r="C93" s="12" t="s">
        <v>82</v>
      </c>
      <c r="D93" s="79" t="s">
        <v>283</v>
      </c>
      <c r="E93" s="12" t="s">
        <v>83</v>
      </c>
      <c r="F93" s="12" t="s">
        <v>78</v>
      </c>
    </row>
    <row r="94" spans="1:7" ht="20.25" customHeight="1" x14ac:dyDescent="0.35">
      <c r="A94" s="69" t="s">
        <v>307</v>
      </c>
      <c r="B94" s="69" t="s">
        <v>307</v>
      </c>
      <c r="C94" s="69" t="s">
        <v>76</v>
      </c>
      <c r="D94" s="81">
        <v>6643363266</v>
      </c>
      <c r="E94" s="12" t="s">
        <v>77</v>
      </c>
      <c r="F94" s="12" t="s">
        <v>78</v>
      </c>
      <c r="G94" s="194"/>
    </row>
    <row r="95" spans="1:7" ht="20.25" customHeight="1" x14ac:dyDescent="0.35">
      <c r="A95" s="69" t="s">
        <v>308</v>
      </c>
      <c r="B95" s="69" t="s">
        <v>308</v>
      </c>
      <c r="C95" s="194" t="s">
        <v>82</v>
      </c>
      <c r="D95" s="194">
        <v>10023329183</v>
      </c>
      <c r="E95" s="193" t="s">
        <v>83</v>
      </c>
      <c r="F95" s="193" t="s">
        <v>78</v>
      </c>
    </row>
    <row r="96" spans="1:7" ht="20.25" customHeight="1" x14ac:dyDescent="0.3">
      <c r="A96" s="12" t="s">
        <v>152</v>
      </c>
      <c r="B96" s="12" t="s">
        <v>152</v>
      </c>
      <c r="C96" s="12" t="s">
        <v>124</v>
      </c>
      <c r="D96" s="79" t="s">
        <v>298</v>
      </c>
      <c r="E96" s="12" t="s">
        <v>83</v>
      </c>
      <c r="F96" s="12" t="s">
        <v>144</v>
      </c>
    </row>
    <row r="97" spans="1:6" x14ac:dyDescent="0.3">
      <c r="A97" s="12" t="s">
        <v>163</v>
      </c>
      <c r="B97" s="12" t="s">
        <v>163</v>
      </c>
      <c r="C97" s="79" t="s">
        <v>76</v>
      </c>
      <c r="D97" s="79" t="s">
        <v>291</v>
      </c>
      <c r="E97" s="12" t="s">
        <v>77</v>
      </c>
      <c r="F97" s="12" t="s">
        <v>78</v>
      </c>
    </row>
    <row r="98" spans="1:6" x14ac:dyDescent="0.3">
      <c r="A98" s="69" t="s">
        <v>529</v>
      </c>
      <c r="B98" s="69" t="s">
        <v>533</v>
      </c>
      <c r="C98" s="12" t="s">
        <v>76</v>
      </c>
      <c r="D98" s="79" t="s">
        <v>288</v>
      </c>
      <c r="E98" s="12" t="s">
        <v>77</v>
      </c>
      <c r="F98" s="12" t="s">
        <v>78</v>
      </c>
    </row>
    <row r="99" spans="1:6" ht="19.5" customHeight="1" x14ac:dyDescent="0.3">
      <c r="A99" s="308" t="s">
        <v>819</v>
      </c>
      <c r="B99" s="308" t="s">
        <v>819</v>
      </c>
      <c r="C99" s="307" t="s">
        <v>124</v>
      </c>
      <c r="D99" s="270">
        <v>10023798928</v>
      </c>
      <c r="E99" s="270" t="s">
        <v>83</v>
      </c>
      <c r="F99" s="270" t="s">
        <v>78</v>
      </c>
    </row>
    <row r="100" spans="1:6" s="105" customFormat="1" ht="19.5" customHeight="1" x14ac:dyDescent="0.3">
      <c r="A100" s="374" t="s">
        <v>1611</v>
      </c>
      <c r="B100" s="374" t="s">
        <v>1611</v>
      </c>
      <c r="C100" s="374" t="s">
        <v>76</v>
      </c>
      <c r="D100" s="375" t="s">
        <v>1610</v>
      </c>
      <c r="E100" s="12" t="s">
        <v>77</v>
      </c>
      <c r="F100" s="12" t="s">
        <v>78</v>
      </c>
    </row>
    <row r="101" spans="1:6" s="376" customFormat="1" ht="19.5" customHeight="1" x14ac:dyDescent="0.3">
      <c r="A101" s="13" t="s">
        <v>161</v>
      </c>
      <c r="B101" s="12"/>
      <c r="C101" s="79"/>
      <c r="D101" s="12"/>
      <c r="E101" s="12"/>
      <c r="F101"/>
    </row>
    <row r="102" spans="1:6" x14ac:dyDescent="0.3">
      <c r="A102" s="42" t="s">
        <v>351</v>
      </c>
      <c r="B102" s="41" t="s">
        <v>27</v>
      </c>
      <c r="C102" s="42" t="s">
        <v>28</v>
      </c>
      <c r="D102" s="82" t="s">
        <v>29</v>
      </c>
      <c r="E102" s="42" t="s">
        <v>30</v>
      </c>
      <c r="F102" s="43" t="s">
        <v>31</v>
      </c>
    </row>
    <row r="103" spans="1:6" x14ac:dyDescent="0.3">
      <c r="A103" s="12" t="s">
        <v>151</v>
      </c>
      <c r="B103" s="12" t="s">
        <v>151</v>
      </c>
      <c r="C103" s="12" t="s">
        <v>76</v>
      </c>
      <c r="D103" s="79" t="s">
        <v>288</v>
      </c>
      <c r="E103" s="12" t="s">
        <v>77</v>
      </c>
      <c r="F103" s="12" t="s">
        <v>78</v>
      </c>
    </row>
    <row r="104" spans="1:6" x14ac:dyDescent="0.3">
      <c r="A104" s="12" t="s">
        <v>346</v>
      </c>
      <c r="B104" s="12" t="s">
        <v>346</v>
      </c>
      <c r="C104" s="12" t="s">
        <v>76</v>
      </c>
      <c r="D104" s="79" t="s">
        <v>289</v>
      </c>
      <c r="E104" s="12" t="s">
        <v>77</v>
      </c>
      <c r="F104" s="12" t="s">
        <v>78</v>
      </c>
    </row>
    <row r="105" spans="1:6" x14ac:dyDescent="0.3">
      <c r="A105" s="12" t="s">
        <v>162</v>
      </c>
      <c r="B105" s="12" t="s">
        <v>162</v>
      </c>
      <c r="C105" s="12" t="s">
        <v>82</v>
      </c>
      <c r="D105" s="79" t="s">
        <v>290</v>
      </c>
      <c r="E105" s="12" t="s">
        <v>83</v>
      </c>
      <c r="F105" s="12" t="s">
        <v>144</v>
      </c>
    </row>
    <row r="106" spans="1:6" x14ac:dyDescent="0.3">
      <c r="A106" s="12" t="s">
        <v>81</v>
      </c>
      <c r="B106" s="12" t="s">
        <v>81</v>
      </c>
      <c r="C106" s="12" t="s">
        <v>76</v>
      </c>
      <c r="D106" s="79" t="s">
        <v>292</v>
      </c>
      <c r="E106" s="12" t="s">
        <v>77</v>
      </c>
      <c r="F106" s="12" t="s">
        <v>78</v>
      </c>
    </row>
    <row r="107" spans="1:6" x14ac:dyDescent="0.3">
      <c r="A107" s="12" t="s">
        <v>164</v>
      </c>
      <c r="B107" s="12" t="s">
        <v>164</v>
      </c>
      <c r="C107" s="12" t="s">
        <v>76</v>
      </c>
      <c r="D107" s="79" t="s">
        <v>293</v>
      </c>
      <c r="E107" s="12" t="s">
        <v>77</v>
      </c>
      <c r="F107" s="12" t="s">
        <v>78</v>
      </c>
    </row>
    <row r="108" spans="1:6" x14ac:dyDescent="0.3">
      <c r="A108" s="12" t="s">
        <v>165</v>
      </c>
      <c r="B108" s="12" t="s">
        <v>165</v>
      </c>
      <c r="C108" s="12" t="s">
        <v>124</v>
      </c>
      <c r="D108" s="79" t="s">
        <v>294</v>
      </c>
      <c r="E108" s="12" t="s">
        <v>83</v>
      </c>
      <c r="F108" s="12" t="s">
        <v>78</v>
      </c>
    </row>
    <row r="109" spans="1:6" x14ac:dyDescent="0.3">
      <c r="A109" s="12" t="s">
        <v>166</v>
      </c>
      <c r="B109" s="12" t="s">
        <v>166</v>
      </c>
      <c r="C109" s="12" t="s">
        <v>112</v>
      </c>
      <c r="D109" s="79" t="s">
        <v>295</v>
      </c>
      <c r="E109" s="12" t="s">
        <v>150</v>
      </c>
      <c r="F109" s="12" t="s">
        <v>78</v>
      </c>
    </row>
    <row r="110" spans="1:6" x14ac:dyDescent="0.3">
      <c r="A110" s="12" t="s">
        <v>167</v>
      </c>
      <c r="B110" s="12" t="s">
        <v>167</v>
      </c>
      <c r="C110" s="12" t="s">
        <v>76</v>
      </c>
      <c r="D110" s="79" t="s">
        <v>296</v>
      </c>
      <c r="E110" s="12" t="s">
        <v>77</v>
      </c>
      <c r="F110" s="12" t="s">
        <v>78</v>
      </c>
    </row>
    <row r="111" spans="1:6" x14ac:dyDescent="0.3">
      <c r="A111" s="12" t="s">
        <v>347</v>
      </c>
      <c r="B111" s="12" t="s">
        <v>347</v>
      </c>
      <c r="C111" s="12" t="s">
        <v>76</v>
      </c>
      <c r="D111" s="79" t="s">
        <v>297</v>
      </c>
      <c r="E111" s="12" t="s">
        <v>77</v>
      </c>
      <c r="F111" s="12" t="s">
        <v>78</v>
      </c>
    </row>
    <row r="112" spans="1:6" x14ac:dyDescent="0.3">
      <c r="A112" s="12" t="s">
        <v>168</v>
      </c>
      <c r="B112" s="12" t="s">
        <v>168</v>
      </c>
      <c r="C112" s="12" t="s">
        <v>76</v>
      </c>
      <c r="D112" s="79" t="s">
        <v>284</v>
      </c>
      <c r="E112" s="12" t="s">
        <v>77</v>
      </c>
      <c r="F112" s="12" t="s">
        <v>78</v>
      </c>
    </row>
    <row r="113" spans="1:6" x14ac:dyDescent="0.3">
      <c r="A113" s="12" t="s">
        <v>169</v>
      </c>
      <c r="B113" s="12" t="s">
        <v>169</v>
      </c>
      <c r="C113" s="12" t="s">
        <v>82</v>
      </c>
      <c r="D113" s="79" t="s">
        <v>299</v>
      </c>
      <c r="E113" s="12" t="s">
        <v>83</v>
      </c>
      <c r="F113" s="12" t="s">
        <v>78</v>
      </c>
    </row>
    <row r="114" spans="1:6" x14ac:dyDescent="0.3">
      <c r="A114" s="225" t="s">
        <v>44</v>
      </c>
      <c r="B114" s="225" t="s">
        <v>44</v>
      </c>
      <c r="C114" s="225" t="s">
        <v>116</v>
      </c>
      <c r="D114" s="79" t="s">
        <v>248</v>
      </c>
      <c r="E114" s="12" t="s">
        <v>145</v>
      </c>
      <c r="F114" s="12" t="s">
        <v>111</v>
      </c>
    </row>
    <row r="115" spans="1:6" ht="20.25" customHeight="1" x14ac:dyDescent="0.3">
      <c r="A115" s="225" t="s">
        <v>339</v>
      </c>
      <c r="B115" s="225" t="s">
        <v>339</v>
      </c>
      <c r="C115" s="225" t="s">
        <v>82</v>
      </c>
      <c r="D115" s="79" t="s">
        <v>258</v>
      </c>
      <c r="E115" s="12" t="s">
        <v>83</v>
      </c>
      <c r="F115" s="12" t="s">
        <v>78</v>
      </c>
    </row>
    <row r="116" spans="1:6" ht="20.25" customHeight="1" x14ac:dyDescent="0.3">
      <c r="A116" s="226" t="s">
        <v>342</v>
      </c>
      <c r="B116" s="226" t="s">
        <v>342</v>
      </c>
      <c r="C116" s="226" t="s">
        <v>76</v>
      </c>
      <c r="D116" s="85" t="s">
        <v>261</v>
      </c>
      <c r="E116" s="69" t="s">
        <v>77</v>
      </c>
      <c r="F116" s="69" t="s">
        <v>78</v>
      </c>
    </row>
    <row r="117" spans="1:6" ht="20.25" customHeight="1" x14ac:dyDescent="0.3">
      <c r="A117" s="69"/>
      <c r="B117" s="69"/>
      <c r="C117" s="69"/>
      <c r="D117" s="85"/>
      <c r="E117" s="69"/>
      <c r="F117" s="69"/>
    </row>
    <row r="118" spans="1:6" ht="20.25" customHeight="1" x14ac:dyDescent="0.3">
      <c r="A118" s="69" t="s">
        <v>485</v>
      </c>
      <c r="B118" s="69"/>
      <c r="C118" s="85"/>
      <c r="D118" s="102"/>
      <c r="E118" s="69"/>
      <c r="F118" s="69"/>
    </row>
    <row r="119" spans="1:6" x14ac:dyDescent="0.3">
      <c r="A119" s="149" t="s">
        <v>351</v>
      </c>
      <c r="B119" s="149" t="s">
        <v>350</v>
      </c>
      <c r="C119" s="150" t="s">
        <v>28</v>
      </c>
      <c r="D119" s="151" t="s">
        <v>29</v>
      </c>
      <c r="E119" s="150" t="s">
        <v>30</v>
      </c>
      <c r="F119" s="152" t="s">
        <v>31</v>
      </c>
    </row>
    <row r="120" spans="1:6" x14ac:dyDescent="0.3">
      <c r="A120" s="12" t="s">
        <v>60</v>
      </c>
      <c r="B120" s="12" t="s">
        <v>60</v>
      </c>
      <c r="C120" s="12" t="s">
        <v>131</v>
      </c>
      <c r="D120" s="79" t="s">
        <v>280</v>
      </c>
      <c r="E120" s="12" t="s">
        <v>83</v>
      </c>
      <c r="F120" s="12" t="s">
        <v>78</v>
      </c>
    </row>
    <row r="121" spans="1:6" x14ac:dyDescent="0.3">
      <c r="A121" s="12" t="s">
        <v>63</v>
      </c>
      <c r="B121" s="67" t="s">
        <v>300</v>
      </c>
      <c r="C121" s="67" t="s">
        <v>76</v>
      </c>
      <c r="D121" s="83">
        <v>846786783</v>
      </c>
      <c r="E121" s="67" t="s">
        <v>77</v>
      </c>
      <c r="F121" s="67" t="s">
        <v>78</v>
      </c>
    </row>
    <row r="122" spans="1:6" x14ac:dyDescent="0.3">
      <c r="A122" s="12" t="s">
        <v>62</v>
      </c>
      <c r="B122" s="12"/>
      <c r="C122" s="12"/>
      <c r="D122" s="79"/>
      <c r="E122" s="12"/>
      <c r="F122" s="12"/>
    </row>
    <row r="123" spans="1:6" x14ac:dyDescent="0.3">
      <c r="A123" s="69"/>
      <c r="B123" s="69"/>
      <c r="C123" s="69"/>
      <c r="D123" s="85"/>
      <c r="E123" s="69"/>
      <c r="F123" s="69"/>
    </row>
    <row r="432" spans="3:3" x14ac:dyDescent="0.3">
      <c r="C432" s="77" t="s">
        <v>537</v>
      </c>
    </row>
  </sheetData>
  <sheetProtection selectLockedCells="1" selectUnlockedCells="1"/>
  <conditionalFormatting sqref="E80">
    <cfRule type="duplicateValues" dxfId="79" priority="16"/>
  </conditionalFormatting>
  <conditionalFormatting sqref="D39">
    <cfRule type="duplicateValues" dxfId="78" priority="15"/>
  </conditionalFormatting>
  <conditionalFormatting sqref="A39">
    <cfRule type="duplicateValues" dxfId="77" priority="14"/>
  </conditionalFormatting>
  <conditionalFormatting sqref="D120">
    <cfRule type="duplicateValues" dxfId="76" priority="13"/>
  </conditionalFormatting>
  <conditionalFormatting sqref="D121">
    <cfRule type="duplicateValues" dxfId="75" priority="12"/>
  </conditionalFormatting>
  <conditionalFormatting sqref="B20">
    <cfRule type="duplicateValues" dxfId="74" priority="11"/>
  </conditionalFormatting>
  <conditionalFormatting sqref="A103:A117 A55:A66 A85:A92 A3:A5 A41:A44 A69:A83 A7:A38 A46:A53 A101 A94:A99">
    <cfRule type="duplicateValues" dxfId="73" priority="676"/>
  </conditionalFormatting>
  <conditionalFormatting sqref="D103:D117 D55:D66 D3:D38 D40:D49 D85:D94 D69:D83 D100:D101 D52:D53 D96:D98">
    <cfRule type="duplicateValues" dxfId="72" priority="683"/>
  </conditionalFormatting>
  <conditionalFormatting sqref="B47">
    <cfRule type="duplicateValues" dxfId="71" priority="10"/>
  </conditionalFormatting>
  <conditionalFormatting sqref="B50:B51">
    <cfRule type="duplicateValues" dxfId="70" priority="8"/>
  </conditionalFormatting>
  <conditionalFormatting sqref="E48">
    <cfRule type="duplicateValues" dxfId="69" priority="7"/>
  </conditionalFormatting>
  <conditionalFormatting sqref="B48">
    <cfRule type="duplicateValues" dxfId="68" priority="6"/>
  </conditionalFormatting>
  <conditionalFormatting sqref="B52">
    <cfRule type="duplicateValues" dxfId="67" priority="5"/>
  </conditionalFormatting>
  <conditionalFormatting sqref="E49">
    <cfRule type="duplicateValues" dxfId="66" priority="4"/>
  </conditionalFormatting>
  <conditionalFormatting sqref="B49">
    <cfRule type="duplicateValues" dxfId="65" priority="3"/>
  </conditionalFormatting>
  <conditionalFormatting sqref="B70">
    <cfRule type="duplicateValues" dxfId="64" priority="1"/>
  </conditionalFormatting>
  <pageMargins left="0.7" right="0.7" top="0.75" bottom="0.75" header="0.3" footer="0.3"/>
  <pageSetup scale="84" fitToHeight="0" orientation="landscape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DC3D-2D5C-4A14-92CC-625E85BC507F}">
  <sheetPr codeName="Sheet15"/>
  <dimension ref="A1:C6"/>
  <sheetViews>
    <sheetView workbookViewId="0">
      <selection activeCell="C7" sqref="C7"/>
    </sheetView>
  </sheetViews>
  <sheetFormatPr defaultColWidth="8.77734375" defaultRowHeight="15" customHeight="1" x14ac:dyDescent="0.3"/>
  <cols>
    <col min="1" max="1" width="18.44140625" customWidth="1"/>
    <col min="2" max="2" width="15.6640625" customWidth="1"/>
    <col min="3" max="3" width="13.6640625" customWidth="1"/>
  </cols>
  <sheetData>
    <row r="1" spans="1:3" ht="14.4" x14ac:dyDescent="0.3">
      <c r="A1" s="34" t="s">
        <v>211</v>
      </c>
      <c r="B1" t="s">
        <v>212</v>
      </c>
      <c r="C1" t="s">
        <v>210</v>
      </c>
    </row>
    <row r="2" spans="1:3" ht="15" customHeight="1" x14ac:dyDescent="0.3">
      <c r="A2" s="35" t="s">
        <v>170</v>
      </c>
      <c r="B2" s="36">
        <v>7001</v>
      </c>
      <c r="C2">
        <v>10</v>
      </c>
    </row>
    <row r="3" spans="1:3" ht="15" customHeight="1" x14ac:dyDescent="0.3">
      <c r="A3" s="35" t="s">
        <v>171</v>
      </c>
      <c r="B3" s="36">
        <v>7002</v>
      </c>
      <c r="C3">
        <v>12</v>
      </c>
    </row>
    <row r="4" spans="1:3" ht="15" customHeight="1" x14ac:dyDescent="0.3">
      <c r="A4" s="35" t="s">
        <v>172</v>
      </c>
      <c r="B4" s="36">
        <v>7003</v>
      </c>
      <c r="C4">
        <v>13</v>
      </c>
    </row>
    <row r="5" spans="1:3" ht="15" customHeight="1" x14ac:dyDescent="0.3">
      <c r="A5" s="35" t="s">
        <v>173</v>
      </c>
      <c r="B5" s="36">
        <v>7004</v>
      </c>
      <c r="C5">
        <v>12</v>
      </c>
    </row>
    <row r="6" spans="1:3" ht="15" customHeight="1" x14ac:dyDescent="0.3">
      <c r="A6" s="35" t="s">
        <v>46</v>
      </c>
      <c r="B6" s="37">
        <v>7005</v>
      </c>
      <c r="C6">
        <v>14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EB7BE9-3E1F-4A82-B830-DB8D4485B9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66</vt:i4>
      </vt:variant>
    </vt:vector>
  </HeadingPairs>
  <TitlesOfParts>
    <vt:vector size="85" baseType="lpstr">
      <vt:lpstr>MonthlyAttendance</vt:lpstr>
      <vt:lpstr>Detail1</vt:lpstr>
      <vt:lpstr>Detail2</vt:lpstr>
      <vt:lpstr>Month_Attendance</vt:lpstr>
      <vt:lpstr>Summary</vt:lpstr>
      <vt:lpstr>Fixed_Payment_Bank_Sheet</vt:lpstr>
      <vt:lpstr>Fixed_Payment</vt:lpstr>
      <vt:lpstr>Helpers_Bank_Sheet</vt:lpstr>
      <vt:lpstr>Helpers</vt:lpstr>
      <vt:lpstr>Company Workers</vt:lpstr>
      <vt:lpstr>Workers_Bank_Sheet</vt:lpstr>
      <vt:lpstr>Staff</vt:lpstr>
      <vt:lpstr>Op_Bank_Sheet</vt:lpstr>
      <vt:lpstr>Staff_Bank_Sheet</vt:lpstr>
      <vt:lpstr>Op</vt:lpstr>
      <vt:lpstr>I_B_Bank_Sheet</vt:lpstr>
      <vt:lpstr>I&amp;B</vt:lpstr>
      <vt:lpstr>Bank Details</vt:lpstr>
      <vt:lpstr>7001_Attendance</vt:lpstr>
      <vt:lpstr>Fixed_Payment_Bank_Sheet!Company_Earned_Salary</vt:lpstr>
      <vt:lpstr>Helpers_Bank_Sheet!Company_Earned_Salary</vt:lpstr>
      <vt:lpstr>I_B_Bank_Sheet!Company_Earned_Salary</vt:lpstr>
      <vt:lpstr>Staff_Bank_Sheet!Company_Earned_Salary</vt:lpstr>
      <vt:lpstr>Company_Earned_Salary</vt:lpstr>
      <vt:lpstr>Fixed_Payment_Bank_Sheet!Company_Earning_Salary</vt:lpstr>
      <vt:lpstr>Helpers_Bank_Sheet!Company_Earning_Salary</vt:lpstr>
      <vt:lpstr>I_B_Bank_Sheet!Company_Earning_Salary</vt:lpstr>
      <vt:lpstr>Staff_Bank_Sheet!Company_Earning_Salary</vt:lpstr>
      <vt:lpstr>Company_Earning_Salary</vt:lpstr>
      <vt:lpstr>Company_Expense</vt:lpstr>
      <vt:lpstr>Fixed_Payment_Bank_Sheet!Company_Fixed</vt:lpstr>
      <vt:lpstr>Helpers_Bank_Sheet!Company_Fixed</vt:lpstr>
      <vt:lpstr>I_B_Bank_Sheet!Company_Fixed</vt:lpstr>
      <vt:lpstr>Staff_Bank_Sheet!Company_Fixed</vt:lpstr>
      <vt:lpstr>Company_Fixed</vt:lpstr>
      <vt:lpstr>Company_HeadCount</vt:lpstr>
      <vt:lpstr>Fixed_Payment_Bank_Sheet!Company_Workers_Deductions</vt:lpstr>
      <vt:lpstr>Helpers_Bank_Sheet!Company_Workers_Deductions</vt:lpstr>
      <vt:lpstr>I_B_Bank_Sheet!Company_Workers_Deductions</vt:lpstr>
      <vt:lpstr>Staff_Bank_Sheet!Company_Workers_Deductions</vt:lpstr>
      <vt:lpstr>Company_Workers_Deductions</vt:lpstr>
      <vt:lpstr>Fixed_Payment_Bank_Sheet!Emp_PF_Deductions</vt:lpstr>
      <vt:lpstr>Helpers_Bank_Sheet!Emp_PF_Deductions</vt:lpstr>
      <vt:lpstr>I_B_Bank_Sheet!Emp_PF_Deductions</vt:lpstr>
      <vt:lpstr>Staff_Bank_Sheet!Emp_PF_Deductions</vt:lpstr>
      <vt:lpstr>Emp_PF_Deductions</vt:lpstr>
      <vt:lpstr>Fixed_Payment_Bank_Sheet!ESI_Emp_Deductions</vt:lpstr>
      <vt:lpstr>Helpers_Bank_Sheet!ESI_Emp_Deductions</vt:lpstr>
      <vt:lpstr>I_B_Bank_Sheet!ESI_Emp_Deductions</vt:lpstr>
      <vt:lpstr>Staff_Bank_Sheet!ESI_Emp_Deductions</vt:lpstr>
      <vt:lpstr>ESI_Emp_Deductions</vt:lpstr>
      <vt:lpstr>Fixed_Payment_Bank_Sheet!ESI_Employer_Contribution</vt:lpstr>
      <vt:lpstr>Helpers_Bank_Sheet!ESI_Employer_Contribution</vt:lpstr>
      <vt:lpstr>I_B_Bank_Sheet!ESI_Employer_Contribution</vt:lpstr>
      <vt:lpstr>Staff_Bank_Sheet!ESI_Employer_Contribution</vt:lpstr>
      <vt:lpstr>ESI_Employer_Contribution</vt:lpstr>
      <vt:lpstr>Fixed_Payment_Bank_Sheet!Fixed_Deductions</vt:lpstr>
      <vt:lpstr>Helpers_Bank_Sheet!Fixed_Deductions</vt:lpstr>
      <vt:lpstr>I_B_Bank_Sheet!Fixed_Deductions</vt:lpstr>
      <vt:lpstr>Staff_Bank_Sheet!Fixed_Deductions</vt:lpstr>
      <vt:lpstr>Fixed_Deductions</vt:lpstr>
      <vt:lpstr>Fixed_Payment_Amount</vt:lpstr>
      <vt:lpstr>Helpers_Earned_Salary</vt:lpstr>
      <vt:lpstr>Helpers_Expense</vt:lpstr>
      <vt:lpstr>Helpers_Fixed_Salary</vt:lpstr>
      <vt:lpstr>Helpers_Headcount</vt:lpstr>
      <vt:lpstr>Fixed_Payment_Bank_Sheet!I_B_Deductions</vt:lpstr>
      <vt:lpstr>Helpers_Bank_Sheet!I_B_Deductions</vt:lpstr>
      <vt:lpstr>I_B_Bank_Sheet!I_B_Deductions</vt:lpstr>
      <vt:lpstr>Staff_Bank_Sheet!I_B_Deductions</vt:lpstr>
      <vt:lpstr>I_B_Deductions</vt:lpstr>
      <vt:lpstr>I_B_Expense</vt:lpstr>
      <vt:lpstr>I_B_Headcount</vt:lpstr>
      <vt:lpstr>Fixed_Payment_Bank_Sheet!PF_Employer_Contribution</vt:lpstr>
      <vt:lpstr>Helpers_Bank_Sheet!PF_Employer_Contribution</vt:lpstr>
      <vt:lpstr>I_B_Bank_Sheet!PF_Employer_Contribution</vt:lpstr>
      <vt:lpstr>Staff_Bank_Sheet!PF_Employer_Contribution</vt:lpstr>
      <vt:lpstr>PF_Employer_Contribution</vt:lpstr>
      <vt:lpstr>Sample_Tailor_Earned_Salary</vt:lpstr>
      <vt:lpstr>Sample_Tailor_Fixed_Salary</vt:lpstr>
      <vt:lpstr>Staff_Deductions</vt:lpstr>
      <vt:lpstr>Staff_Earned_Salary</vt:lpstr>
      <vt:lpstr>Staff_Fixed_Salary</vt:lpstr>
      <vt:lpstr>Staff_Headcount</vt:lpstr>
      <vt:lpstr>Working_Days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HRD MVIC</cp:lastModifiedBy>
  <cp:revision/>
  <cp:lastPrinted>2026-08-08T04:14:25Z</cp:lastPrinted>
  <dcterms:created xsi:type="dcterms:W3CDTF">2022-02-25T16:03:30Z</dcterms:created>
  <dcterms:modified xsi:type="dcterms:W3CDTF">2026-08-25T11:15:01Z</dcterms:modified>
  <cp:category/>
  <cp:contentStatus/>
</cp:coreProperties>
</file>